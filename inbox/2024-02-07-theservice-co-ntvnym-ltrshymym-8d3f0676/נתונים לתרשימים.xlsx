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תיקייה לפגישות עם לקוחות\אלה חי\א.מ\"/>
    </mc:Choice>
  </mc:AlternateContent>
  <xr:revisionPtr revIDLastSave="0" documentId="13_ncr:1_{A680D5AD-56A1-4965-A11A-BD616E64FB11}" xr6:coauthVersionLast="36" xr6:coauthVersionMax="36" xr10:uidLastSave="{00000000-0000-0000-0000-000000000000}"/>
  <bookViews>
    <workbookView xWindow="0" yWindow="0" windowWidth="23040" windowHeight="8412" xr2:uid="{E29AA380-966B-4457-B7A0-42B77C1CAE1D}"/>
  </bookViews>
  <sheets>
    <sheet name="מצב התחלתי" sheetId="1" r:id="rId1"/>
    <sheet name="2019-2020" sheetId="2" r:id="rId2"/>
    <sheet name="2024 נוכחית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3" l="1"/>
  <c r="O6" i="3"/>
  <c r="O7" i="3"/>
  <c r="O8" i="3"/>
  <c r="O9" i="3"/>
  <c r="O10" i="3"/>
  <c r="O11" i="3"/>
  <c r="O4" i="3"/>
  <c r="O2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2" i="3"/>
  <c r="G4" i="3"/>
  <c r="G5" i="3"/>
  <c r="G6" i="3"/>
  <c r="G7" i="3"/>
  <c r="G8" i="3"/>
  <c r="G2" i="3"/>
  <c r="C4" i="3"/>
  <c r="C5" i="3"/>
  <c r="C6" i="3"/>
  <c r="C7" i="3"/>
  <c r="C8" i="3"/>
  <c r="C9" i="3"/>
  <c r="C10" i="3"/>
  <c r="C11" i="3"/>
  <c r="C12" i="3"/>
  <c r="C13" i="3"/>
  <c r="C2" i="3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7" i="1"/>
  <c r="F6" i="1"/>
  <c r="C95" i="2" l="1"/>
  <c r="C108" i="2" s="1"/>
  <c r="C110" i="2"/>
  <c r="H101" i="2"/>
  <c r="H99" i="2"/>
  <c r="H98" i="2"/>
  <c r="C98" i="2"/>
  <c r="C106" i="2" s="1"/>
  <c r="I96" i="2"/>
  <c r="I95" i="2"/>
  <c r="J95" i="2" s="1"/>
  <c r="H95" i="2"/>
  <c r="H100" i="2" s="1"/>
  <c r="D94" i="2"/>
  <c r="C93" i="2"/>
  <c r="H92" i="2"/>
  <c r="D91" i="2"/>
  <c r="C90" i="2"/>
  <c r="C89" i="2"/>
  <c r="C88" i="2"/>
  <c r="C92" i="2" s="1"/>
  <c r="C87" i="2"/>
  <c r="H86" i="2"/>
  <c r="H102" i="2" s="1"/>
  <c r="J106" i="2" s="1"/>
  <c r="C86" i="2"/>
  <c r="H85" i="2"/>
  <c r="D84" i="2"/>
  <c r="D83" i="2"/>
  <c r="C82" i="2"/>
  <c r="H80" i="2"/>
  <c r="C79" i="2"/>
  <c r="C78" i="2"/>
  <c r="C77" i="2"/>
  <c r="C76" i="2"/>
  <c r="C75" i="2"/>
  <c r="C74" i="2"/>
  <c r="C73" i="2"/>
  <c r="C72" i="2"/>
  <c r="C71" i="2"/>
  <c r="D70" i="2"/>
  <c r="D69" i="2"/>
  <c r="C68" i="2"/>
  <c r="C81" i="2" s="1"/>
  <c r="J5" i="2"/>
  <c r="J6" i="2"/>
  <c r="J7" i="2"/>
  <c r="J8" i="2"/>
  <c r="J9" i="2"/>
  <c r="J10" i="2"/>
  <c r="J11" i="2"/>
  <c r="J12" i="2"/>
  <c r="J13" i="2"/>
  <c r="J14" i="2"/>
  <c r="J15" i="2"/>
  <c r="J16" i="2"/>
  <c r="J19" i="2"/>
  <c r="J20" i="2"/>
  <c r="J21" i="2"/>
  <c r="J24" i="2"/>
  <c r="J25" i="2"/>
  <c r="J26" i="2"/>
  <c r="J27" i="2"/>
  <c r="J28" i="2"/>
  <c r="I29" i="2"/>
  <c r="I30" i="2"/>
  <c r="J31" i="2"/>
  <c r="I32" i="2"/>
  <c r="I33" i="2"/>
  <c r="H23" i="2"/>
  <c r="C58" i="2"/>
  <c r="C57" i="2"/>
  <c r="H35" i="2"/>
  <c r="H32" i="2"/>
  <c r="H37" i="2" s="1"/>
  <c r="D32" i="2"/>
  <c r="C32" i="2"/>
  <c r="C45" i="2" s="1"/>
  <c r="D31" i="2"/>
  <c r="H29" i="2"/>
  <c r="H36" i="2" s="1"/>
  <c r="D28" i="2"/>
  <c r="C27" i="2"/>
  <c r="C26" i="2"/>
  <c r="C25" i="2"/>
  <c r="C24" i="2"/>
  <c r="D21" i="2"/>
  <c r="D20" i="2"/>
  <c r="C19" i="2"/>
  <c r="C47" i="2" s="1"/>
  <c r="H17" i="2"/>
  <c r="H38" i="2" s="1"/>
  <c r="C16" i="2"/>
  <c r="C15" i="2"/>
  <c r="C14" i="2"/>
  <c r="C13" i="2"/>
  <c r="C12" i="2"/>
  <c r="C11" i="2"/>
  <c r="C10" i="2"/>
  <c r="C9" i="2"/>
  <c r="C8" i="2"/>
  <c r="D7" i="2"/>
  <c r="D6" i="2"/>
  <c r="C5" i="2"/>
  <c r="J29" i="2" l="1"/>
  <c r="C112" i="2"/>
  <c r="C99" i="2"/>
  <c r="H103" i="2"/>
  <c r="J101" i="2"/>
  <c r="J108" i="2" s="1"/>
  <c r="J98" i="2"/>
  <c r="J107" i="2" s="1"/>
  <c r="C80" i="2"/>
  <c r="C100" i="2"/>
  <c r="J32" i="2"/>
  <c r="C23" i="2"/>
  <c r="C30" i="2"/>
  <c r="C29" i="2"/>
  <c r="C49" i="2" s="1"/>
  <c r="E32" i="2"/>
  <c r="C18" i="2"/>
  <c r="H22" i="2"/>
  <c r="J23" i="2" s="1"/>
  <c r="H39" i="2" s="1"/>
  <c r="J43" i="2" s="1"/>
  <c r="H40" i="2"/>
  <c r="C17" i="2"/>
  <c r="C37" i="2"/>
  <c r="C35" i="2"/>
  <c r="C36" i="2" l="1"/>
  <c r="J105" i="2"/>
  <c r="J99" i="2"/>
  <c r="J109" i="2" s="1"/>
  <c r="J100" i="2"/>
  <c r="J110" i="2" s="1"/>
  <c r="C113" i="2"/>
  <c r="C107" i="2"/>
  <c r="C105" i="2"/>
  <c r="C85" i="2"/>
  <c r="C101" i="2"/>
  <c r="E30" i="2"/>
  <c r="J37" i="2"/>
  <c r="J38" i="2"/>
  <c r="J35" i="2"/>
  <c r="J44" i="2" s="1"/>
  <c r="D58" i="2"/>
  <c r="J36" i="2"/>
  <c r="J46" i="2" s="1"/>
  <c r="D57" i="2"/>
  <c r="C38" i="2"/>
  <c r="C42" i="2"/>
  <c r="C22" i="2"/>
  <c r="E23" i="2" s="1"/>
  <c r="D56" i="2"/>
  <c r="J42" i="2"/>
  <c r="D60" i="2"/>
  <c r="D59" i="2"/>
  <c r="C44" i="2"/>
  <c r="J47" i="2"/>
  <c r="C43" i="2"/>
  <c r="C50" i="2"/>
  <c r="J45" i="2"/>
  <c r="C40" i="2" l="1"/>
  <c r="E37" i="2" s="1"/>
  <c r="H47" i="2" s="1"/>
  <c r="C111" i="2"/>
  <c r="C103" i="2"/>
  <c r="E101" i="2" s="1"/>
  <c r="H108" i="2" s="1"/>
  <c r="D105" i="2"/>
  <c r="D107" i="2"/>
  <c r="D113" i="2"/>
  <c r="D50" i="2"/>
  <c r="D49" i="2"/>
  <c r="D44" i="2"/>
  <c r="E36" i="2"/>
  <c r="H46" i="2" s="1"/>
  <c r="H42" i="2"/>
  <c r="E39" i="2"/>
  <c r="H43" i="2" s="1"/>
  <c r="D47" i="2"/>
  <c r="D45" i="2"/>
  <c r="D43" i="2"/>
  <c r="D42" i="2"/>
  <c r="E35" i="2"/>
  <c r="H44" i="2" s="1"/>
  <c r="E38" i="2"/>
  <c r="H45" i="2" s="1"/>
  <c r="C48" i="2"/>
  <c r="D48" i="2" s="1"/>
  <c r="H105" i="2" l="1"/>
  <c r="E102" i="2"/>
  <c r="H106" i="2" s="1"/>
  <c r="D108" i="2"/>
  <c r="D106" i="2"/>
  <c r="E98" i="2"/>
  <c r="H107" i="2" s="1"/>
  <c r="D110" i="2"/>
  <c r="E100" i="2"/>
  <c r="H110" i="2" s="1"/>
  <c r="E99" i="2"/>
  <c r="H109" i="2" s="1"/>
  <c r="D112" i="2"/>
  <c r="D111" i="2"/>
  <c r="D48" i="1" l="1"/>
  <c r="D46" i="1"/>
  <c r="D44" i="1"/>
  <c r="D49" i="1" s="1"/>
  <c r="E47" i="1" s="1"/>
  <c r="D33" i="1"/>
  <c r="D28" i="1"/>
  <c r="A25" i="1"/>
  <c r="C24" i="1"/>
  <c r="A7" i="1"/>
  <c r="A6" i="1"/>
  <c r="E48" i="1" l="1"/>
  <c r="D35" i="1"/>
  <c r="E44" i="1"/>
  <c r="E46" i="1"/>
  <c r="E45" i="1"/>
</calcChain>
</file>

<file path=xl/sharedStrings.xml><?xml version="1.0" encoding="utf-8"?>
<sst xmlns="http://schemas.openxmlformats.org/spreadsheetml/2006/main" count="310" uniqueCount="138">
  <si>
    <t>אלוקציות</t>
  </si>
  <si>
    <t>קיים</t>
  </si>
  <si>
    <t>מטבע</t>
  </si>
  <si>
    <t>מוצר</t>
  </si>
  <si>
    <t xml:space="preserve">סכום בש"ח </t>
  </si>
  <si>
    <t>נוכחי</t>
  </si>
  <si>
    <t xml:space="preserve"> נכסי סיכון</t>
  </si>
  <si>
    <t>₪</t>
  </si>
  <si>
    <t>בנק לאומי</t>
  </si>
  <si>
    <t>USD</t>
  </si>
  <si>
    <t>HSBC PB</t>
  </si>
  <si>
    <t>HSBC Expat</t>
  </si>
  <si>
    <t>ג'רזי</t>
  </si>
  <si>
    <t>EUR</t>
  </si>
  <si>
    <t>JPY</t>
  </si>
  <si>
    <t>סה"כ מזומן</t>
  </si>
  <si>
    <t>CHF</t>
  </si>
  <si>
    <t>תיק מנוהל - שוויץ Vontobel</t>
  </si>
  <si>
    <t>סה"כ פיננסי</t>
  </si>
  <si>
    <t>פנסיוני</t>
  </si>
  <si>
    <t>גמל</t>
  </si>
  <si>
    <t>תמר</t>
  </si>
  <si>
    <t>כלל גמל - אג"ח עד 25% מניות</t>
  </si>
  <si>
    <t>קרנות השתלמות</t>
  </si>
  <si>
    <t>יהודה</t>
  </si>
  <si>
    <t>מגדל השתלמות כללי</t>
  </si>
  <si>
    <t>פיננסי+פנסיוני</t>
  </si>
  <si>
    <t>כולל בית המגורים</t>
  </si>
  <si>
    <t>נדל"ן ללא מגורים</t>
  </si>
  <si>
    <t>הקצאת נכסים</t>
  </si>
  <si>
    <t>שוק ההון</t>
  </si>
  <si>
    <t>מבטיחות תשואה</t>
  </si>
  <si>
    <t xml:space="preserve">אלטרנטיבי </t>
  </si>
  <si>
    <t>מזומן</t>
  </si>
  <si>
    <t>סה"כ פיננסי פנסיוני נדל"ן ללא מגורים (כולל כספי חברה ומינוף)</t>
  </si>
  <si>
    <t>מיני תיק- מרש</t>
  </si>
  <si>
    <t>עתידי</t>
  </si>
  <si>
    <t>סכום בדולר</t>
  </si>
  <si>
    <t>לנייד ל</t>
  </si>
  <si>
    <t>לל"ש</t>
  </si>
  <si>
    <t>עסקאות נדל"ן עתידיות</t>
  </si>
  <si>
    <t>גרנזי HSBC PB (בתוספת 1.25M$)</t>
  </si>
  <si>
    <t>עסקת גלפנד- עתידי</t>
  </si>
  <si>
    <t>עסקת נץ- עתידי</t>
  </si>
  <si>
    <t>קומריט- עתידי</t>
  </si>
  <si>
    <t>גרנזי HSBC PB</t>
  </si>
  <si>
    <t>ג'רזי HSBC Expat</t>
  </si>
  <si>
    <t>יתרת מזומן ופיקדונות</t>
  </si>
  <si>
    <t>הארד מאני ארה"ב- אריון- עתידי</t>
  </si>
  <si>
    <t>קרן השקעה Fuse Group- מיידי</t>
  </si>
  <si>
    <t>אלטרנטיבי עתידי</t>
  </si>
  <si>
    <t>סה"כ מזומן:</t>
  </si>
  <si>
    <t>סיכון:</t>
  </si>
  <si>
    <t>פיננסי</t>
  </si>
  <si>
    <t>תיק מנוהל IBI</t>
  </si>
  <si>
    <t>תיק מנוהל ילין לפידות</t>
  </si>
  <si>
    <t>סה"כ פיננסי (ומזומן):</t>
  </si>
  <si>
    <t>נדל"ן</t>
  </si>
  <si>
    <t>דיור מוגן באטלנטה</t>
  </si>
  <si>
    <t>עסקת ריאלטי גרמניה</t>
  </si>
  <si>
    <t>דירה בלונדון</t>
  </si>
  <si>
    <t>דירה בתל אביב</t>
  </si>
  <si>
    <t xml:space="preserve">אלקטרה (קרן השקעה - מולטי פמילי) </t>
  </si>
  <si>
    <t>נדל"ן ללא מגורים:</t>
  </si>
  <si>
    <t>אלטרנטיבי</t>
  </si>
  <si>
    <t>ליקווידיטי (קרן למימון צמיחה לחברות הייטק)</t>
  </si>
  <si>
    <t>סה"כ אלטרנטיבי:</t>
  </si>
  <si>
    <t>אלוקציה קיימת</t>
  </si>
  <si>
    <t>סכום בש"ח</t>
  </si>
  <si>
    <t>שוק ההון:</t>
  </si>
  <si>
    <t>אלטרנטיבי:</t>
  </si>
  <si>
    <t>מזומן:</t>
  </si>
  <si>
    <t>חשיפה לסיכון:</t>
  </si>
  <si>
    <t>סה"כ שווי נכסים</t>
  </si>
  <si>
    <t>חישוב אלוקציות נוכחי</t>
  </si>
  <si>
    <t>הקצאת נכסים כיום 27/8/2019</t>
  </si>
  <si>
    <t>הקצאת נכסים עתידית- ינואר 2020</t>
  </si>
  <si>
    <t>שווי נכסים:</t>
  </si>
  <si>
    <t xml:space="preserve">שווי נכסים מוערך: </t>
  </si>
  <si>
    <t>סה"כ חשיפה לסיכון:</t>
  </si>
  <si>
    <t>סיכון צפוי:</t>
  </si>
  <si>
    <t>סה"כ חשיפה לשוק ההון:</t>
  </si>
  <si>
    <t>חשיפה לשוק ההון:</t>
  </si>
  <si>
    <t>סה"כ חשיפה למזומן:</t>
  </si>
  <si>
    <t>חשיפה למזומן:</t>
  </si>
  <si>
    <t>מבנה אחזקות נוכחי</t>
  </si>
  <si>
    <t>חשיפה לנדל"ן כיום:</t>
  </si>
  <si>
    <t>חשיפה לנדל"ן:</t>
  </si>
  <si>
    <t>תיקי השקעות מנוהלים</t>
  </si>
  <si>
    <t>חשיפה לעסקאות משלימות כיום:</t>
  </si>
  <si>
    <t>חשיפה לעסקאות משלימות:</t>
  </si>
  <si>
    <t>יתרות עו"ש ופיקדונות</t>
  </si>
  <si>
    <t>מבנה אחזקות עתידי</t>
  </si>
  <si>
    <t>קופות גמל וקרנות השתלמות</t>
  </si>
  <si>
    <t>עסקאות משלימות</t>
  </si>
  <si>
    <t>תיאור מוצר</t>
  </si>
  <si>
    <t>יתרה בשקלים</t>
  </si>
  <si>
    <t>גרנזי HSBC PB- דולר</t>
  </si>
  <si>
    <t>פקדון דולר 02400942</t>
  </si>
  <si>
    <t>ג'רסיHSBC-אירו</t>
  </si>
  <si>
    <t>ג'רסיHSBC-דולר</t>
  </si>
  <si>
    <t>מטח דולר 02400942</t>
  </si>
  <si>
    <t>חשבון בנק 02400942</t>
  </si>
  <si>
    <t>מט'ח שוטף אירו פת"ח-תושבי חוץ 02400942</t>
  </si>
  <si>
    <t xml:space="preserve">ג'רסיHSBC-פאונד בריטי </t>
  </si>
  <si>
    <t>ג'רסיHSBC- יין יפני</t>
  </si>
  <si>
    <t xml:space="preserve">גרנזי HSBC PB-אירו </t>
  </si>
  <si>
    <t>פקדונות ומזומן</t>
  </si>
  <si>
    <t>תיק מנוהל אי בי אי 6391730493</t>
  </si>
  <si>
    <t>תיק מנוהל ילין GB62BLIC40625733676818</t>
  </si>
  <si>
    <t>שוויץ Vontobel 89430.001</t>
  </si>
  <si>
    <t>מגדל השתלמות כללי 944740</t>
  </si>
  <si>
    <t>תיק השקעות 02400942</t>
  </si>
  <si>
    <t>דירה - אנגליה - לונדון</t>
  </si>
  <si>
    <t>דירה - תל אביב</t>
  </si>
  <si>
    <t>Faro-Point FRG-X</t>
  </si>
  <si>
    <t>ריאליטי גרמניה - רכישת פורטפוליו של... 2400942</t>
  </si>
  <si>
    <t>אלקטרה USA 2 28819928</t>
  </si>
  <si>
    <t>דירה - קפריסין - דירת נופש</t>
  </si>
  <si>
    <t>קאליבר- Caliber</t>
  </si>
  <si>
    <t>אלקטרה בי. טי. אר 1 - Electra BTR</t>
  </si>
  <si>
    <t>מגורים Multi-Family בפילדלפיה - גלפ... 2400932</t>
  </si>
  <si>
    <t>מרילנד, Gatewater Landing, גלפנד</t>
  </si>
  <si>
    <t>דיור מוגן באטלנטה בוליגו 2400942</t>
  </si>
  <si>
    <t>עסקת הרטפורד קונטיקט - התחדשות עירו... iban: gb35blic40625736167003</t>
  </si>
  <si>
    <t>Serviced Apartments, Vienna 28819928</t>
  </si>
  <si>
    <t>דיור מוגן באטלנטה בוליגו 2 2400932</t>
  </si>
  <si>
    <t>מגורים Multi-Family ו Single-Family... 2400932</t>
  </si>
  <si>
    <t>נדלן</t>
  </si>
  <si>
    <t>אימפקט חוב 2400932</t>
  </si>
  <si>
    <t>Coller Capital</t>
  </si>
  <si>
    <t>קרן המגן - מסלול דולרי Ext Ord-942</t>
  </si>
  <si>
    <t>כרמל קרדיט</t>
  </si>
  <si>
    <t>Pollen Street Credit Fund III-USD 28819928</t>
  </si>
  <si>
    <t>Liquidity Capital II, L.P 89430.001</t>
  </si>
  <si>
    <t>KDC Media Fund L.P</t>
  </si>
  <si>
    <t>ISF - III 028819928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</si>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</sst>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_(* #,##0_);_(* \(#,##0\);_(* &quot;-&quot;??_);_(@_)"/>
    <numFmt numFmtId="167" formatCode="0.0%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name val="Arial"/>
      <family val="2"/>
      <scheme val="minor"/>
    </font>
    <font>
      <u/>
      <sz val="12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color rgb="FF222222"/>
      <name val="Arial"/>
      <family val="2"/>
      <scheme val="minor"/>
    </font>
    <font>
      <b/>
      <sz val="12"/>
      <name val="Arial"/>
      <family val="2"/>
      <scheme val="minor"/>
    </font>
    <font>
      <b/>
      <u/>
      <sz val="11"/>
      <color rgb="FFFF0000"/>
      <name val="Arial"/>
      <family val="2"/>
      <scheme val="minor"/>
    </font>
    <font>
      <b/>
      <sz val="16"/>
      <color rgb="FF9C6500"/>
      <name val="Arial"/>
      <family val="2"/>
      <scheme val="minor"/>
    </font>
    <font>
      <sz val="14"/>
      <color theme="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u/>
      <sz val="14"/>
      <color theme="0"/>
      <name val="Arial"/>
      <family val="2"/>
      <scheme val="minor"/>
    </font>
    <font>
      <b/>
      <u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DDA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6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1" applyNumberFormat="0" applyFont="0" applyAlignment="0" applyProtection="0"/>
    <xf numFmtId="0" fontId="5" fillId="6" borderId="0" applyNumberFormat="0" applyBorder="0" applyAlignment="0" applyProtection="0"/>
    <xf numFmtId="0" fontId="23" fillId="0" borderId="0"/>
    <xf numFmtId="9" fontId="23" fillId="0" borderId="0" applyFont="0" applyFill="0" applyBorder="0" applyAlignment="0" applyProtection="0"/>
  </cellStyleXfs>
  <cellXfs count="476">
    <xf numFmtId="0" fontId="0" fillId="0" borderId="0" xfId="0"/>
    <xf numFmtId="0" fontId="6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3" fontId="8" fillId="2" borderId="4" xfId="3" applyNumberFormat="1" applyFont="1" applyBorder="1" applyAlignment="1">
      <alignment horizontal="right"/>
    </xf>
    <xf numFmtId="3" fontId="8" fillId="2" borderId="0" xfId="3" applyNumberFormat="1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3" fontId="12" fillId="8" borderId="0" xfId="3" applyNumberFormat="1" applyFont="1" applyFill="1" applyBorder="1"/>
    <xf numFmtId="3" fontId="8" fillId="2" borderId="4" xfId="3" applyNumberFormat="1" applyFont="1" applyBorder="1"/>
    <xf numFmtId="0" fontId="8" fillId="4" borderId="0" xfId="5" applyFont="1" applyBorder="1" applyAlignment="1">
      <alignment wrapText="1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3" fillId="0" borderId="0" xfId="0" applyFont="1"/>
    <xf numFmtId="0" fontId="11" fillId="0" borderId="0" xfId="0" applyFont="1"/>
    <xf numFmtId="0" fontId="14" fillId="5" borderId="4" xfId="6" applyFont="1" applyBorder="1"/>
    <xf numFmtId="164" fontId="8" fillId="2" borderId="4" xfId="1" applyNumberFormat="1" applyFont="1" applyFill="1" applyBorder="1" applyAlignment="1">
      <alignment horizontal="right"/>
    </xf>
    <xf numFmtId="3" fontId="8" fillId="9" borderId="4" xfId="3" applyNumberFormat="1" applyFont="1" applyFill="1" applyBorder="1"/>
    <xf numFmtId="3" fontId="8" fillId="9" borderId="0" xfId="7" applyNumberFormat="1" applyFont="1" applyFill="1" applyBorder="1" applyAlignment="1">
      <alignment wrapText="1"/>
    </xf>
    <xf numFmtId="3" fontId="14" fillId="7" borderId="2" xfId="0" applyNumberFormat="1" applyFont="1" applyFill="1" applyBorder="1" applyAlignment="1">
      <alignment horizontal="center" vertical="center"/>
    </xf>
    <xf numFmtId="3" fontId="6" fillId="7" borderId="3" xfId="0" applyNumberFormat="1" applyFont="1" applyFill="1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wrapText="1"/>
    </xf>
    <xf numFmtId="3" fontId="0" fillId="0" borderId="0" xfId="0" applyNumberFormat="1" applyAlignment="1">
      <alignment horizontal="center"/>
    </xf>
    <xf numFmtId="164" fontId="0" fillId="0" borderId="0" xfId="1" applyNumberFormat="1" applyFont="1"/>
    <xf numFmtId="3" fontId="14" fillId="5" borderId="4" xfId="6" applyNumberFormat="1" applyFont="1" applyBorder="1"/>
    <xf numFmtId="0" fontId="8" fillId="2" borderId="4" xfId="3" applyFont="1" applyBorder="1" applyAlignment="1">
      <alignment horizontal="center"/>
    </xf>
    <xf numFmtId="0" fontId="8" fillId="10" borderId="4" xfId="3" applyFont="1" applyFill="1" applyBorder="1" applyAlignment="1">
      <alignment horizontal="center"/>
    </xf>
    <xf numFmtId="0" fontId="8" fillId="10" borderId="0" xfId="3" applyFont="1" applyFill="1" applyBorder="1" applyAlignment="1">
      <alignment horizontal="center"/>
    </xf>
    <xf numFmtId="0" fontId="8" fillId="8" borderId="0" xfId="3" applyFont="1" applyFill="1" applyBorder="1" applyAlignment="1">
      <alignment horizontal="center"/>
    </xf>
    <xf numFmtId="0" fontId="8" fillId="4" borderId="0" xfId="5" applyFont="1" applyBorder="1" applyAlignment="1">
      <alignment horizontal="center"/>
    </xf>
    <xf numFmtId="10" fontId="0" fillId="0" borderId="0" xfId="0" applyNumberFormat="1"/>
    <xf numFmtId="0" fontId="16" fillId="4" borderId="5" xfId="5" applyFont="1" applyBorder="1"/>
    <xf numFmtId="0" fontId="16" fillId="4" borderId="6" xfId="5" applyFont="1" applyBorder="1"/>
    <xf numFmtId="0" fontId="16" fillId="4" borderId="0" xfId="5" applyFont="1" applyBorder="1"/>
    <xf numFmtId="0" fontId="16" fillId="4" borderId="7" xfId="5" applyFont="1" applyBorder="1"/>
    <xf numFmtId="0" fontId="16" fillId="4" borderId="8" xfId="5" applyFont="1" applyBorder="1"/>
    <xf numFmtId="0" fontId="16" fillId="4" borderId="0" xfId="5" applyFont="1" applyBorder="1" applyAlignment="1">
      <alignment horizontal="right"/>
    </xf>
    <xf numFmtId="0" fontId="16" fillId="4" borderId="9" xfId="5" applyFont="1" applyBorder="1"/>
    <xf numFmtId="0" fontId="11" fillId="12" borderId="10" xfId="0" applyFont="1" applyFill="1" applyBorder="1" applyAlignment="1">
      <alignment vertical="center"/>
    </xf>
    <xf numFmtId="0" fontId="11" fillId="12" borderId="11" xfId="0" applyFont="1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10" fillId="12" borderId="12" xfId="0" applyFont="1" applyFill="1" applyBorder="1" applyAlignment="1">
      <alignment horizontal="center" vertical="center"/>
    </xf>
    <xf numFmtId="0" fontId="0" fillId="13" borderId="11" xfId="0" applyFill="1" applyBorder="1" applyAlignment="1">
      <alignment vertical="center"/>
    </xf>
    <xf numFmtId="0" fontId="10" fillId="12" borderId="10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0" fillId="12" borderId="12" xfId="0" applyFill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3" fontId="8" fillId="2" borderId="13" xfId="3" applyNumberFormat="1" applyFont="1" applyBorder="1" applyAlignment="1">
      <alignment horizontal="right"/>
    </xf>
    <xf numFmtId="164" fontId="8" fillId="2" borderId="13" xfId="1" applyNumberFormat="1" applyFont="1" applyFill="1" applyBorder="1" applyAlignment="1">
      <alignment horizontal="right"/>
    </xf>
    <xf numFmtId="164" fontId="8" fillId="2" borderId="14" xfId="1" applyNumberFormat="1" applyFont="1" applyFill="1" applyBorder="1" applyAlignment="1">
      <alignment horizontal="right"/>
    </xf>
    <xf numFmtId="9" fontId="8" fillId="3" borderId="15" xfId="4" applyNumberFormat="1" applyFont="1" applyBorder="1" applyAlignment="1">
      <alignment horizontal="center" vertical="center"/>
    </xf>
    <xf numFmtId="0" fontId="0" fillId="13" borderId="11" xfId="0" applyFill="1" applyBorder="1"/>
    <xf numFmtId="3" fontId="8" fillId="2" borderId="14" xfId="3" applyNumberFormat="1" applyFont="1" applyBorder="1" applyAlignment="1">
      <alignment horizontal="right"/>
    </xf>
    <xf numFmtId="164" fontId="8" fillId="2" borderId="16" xfId="1" applyNumberFormat="1" applyFont="1" applyFill="1" applyBorder="1" applyAlignment="1">
      <alignment horizontal="right"/>
    </xf>
    <xf numFmtId="9" fontId="8" fillId="2" borderId="15" xfId="3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  <xf numFmtId="3" fontId="8" fillId="2" borderId="18" xfId="3" applyNumberFormat="1" applyFont="1" applyBorder="1" applyAlignment="1">
      <alignment horizontal="right"/>
    </xf>
    <xf numFmtId="164" fontId="8" fillId="2" borderId="19" xfId="1" applyNumberFormat="1" applyFont="1" applyFill="1" applyBorder="1" applyAlignment="1">
      <alignment horizontal="right"/>
    </xf>
    <xf numFmtId="164" fontId="8" fillId="2" borderId="20" xfId="1" applyNumberFormat="1" applyFont="1" applyFill="1" applyBorder="1" applyAlignment="1">
      <alignment horizontal="right"/>
    </xf>
    <xf numFmtId="9" fontId="8" fillId="3" borderId="21" xfId="4" applyNumberFormat="1" applyFont="1" applyBorder="1" applyAlignment="1">
      <alignment horizontal="center" vertical="center"/>
    </xf>
    <xf numFmtId="3" fontId="8" fillId="13" borderId="18" xfId="4" applyNumberFormat="1" applyFont="1" applyFill="1" applyBorder="1"/>
    <xf numFmtId="3" fontId="8" fillId="2" borderId="22" xfId="3" applyNumberFormat="1" applyFont="1" applyBorder="1" applyAlignment="1">
      <alignment horizontal="right"/>
    </xf>
    <xf numFmtId="164" fontId="8" fillId="2" borderId="23" xfId="1" applyNumberFormat="1" applyFont="1" applyFill="1" applyBorder="1" applyAlignment="1">
      <alignment horizontal="right"/>
    </xf>
    <xf numFmtId="9" fontId="8" fillId="2" borderId="24" xfId="3" applyNumberFormat="1" applyFont="1" applyBorder="1" applyAlignment="1">
      <alignment horizontal="center"/>
    </xf>
    <xf numFmtId="0" fontId="10" fillId="15" borderId="8" xfId="0" applyFont="1" applyFill="1" applyBorder="1" applyAlignment="1">
      <alignment horizontal="center" vertical="center"/>
    </xf>
    <xf numFmtId="3" fontId="8" fillId="2" borderId="25" xfId="3" applyNumberFormat="1" applyFont="1" applyBorder="1" applyAlignment="1">
      <alignment horizontal="right"/>
    </xf>
    <xf numFmtId="164" fontId="8" fillId="2" borderId="25" xfId="1" applyNumberFormat="1" applyFont="1" applyFill="1" applyBorder="1" applyAlignment="1">
      <alignment horizontal="right"/>
    </xf>
    <xf numFmtId="164" fontId="8" fillId="2" borderId="26" xfId="1" applyNumberFormat="1" applyFont="1" applyFill="1" applyBorder="1" applyAlignment="1">
      <alignment horizontal="right"/>
    </xf>
    <xf numFmtId="9" fontId="8" fillId="3" borderId="27" xfId="4" applyNumberFormat="1" applyFont="1" applyBorder="1" applyAlignment="1">
      <alignment horizontal="center" vertical="center"/>
    </xf>
    <xf numFmtId="0" fontId="0" fillId="13" borderId="6" xfId="0" applyFill="1" applyBorder="1"/>
    <xf numFmtId="3" fontId="8" fillId="2" borderId="28" xfId="3" applyNumberFormat="1" applyFont="1" applyBorder="1" applyAlignment="1">
      <alignment horizontal="right"/>
    </xf>
    <xf numFmtId="9" fontId="8" fillId="2" borderId="29" xfId="3" applyNumberFormat="1" applyFont="1" applyBorder="1" applyAlignment="1">
      <alignment horizontal="center"/>
    </xf>
    <xf numFmtId="3" fontId="8" fillId="2" borderId="30" xfId="3" applyNumberFormat="1" applyFont="1" applyBorder="1" applyAlignment="1">
      <alignment horizontal="right"/>
    </xf>
    <xf numFmtId="164" fontId="8" fillId="2" borderId="31" xfId="1" applyNumberFormat="1" applyFont="1" applyFill="1" applyBorder="1" applyAlignment="1">
      <alignment horizontal="right"/>
    </xf>
    <xf numFmtId="164" fontId="8" fillId="2" borderId="32" xfId="1" applyNumberFormat="1" applyFont="1" applyFill="1" applyBorder="1" applyAlignment="1">
      <alignment horizontal="right"/>
    </xf>
    <xf numFmtId="9" fontId="8" fillId="3" borderId="33" xfId="4" applyNumberFormat="1" applyFont="1" applyBorder="1" applyAlignment="1">
      <alignment horizontal="center" vertical="center"/>
    </xf>
    <xf numFmtId="3" fontId="8" fillId="2" borderId="31" xfId="3" applyNumberFormat="1" applyFont="1" applyBorder="1" applyAlignment="1">
      <alignment horizontal="right"/>
    </xf>
    <xf numFmtId="164" fontId="8" fillId="2" borderId="28" xfId="1" applyNumberFormat="1" applyFont="1" applyFill="1" applyBorder="1" applyAlignment="1">
      <alignment horizontal="right"/>
    </xf>
    <xf numFmtId="9" fontId="8" fillId="3" borderId="29" xfId="4" applyNumberFormat="1" applyFont="1" applyBorder="1" applyAlignment="1">
      <alignment horizontal="center" vertical="center"/>
    </xf>
    <xf numFmtId="0" fontId="0" fillId="13" borderId="0" xfId="0" applyFill="1" applyBorder="1"/>
    <xf numFmtId="3" fontId="8" fillId="2" borderId="10" xfId="3" applyNumberFormat="1" applyFont="1" applyBorder="1" applyAlignment="1">
      <alignment horizontal="right"/>
    </xf>
    <xf numFmtId="164" fontId="8" fillId="2" borderId="34" xfId="1" applyNumberFormat="1" applyFont="1" applyFill="1" applyBorder="1" applyAlignment="1">
      <alignment horizontal="right"/>
    </xf>
    <xf numFmtId="9" fontId="8" fillId="3" borderId="35" xfId="4" applyNumberFormat="1" applyFont="1" applyBorder="1" applyAlignment="1">
      <alignment horizontal="center" vertical="center"/>
    </xf>
    <xf numFmtId="3" fontId="8" fillId="13" borderId="10" xfId="4" applyNumberFormat="1" applyFont="1" applyFill="1" applyBorder="1"/>
    <xf numFmtId="3" fontId="8" fillId="2" borderId="16" xfId="3" applyNumberFormat="1" applyFont="1" applyBorder="1" applyAlignment="1">
      <alignment horizontal="right"/>
    </xf>
    <xf numFmtId="0" fontId="10" fillId="15" borderId="17" xfId="0" applyFont="1" applyFill="1" applyBorder="1" applyAlignment="1">
      <alignment horizontal="center" vertical="center"/>
    </xf>
    <xf numFmtId="3" fontId="8" fillId="2" borderId="36" xfId="3" applyNumberFormat="1" applyFont="1" applyBorder="1" applyAlignment="1">
      <alignment horizontal="right"/>
    </xf>
    <xf numFmtId="164" fontId="8" fillId="2" borderId="37" xfId="1" applyNumberFormat="1" applyFont="1" applyFill="1" applyBorder="1" applyAlignment="1">
      <alignment horizontal="right"/>
    </xf>
    <xf numFmtId="0" fontId="0" fillId="13" borderId="5" xfId="0" applyFill="1" applyBorder="1"/>
    <xf numFmtId="3" fontId="8" fillId="2" borderId="26" xfId="3" applyNumberFormat="1" applyFont="1" applyBorder="1" applyAlignment="1">
      <alignment horizontal="right"/>
    </xf>
    <xf numFmtId="164" fontId="8" fillId="2" borderId="38" xfId="1" applyNumberFormat="1" applyFont="1" applyFill="1" applyBorder="1" applyAlignment="1">
      <alignment horizontal="right"/>
    </xf>
    <xf numFmtId="9" fontId="8" fillId="2" borderId="27" xfId="3" applyNumberFormat="1" applyFont="1" applyBorder="1" applyAlignment="1">
      <alignment horizontal="center"/>
    </xf>
    <xf numFmtId="3" fontId="8" fillId="2" borderId="39" xfId="3" applyNumberFormat="1" applyFont="1" applyBorder="1" applyAlignment="1">
      <alignment horizontal="right"/>
    </xf>
    <xf numFmtId="164" fontId="8" fillId="2" borderId="40" xfId="1" applyNumberFormat="1" applyFont="1" applyFill="1" applyBorder="1" applyAlignment="1">
      <alignment horizontal="right"/>
    </xf>
    <xf numFmtId="0" fontId="0" fillId="13" borderId="8" xfId="0" applyFill="1" applyBorder="1"/>
    <xf numFmtId="3" fontId="8" fillId="2" borderId="41" xfId="3" applyNumberFormat="1" applyFont="1" applyBorder="1" applyAlignment="1">
      <alignment horizontal="right"/>
    </xf>
    <xf numFmtId="164" fontId="8" fillId="2" borderId="42" xfId="1" applyNumberFormat="1" applyFont="1" applyFill="1" applyBorder="1" applyAlignment="1">
      <alignment horizontal="right"/>
    </xf>
    <xf numFmtId="164" fontId="8" fillId="2" borderId="43" xfId="1" applyNumberFormat="1" applyFont="1" applyFill="1" applyBorder="1" applyAlignment="1">
      <alignment horizontal="right"/>
    </xf>
    <xf numFmtId="9" fontId="8" fillId="3" borderId="44" xfId="4" applyNumberFormat="1" applyFont="1" applyBorder="1" applyAlignment="1">
      <alignment horizontal="center" vertical="center"/>
    </xf>
    <xf numFmtId="0" fontId="0" fillId="13" borderId="18" xfId="0" applyFill="1" applyBorder="1"/>
    <xf numFmtId="9" fontId="8" fillId="3" borderId="45" xfId="4" applyNumberFormat="1" applyFont="1" applyBorder="1" applyAlignment="1">
      <alignment horizontal="center" vertical="center"/>
    </xf>
    <xf numFmtId="3" fontId="8" fillId="13" borderId="5" xfId="4" applyNumberFormat="1" applyFont="1" applyFill="1" applyBorder="1"/>
    <xf numFmtId="3" fontId="8" fillId="2" borderId="38" xfId="3" applyNumberFormat="1" applyFont="1" applyBorder="1" applyAlignment="1">
      <alignment horizontal="right"/>
    </xf>
    <xf numFmtId="9" fontId="8" fillId="3" borderId="46" xfId="4" applyNumberFormat="1" applyFont="1" applyBorder="1" applyAlignment="1">
      <alignment horizontal="center" vertical="center"/>
    </xf>
    <xf numFmtId="3" fontId="8" fillId="2" borderId="47" xfId="3" applyNumberFormat="1" applyFont="1" applyBorder="1" applyAlignment="1">
      <alignment horizontal="right"/>
    </xf>
    <xf numFmtId="164" fontId="8" fillId="2" borderId="47" xfId="1" applyNumberFormat="1" applyFont="1" applyFill="1" applyBorder="1" applyAlignment="1">
      <alignment horizontal="right"/>
    </xf>
    <xf numFmtId="9" fontId="8" fillId="2" borderId="44" xfId="3" applyNumberFormat="1" applyFont="1" applyBorder="1" applyAlignment="1">
      <alignment horizontal="center"/>
    </xf>
    <xf numFmtId="3" fontId="18" fillId="16" borderId="48" xfId="3" applyNumberFormat="1" applyFont="1" applyFill="1" applyBorder="1" applyAlignment="1">
      <alignment horizontal="right"/>
    </xf>
    <xf numFmtId="164" fontId="8" fillId="16" borderId="19" xfId="1" applyNumberFormat="1" applyFont="1" applyFill="1" applyBorder="1" applyAlignment="1">
      <alignment horizontal="center"/>
    </xf>
    <xf numFmtId="0" fontId="8" fillId="16" borderId="0" xfId="3" applyFont="1" applyFill="1" applyBorder="1" applyAlignment="1">
      <alignment horizontal="center"/>
    </xf>
    <xf numFmtId="9" fontId="8" fillId="16" borderId="0" xfId="2" applyFont="1" applyFill="1" applyBorder="1" applyAlignment="1">
      <alignment horizontal="center" vertical="center"/>
    </xf>
    <xf numFmtId="3" fontId="8" fillId="13" borderId="8" xfId="4" applyNumberFormat="1" applyFont="1" applyFill="1" applyBorder="1"/>
    <xf numFmtId="3" fontId="18" fillId="17" borderId="18" xfId="3" applyNumberFormat="1" applyFont="1" applyFill="1" applyBorder="1" applyAlignment="1">
      <alignment horizontal="right"/>
    </xf>
    <xf numFmtId="164" fontId="8" fillId="17" borderId="49" xfId="1" applyNumberFormat="1" applyFont="1" applyFill="1" applyBorder="1" applyAlignment="1">
      <alignment horizontal="center"/>
    </xf>
    <xf numFmtId="0" fontId="8" fillId="17" borderId="0" xfId="3" applyFont="1" applyFill="1" applyBorder="1" applyAlignment="1">
      <alignment horizontal="center"/>
    </xf>
    <xf numFmtId="9" fontId="8" fillId="17" borderId="7" xfId="2" applyFont="1" applyFill="1" applyBorder="1" applyAlignment="1">
      <alignment horizontal="center" vertical="center"/>
    </xf>
    <xf numFmtId="0" fontId="10" fillId="15" borderId="19" xfId="0" applyFont="1" applyFill="1" applyBorder="1" applyAlignment="1">
      <alignment horizontal="center" vertical="center"/>
    </xf>
    <xf numFmtId="3" fontId="18" fillId="16" borderId="11" xfId="3" applyNumberFormat="1" applyFont="1" applyFill="1" applyBorder="1" applyAlignment="1">
      <alignment horizontal="right"/>
    </xf>
    <xf numFmtId="164" fontId="8" fillId="16" borderId="13" xfId="1" applyNumberFormat="1" applyFont="1" applyFill="1" applyBorder="1" applyAlignment="1">
      <alignment horizontal="right"/>
    </xf>
    <xf numFmtId="0" fontId="8" fillId="16" borderId="11" xfId="3" applyFont="1" applyFill="1" applyBorder="1" applyAlignment="1">
      <alignment horizontal="center"/>
    </xf>
    <xf numFmtId="9" fontId="8" fillId="16" borderId="11" xfId="3" applyNumberFormat="1" applyFont="1" applyFill="1" applyBorder="1" applyAlignment="1">
      <alignment horizontal="center" vertical="center"/>
    </xf>
    <xf numFmtId="3" fontId="18" fillId="17" borderId="10" xfId="3" applyNumberFormat="1" applyFont="1" applyFill="1" applyBorder="1" applyAlignment="1">
      <alignment horizontal="right"/>
    </xf>
    <xf numFmtId="164" fontId="8" fillId="17" borderId="11" xfId="1" applyNumberFormat="1" applyFont="1" applyFill="1" applyBorder="1" applyAlignment="1">
      <alignment horizontal="right"/>
    </xf>
    <xf numFmtId="0" fontId="8" fillId="17" borderId="11" xfId="3" applyFont="1" applyFill="1" applyBorder="1" applyAlignment="1">
      <alignment horizontal="center"/>
    </xf>
    <xf numFmtId="9" fontId="8" fillId="17" borderId="12" xfId="3" applyNumberFormat="1" applyFont="1" applyFill="1" applyBorder="1" applyAlignment="1">
      <alignment horizontal="center" vertical="center"/>
    </xf>
    <xf numFmtId="0" fontId="10" fillId="17" borderId="50" xfId="0" applyFont="1" applyFill="1" applyBorder="1" applyAlignment="1">
      <alignment horizontal="center" vertical="center"/>
    </xf>
    <xf numFmtId="3" fontId="8" fillId="2" borderId="51" xfId="3" applyNumberFormat="1" applyFont="1" applyBorder="1" applyAlignment="1">
      <alignment horizontal="right"/>
    </xf>
    <xf numFmtId="165" fontId="0" fillId="0" borderId="9" xfId="1" applyNumberFormat="1" applyFont="1" applyBorder="1" applyAlignment="1">
      <alignment horizontal="center" vertical="center"/>
    </xf>
    <xf numFmtId="0" fontId="10" fillId="17" borderId="17" xfId="0" applyFont="1" applyFill="1" applyBorder="1" applyAlignment="1">
      <alignment horizontal="center" vertical="center"/>
    </xf>
    <xf numFmtId="3" fontId="8" fillId="2" borderId="52" xfId="3" applyNumberFormat="1" applyFont="1" applyBorder="1" applyAlignment="1">
      <alignment horizontal="right"/>
    </xf>
    <xf numFmtId="164" fontId="8" fillId="2" borderId="30" xfId="1" applyNumberFormat="1" applyFont="1" applyFill="1" applyBorder="1" applyAlignment="1">
      <alignment horizontal="right"/>
    </xf>
    <xf numFmtId="164" fontId="8" fillId="2" borderId="53" xfId="1" applyNumberFormat="1" applyFont="1" applyFill="1" applyBorder="1" applyAlignment="1">
      <alignment horizontal="right"/>
    </xf>
    <xf numFmtId="164" fontId="8" fillId="2" borderId="54" xfId="1" applyNumberFormat="1" applyFont="1" applyFill="1" applyBorder="1" applyAlignment="1">
      <alignment horizontal="right"/>
    </xf>
    <xf numFmtId="3" fontId="8" fillId="2" borderId="55" xfId="3" applyNumberFormat="1" applyFont="1" applyBorder="1" applyAlignment="1">
      <alignment horizontal="right"/>
    </xf>
    <xf numFmtId="0" fontId="9" fillId="17" borderId="17" xfId="0" applyFont="1" applyFill="1" applyBorder="1" applyAlignment="1">
      <alignment horizontal="center" vertical="center"/>
    </xf>
    <xf numFmtId="3" fontId="18" fillId="16" borderId="6" xfId="3" applyNumberFormat="1" applyFont="1" applyFill="1" applyBorder="1" applyAlignment="1">
      <alignment horizontal="right"/>
    </xf>
    <xf numFmtId="164" fontId="8" fillId="16" borderId="50" xfId="1" applyNumberFormat="1" applyFont="1" applyFill="1" applyBorder="1" applyAlignment="1">
      <alignment horizontal="center"/>
    </xf>
    <xf numFmtId="0" fontId="8" fillId="4" borderId="6" xfId="5" applyFont="1" applyBorder="1" applyAlignment="1">
      <alignment horizontal="center"/>
    </xf>
    <xf numFmtId="3" fontId="14" fillId="16" borderId="7" xfId="6" applyNumberFormat="1" applyFont="1" applyFill="1" applyBorder="1" applyAlignment="1">
      <alignment horizontal="center"/>
    </xf>
    <xf numFmtId="0" fontId="8" fillId="13" borderId="8" xfId="5" applyFont="1" applyFill="1" applyBorder="1"/>
    <xf numFmtId="3" fontId="18" fillId="17" borderId="5" xfId="3" applyNumberFormat="1" applyFont="1" applyFill="1" applyBorder="1" applyAlignment="1">
      <alignment horizontal="right"/>
    </xf>
    <xf numFmtId="164" fontId="8" fillId="17" borderId="7" xfId="1" applyNumberFormat="1" applyFont="1" applyFill="1" applyBorder="1" applyAlignment="1">
      <alignment horizontal="center"/>
    </xf>
    <xf numFmtId="164" fontId="8" fillId="17" borderId="6" xfId="5" applyNumberFormat="1" applyFont="1" applyFill="1" applyBorder="1" applyAlignment="1">
      <alignment horizontal="center"/>
    </xf>
    <xf numFmtId="3" fontId="14" fillId="17" borderId="7" xfId="6" applyNumberFormat="1" applyFont="1" applyFill="1" applyBorder="1" applyAlignment="1">
      <alignment horizontal="center"/>
    </xf>
    <xf numFmtId="164" fontId="8" fillId="16" borderId="13" xfId="1" applyNumberFormat="1" applyFont="1" applyFill="1" applyBorder="1" applyAlignment="1">
      <alignment horizontal="center"/>
    </xf>
    <xf numFmtId="0" fontId="8" fillId="4" borderId="11" xfId="5" applyFont="1" applyBorder="1" applyAlignment="1">
      <alignment horizontal="center"/>
    </xf>
    <xf numFmtId="10" fontId="8" fillId="4" borderId="12" xfId="5" applyNumberFormat="1" applyFont="1" applyBorder="1" applyAlignment="1">
      <alignment horizontal="center" vertical="center"/>
    </xf>
    <xf numFmtId="0" fontId="8" fillId="17" borderId="6" xfId="5" applyFont="1" applyFill="1" applyBorder="1" applyAlignment="1">
      <alignment horizontal="center"/>
    </xf>
    <xf numFmtId="10" fontId="8" fillId="17" borderId="7" xfId="5" applyNumberFormat="1" applyFont="1" applyFill="1" applyBorder="1" applyAlignment="1">
      <alignment horizontal="center" vertical="center"/>
    </xf>
    <xf numFmtId="0" fontId="10" fillId="12" borderId="50" xfId="0" applyFont="1" applyFill="1" applyBorder="1" applyAlignment="1">
      <alignment horizontal="center" vertical="center"/>
    </xf>
    <xf numFmtId="3" fontId="8" fillId="2" borderId="3" xfId="3" applyNumberFormat="1" applyFont="1" applyBorder="1" applyAlignment="1">
      <alignment horizontal="right"/>
    </xf>
    <xf numFmtId="3" fontId="8" fillId="2" borderId="50" xfId="3" applyNumberFormat="1" applyFont="1" applyBorder="1" applyAlignment="1">
      <alignment horizontal="center"/>
    </xf>
    <xf numFmtId="3" fontId="8" fillId="2" borderId="53" xfId="3" applyNumberFormat="1" applyFont="1" applyBorder="1" applyAlignment="1">
      <alignment horizontal="center"/>
    </xf>
    <xf numFmtId="3" fontId="8" fillId="2" borderId="38" xfId="3" applyNumberFormat="1" applyFont="1" applyBorder="1" applyAlignment="1">
      <alignment horizontal="center"/>
    </xf>
    <xf numFmtId="3" fontId="8" fillId="2" borderId="27" xfId="3" applyNumberFormat="1" applyFont="1" applyBorder="1" applyAlignment="1">
      <alignment horizont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0" xfId="0" applyNumberFormat="1"/>
    <xf numFmtId="0" fontId="10" fillId="12" borderId="17" xfId="0" applyFont="1" applyFill="1" applyBorder="1" applyAlignment="1">
      <alignment horizontal="center" vertical="center"/>
    </xf>
    <xf numFmtId="3" fontId="8" fillId="2" borderId="56" xfId="3" applyNumberFormat="1" applyFont="1" applyBorder="1" applyAlignment="1">
      <alignment horizontal="center"/>
    </xf>
    <xf numFmtId="3" fontId="8" fillId="2" borderId="40" xfId="3" applyNumberFormat="1" applyFont="1" applyBorder="1" applyAlignment="1">
      <alignment horizontal="center"/>
    </xf>
    <xf numFmtId="3" fontId="8" fillId="2" borderId="4" xfId="3" applyNumberFormat="1" applyFont="1" applyBorder="1" applyAlignment="1">
      <alignment horizontal="center"/>
    </xf>
    <xf numFmtId="3" fontId="8" fillId="2" borderId="29" xfId="3" applyNumberFormat="1" applyFont="1" applyBorder="1" applyAlignment="1">
      <alignment horizontal="center"/>
    </xf>
    <xf numFmtId="9" fontId="0" fillId="0" borderId="0" xfId="2" applyFont="1"/>
    <xf numFmtId="3" fontId="8" fillId="2" borderId="2" xfId="3" applyNumberFormat="1" applyFont="1" applyBorder="1" applyAlignment="1">
      <alignment horizontal="right"/>
    </xf>
    <xf numFmtId="3" fontId="8" fillId="2" borderId="57" xfId="3" applyNumberFormat="1" applyFont="1" applyBorder="1" applyAlignment="1">
      <alignment horizontal="center"/>
    </xf>
    <xf numFmtId="9" fontId="8" fillId="3" borderId="58" xfId="4" applyNumberFormat="1" applyFont="1" applyBorder="1" applyAlignment="1">
      <alignment horizontal="center" vertical="center"/>
    </xf>
    <xf numFmtId="3" fontId="8" fillId="2" borderId="47" xfId="3" applyNumberFormat="1" applyFont="1" applyBorder="1" applyAlignment="1">
      <alignment horizontal="center"/>
    </xf>
    <xf numFmtId="3" fontId="8" fillId="2" borderId="44" xfId="3" applyNumberFormat="1" applyFont="1" applyBorder="1" applyAlignment="1">
      <alignment horizontal="center"/>
    </xf>
    <xf numFmtId="0" fontId="7" fillId="12" borderId="17" xfId="0" applyFont="1" applyFill="1" applyBorder="1" applyAlignment="1">
      <alignment wrapText="1"/>
    </xf>
    <xf numFmtId="0" fontId="11" fillId="16" borderId="11" xfId="0" applyFont="1" applyFill="1" applyBorder="1"/>
    <xf numFmtId="164" fontId="8" fillId="16" borderId="11" xfId="1" applyNumberFormat="1" applyFont="1" applyFill="1" applyBorder="1" applyAlignment="1">
      <alignment horizontal="center"/>
    </xf>
    <xf numFmtId="164" fontId="8" fillId="16" borderId="12" xfId="1" applyNumberFormat="1" applyFont="1" applyFill="1" applyBorder="1" applyAlignment="1">
      <alignment horizontal="center"/>
    </xf>
    <xf numFmtId="0" fontId="11" fillId="17" borderId="18" xfId="0" applyFont="1" applyFill="1" applyBorder="1"/>
    <xf numFmtId="165" fontId="6" fillId="17" borderId="49" xfId="1" applyNumberFormat="1" applyFont="1" applyFill="1" applyBorder="1"/>
    <xf numFmtId="164" fontId="8" fillId="17" borderId="48" xfId="1" applyNumberFormat="1" applyFont="1" applyFill="1" applyBorder="1" applyAlignment="1">
      <alignment horizontal="center"/>
    </xf>
    <xf numFmtId="9" fontId="8" fillId="17" borderId="13" xfId="2" applyFont="1" applyFill="1" applyBorder="1" applyAlignment="1">
      <alignment horizontal="center"/>
    </xf>
    <xf numFmtId="0" fontId="7" fillId="12" borderId="19" xfId="0" applyFont="1" applyFill="1" applyBorder="1" applyAlignment="1">
      <alignment wrapText="1"/>
    </xf>
    <xf numFmtId="0" fontId="11" fillId="16" borderId="10" xfId="0" applyFont="1" applyFill="1" applyBorder="1"/>
    <xf numFmtId="164" fontId="6" fillId="17" borderId="48" xfId="1" applyNumberFormat="1" applyFont="1" applyFill="1" applyBorder="1"/>
    <xf numFmtId="9" fontId="8" fillId="17" borderId="7" xfId="2" applyFont="1" applyFill="1" applyBorder="1" applyAlignment="1">
      <alignment horizontal="center"/>
    </xf>
    <xf numFmtId="0" fontId="10" fillId="18" borderId="17" xfId="0" applyFont="1" applyFill="1" applyBorder="1" applyAlignment="1">
      <alignment horizontal="center" vertical="center"/>
    </xf>
    <xf numFmtId="3" fontId="8" fillId="2" borderId="8" xfId="3" applyNumberFormat="1" applyFont="1" applyBorder="1" applyAlignment="1">
      <alignment horizontal="right"/>
    </xf>
    <xf numFmtId="3" fontId="8" fillId="2" borderId="17" xfId="3" applyNumberFormat="1" applyFont="1" applyBorder="1" applyAlignment="1">
      <alignment horizontal="center"/>
    </xf>
    <xf numFmtId="3" fontId="8" fillId="2" borderId="59" xfId="3" applyNumberFormat="1" applyFont="1" applyBorder="1" applyAlignment="1">
      <alignment horizontal="center"/>
    </xf>
    <xf numFmtId="9" fontId="8" fillId="3" borderId="60" xfId="4" applyNumberFormat="1" applyFont="1" applyBorder="1" applyAlignment="1">
      <alignment horizontal="center" vertical="center"/>
    </xf>
    <xf numFmtId="0" fontId="7" fillId="18" borderId="8" xfId="0" applyFont="1" applyFill="1" applyBorder="1" applyAlignment="1">
      <alignment wrapText="1"/>
    </xf>
    <xf numFmtId="0" fontId="11" fillId="16" borderId="8" xfId="0" applyFont="1" applyFill="1" applyBorder="1"/>
    <xf numFmtId="164" fontId="8" fillId="16" borderId="0" xfId="1" applyNumberFormat="1" applyFont="1" applyFill="1" applyBorder="1" applyAlignment="1">
      <alignment horizontal="center"/>
    </xf>
    <xf numFmtId="9" fontId="8" fillId="3" borderId="12" xfId="4" applyNumberFormat="1" applyFont="1" applyBorder="1" applyAlignment="1">
      <alignment horizontal="center" vertical="center"/>
    </xf>
    <xf numFmtId="164" fontId="8" fillId="16" borderId="9" xfId="1" applyNumberFormat="1" applyFont="1" applyFill="1" applyBorder="1" applyAlignment="1">
      <alignment horizontal="center"/>
    </xf>
    <xf numFmtId="0" fontId="10" fillId="19" borderId="5" xfId="0" applyFont="1" applyFill="1" applyBorder="1" applyAlignment="1">
      <alignment horizontal="center" vertical="center"/>
    </xf>
    <xf numFmtId="0" fontId="0" fillId="19" borderId="10" xfId="0" applyFill="1" applyBorder="1"/>
    <xf numFmtId="0" fontId="11" fillId="19" borderId="13" xfId="0" applyFont="1" applyFill="1" applyBorder="1" applyAlignment="1">
      <alignment horizontal="center"/>
    </xf>
    <xf numFmtId="0" fontId="11" fillId="19" borderId="11" xfId="0" applyFont="1" applyFill="1" applyBorder="1" applyAlignment="1">
      <alignment horizontal="center"/>
    </xf>
    <xf numFmtId="0" fontId="11" fillId="19" borderId="12" xfId="0" applyFont="1" applyFill="1" applyBorder="1" applyAlignment="1">
      <alignment horizontal="center"/>
    </xf>
    <xf numFmtId="0" fontId="19" fillId="20" borderId="10" xfId="5" applyFont="1" applyFill="1" applyBorder="1"/>
    <xf numFmtId="3" fontId="19" fillId="20" borderId="11" xfId="5" applyNumberFormat="1" applyFont="1" applyFill="1" applyBorder="1" applyAlignment="1">
      <alignment horizontal="center" wrapText="1"/>
    </xf>
    <xf numFmtId="9" fontId="19" fillId="20" borderId="11" xfId="5" applyNumberFormat="1" applyFont="1" applyFill="1" applyBorder="1" applyAlignment="1">
      <alignment horizontal="center" vertical="center"/>
    </xf>
    <xf numFmtId="9" fontId="19" fillId="20" borderId="12" xfId="5" applyNumberFormat="1" applyFont="1" applyFill="1" applyBorder="1" applyAlignment="1">
      <alignment horizontal="center" vertical="center"/>
    </xf>
    <xf numFmtId="0" fontId="10" fillId="19" borderId="17" xfId="0" applyFont="1" applyFill="1" applyBorder="1" applyAlignment="1">
      <alignment horizontal="center" vertical="center"/>
    </xf>
    <xf numFmtId="164" fontId="8" fillId="16" borderId="6" xfId="1" applyNumberFormat="1" applyFont="1" applyFill="1" applyBorder="1" applyAlignment="1">
      <alignment horizontal="center"/>
    </xf>
    <xf numFmtId="10" fontId="8" fillId="16" borderId="7" xfId="2" applyNumberFormat="1" applyFont="1" applyFill="1" applyBorder="1" applyAlignment="1">
      <alignment horizontal="center"/>
    </xf>
    <xf numFmtId="3" fontId="8" fillId="16" borderId="7" xfId="1" applyNumberFormat="1" applyFont="1" applyFill="1" applyBorder="1" applyAlignment="1">
      <alignment horizontal="center"/>
    </xf>
    <xf numFmtId="164" fontId="8" fillId="16" borderId="5" xfId="1" applyNumberFormat="1" applyFont="1" applyFill="1" applyBorder="1" applyAlignment="1">
      <alignment horizontal="center"/>
    </xf>
    <xf numFmtId="0" fontId="0" fillId="19" borderId="17" xfId="0" applyFill="1" applyBorder="1"/>
    <xf numFmtId="0" fontId="11" fillId="16" borderId="5" xfId="0" applyFont="1" applyFill="1" applyBorder="1"/>
    <xf numFmtId="9" fontId="8" fillId="16" borderId="7" xfId="2" applyFont="1" applyFill="1" applyBorder="1" applyAlignment="1">
      <alignment horizontal="center"/>
    </xf>
    <xf numFmtId="0" fontId="20" fillId="20" borderId="13" xfId="0" applyFont="1" applyFill="1" applyBorder="1" applyAlignment="1">
      <alignment horizontal="center" vertical="center"/>
    </xf>
    <xf numFmtId="3" fontId="21" fillId="20" borderId="11" xfId="3" applyNumberFormat="1" applyFont="1" applyFill="1" applyBorder="1" applyAlignment="1">
      <alignment horizontal="right"/>
    </xf>
    <xf numFmtId="164" fontId="22" fillId="20" borderId="13" xfId="5" applyNumberFormat="1" applyFont="1" applyFill="1" applyBorder="1" applyAlignment="1">
      <alignment wrapText="1"/>
    </xf>
    <xf numFmtId="0" fontId="19" fillId="20" borderId="11" xfId="5" applyFont="1" applyFill="1" applyBorder="1" applyAlignment="1">
      <alignment horizontal="center"/>
    </xf>
    <xf numFmtId="10" fontId="19" fillId="20" borderId="11" xfId="5" applyNumberFormat="1" applyFont="1" applyFill="1" applyBorder="1" applyAlignment="1">
      <alignment horizontal="center" vertical="center"/>
    </xf>
    <xf numFmtId="0" fontId="0" fillId="20" borderId="10" xfId="0" applyFill="1" applyBorder="1"/>
    <xf numFmtId="166" fontId="22" fillId="20" borderId="11" xfId="0" applyNumberFormat="1" applyFont="1" applyFill="1" applyBorder="1"/>
    <xf numFmtId="0" fontId="0" fillId="20" borderId="11" xfId="0" applyFill="1" applyBorder="1"/>
    <xf numFmtId="0" fontId="0" fillId="20" borderId="12" xfId="0" applyFill="1" applyBorder="1"/>
    <xf numFmtId="0" fontId="11" fillId="0" borderId="5" xfId="0" applyFont="1" applyBorder="1"/>
    <xf numFmtId="0" fontId="0" fillId="0" borderId="6" xfId="0" applyBorder="1"/>
    <xf numFmtId="0" fontId="0" fillId="0" borderId="7" xfId="0" applyBorder="1"/>
    <xf numFmtId="0" fontId="0" fillId="13" borderId="17" xfId="0" applyFill="1" applyBorder="1"/>
    <xf numFmtId="0" fontId="11" fillId="18" borderId="5" xfId="8" applyFont="1" applyFill="1" applyBorder="1"/>
    <xf numFmtId="0" fontId="23" fillId="18" borderId="6" xfId="8" applyFill="1" applyBorder="1"/>
    <xf numFmtId="0" fontId="11" fillId="18" borderId="6" xfId="8" applyFont="1" applyFill="1" applyBorder="1"/>
    <xf numFmtId="0" fontId="23" fillId="18" borderId="7" xfId="8" applyFill="1" applyBorder="1"/>
    <xf numFmtId="0" fontId="6" fillId="0" borderId="8" xfId="0" applyFont="1" applyBorder="1"/>
    <xf numFmtId="3" fontId="0" fillId="0" borderId="0" xfId="0" applyNumberFormat="1" applyBorder="1"/>
    <xf numFmtId="9" fontId="0" fillId="0" borderId="9" xfId="2" applyFont="1" applyBorder="1"/>
    <xf numFmtId="0" fontId="6" fillId="0" borderId="5" xfId="8" applyFont="1" applyBorder="1"/>
    <xf numFmtId="3" fontId="23" fillId="0" borderId="7" xfId="8" applyNumberFormat="1" applyBorder="1" applyAlignment="1">
      <alignment horizontal="center"/>
    </xf>
    <xf numFmtId="0" fontId="6" fillId="0" borderId="6" xfId="8" applyFont="1" applyBorder="1"/>
    <xf numFmtId="3" fontId="23" fillId="0" borderId="6" xfId="8" applyNumberFormat="1" applyBorder="1" applyAlignment="1">
      <alignment horizontal="center"/>
    </xf>
    <xf numFmtId="0" fontId="6" fillId="0" borderId="8" xfId="8" applyFont="1" applyBorder="1"/>
    <xf numFmtId="9" fontId="23" fillId="0" borderId="9" xfId="8" applyNumberFormat="1" applyBorder="1" applyAlignment="1">
      <alignment horizontal="center"/>
    </xf>
    <xf numFmtId="0" fontId="6" fillId="0" borderId="0" xfId="8" applyFont="1" applyBorder="1"/>
    <xf numFmtId="9" fontId="23" fillId="0" borderId="0" xfId="8" applyNumberFormat="1" applyBorder="1"/>
    <xf numFmtId="0" fontId="0" fillId="0" borderId="9" xfId="0" applyBorder="1"/>
    <xf numFmtId="0" fontId="6" fillId="0" borderId="8" xfId="0" applyFont="1" applyFill="1" applyBorder="1"/>
    <xf numFmtId="9" fontId="23" fillId="0" borderId="9" xfId="9" applyFont="1" applyBorder="1" applyAlignment="1">
      <alignment horizontal="center"/>
    </xf>
    <xf numFmtId="9" fontId="23" fillId="21" borderId="0" xfId="8" applyNumberFormat="1" applyFill="1" applyBorder="1"/>
    <xf numFmtId="0" fontId="11" fillId="0" borderId="61" xfId="0" applyFont="1" applyBorder="1"/>
    <xf numFmtId="0" fontId="0" fillId="0" borderId="2" xfId="0" applyBorder="1"/>
    <xf numFmtId="0" fontId="0" fillId="0" borderId="62" xfId="0" applyBorder="1"/>
    <xf numFmtId="3" fontId="0" fillId="0" borderId="8" xfId="0" applyNumberFormat="1" applyBorder="1"/>
    <xf numFmtId="164" fontId="0" fillId="0" borderId="0" xfId="0" applyNumberFormat="1" applyBorder="1"/>
    <xf numFmtId="0" fontId="6" fillId="0" borderId="18" xfId="8" applyFont="1" applyBorder="1"/>
    <xf numFmtId="9" fontId="23" fillId="0" borderId="49" xfId="8" applyNumberFormat="1" applyBorder="1" applyAlignment="1">
      <alignment horizontal="center"/>
    </xf>
    <xf numFmtId="0" fontId="6" fillId="0" borderId="48" xfId="8" applyFont="1" applyBorder="1"/>
    <xf numFmtId="9" fontId="23" fillId="21" borderId="48" xfId="8" applyNumberFormat="1" applyFill="1" applyBorder="1"/>
    <xf numFmtId="0" fontId="0" fillId="0" borderId="49" xfId="0" applyBorder="1"/>
    <xf numFmtId="0" fontId="6" fillId="0" borderId="18" xfId="0" applyFont="1" applyFill="1" applyBorder="1"/>
    <xf numFmtId="3" fontId="0" fillId="0" borderId="48" xfId="0" applyNumberFormat="1" applyBorder="1"/>
    <xf numFmtId="9" fontId="0" fillId="0" borderId="49" xfId="2" applyFont="1" applyBorder="1"/>
    <xf numFmtId="3" fontId="0" fillId="0" borderId="18" xfId="0" applyNumberFormat="1" applyBorder="1"/>
    <xf numFmtId="164" fontId="0" fillId="0" borderId="48" xfId="0" applyNumberFormat="1" applyBorder="1"/>
    <xf numFmtId="0" fontId="0" fillId="13" borderId="19" xfId="0" applyFill="1" applyBorder="1"/>
    <xf numFmtId="0" fontId="0" fillId="0" borderId="17" xfId="0" applyFill="1" applyBorder="1"/>
    <xf numFmtId="0" fontId="11" fillId="10" borderId="6" xfId="8" applyFont="1" applyFill="1" applyBorder="1"/>
    <xf numFmtId="0" fontId="23" fillId="10" borderId="6" xfId="8" applyFill="1" applyBorder="1"/>
    <xf numFmtId="0" fontId="6" fillId="10" borderId="6" xfId="8" applyFont="1" applyFill="1" applyBorder="1"/>
    <xf numFmtId="3" fontId="23" fillId="10" borderId="6" xfId="8" applyNumberFormat="1" applyFill="1" applyBorder="1" applyAlignment="1">
      <alignment horizontal="center"/>
    </xf>
    <xf numFmtId="0" fontId="6" fillId="10" borderId="0" xfId="8" applyFont="1" applyFill="1" applyBorder="1"/>
    <xf numFmtId="9" fontId="23" fillId="10" borderId="0" xfId="8" applyNumberFormat="1" applyFill="1" applyBorder="1"/>
    <xf numFmtId="0" fontId="6" fillId="10" borderId="48" xfId="8" applyFont="1" applyFill="1" applyBorder="1"/>
    <xf numFmtId="9" fontId="23" fillId="10" borderId="48" xfId="8" applyNumberFormat="1" applyFill="1" applyBorder="1"/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3" fontId="8" fillId="0" borderId="13" xfId="3" applyNumberFormat="1" applyFont="1" applyFill="1" applyBorder="1" applyAlignment="1">
      <alignment horizontal="right"/>
    </xf>
    <xf numFmtId="164" fontId="8" fillId="0" borderId="13" xfId="1" applyNumberFormat="1" applyFont="1" applyFill="1" applyBorder="1" applyAlignment="1">
      <alignment horizontal="right"/>
    </xf>
    <xf numFmtId="164" fontId="8" fillId="0" borderId="14" xfId="1" applyNumberFormat="1" applyFont="1" applyFill="1" applyBorder="1" applyAlignment="1">
      <alignment horizontal="right"/>
    </xf>
    <xf numFmtId="9" fontId="8" fillId="0" borderId="15" xfId="4" applyNumberFormat="1" applyFont="1" applyFill="1" applyBorder="1" applyAlignment="1">
      <alignment horizontal="center" vertical="center"/>
    </xf>
    <xf numFmtId="0" fontId="0" fillId="0" borderId="11" xfId="0" applyFill="1" applyBorder="1"/>
    <xf numFmtId="3" fontId="8" fillId="0" borderId="14" xfId="3" applyNumberFormat="1" applyFont="1" applyFill="1" applyBorder="1" applyAlignment="1">
      <alignment horizontal="right"/>
    </xf>
    <xf numFmtId="164" fontId="8" fillId="0" borderId="16" xfId="1" applyNumberFormat="1" applyFont="1" applyFill="1" applyBorder="1" applyAlignment="1">
      <alignment horizontal="right"/>
    </xf>
    <xf numFmtId="9" fontId="8" fillId="0" borderId="15" xfId="3" applyNumberFormat="1" applyFont="1" applyFill="1" applyBorder="1" applyAlignment="1">
      <alignment horizontal="center"/>
    </xf>
    <xf numFmtId="164" fontId="0" fillId="0" borderId="9" xfId="1" applyNumberFormat="1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3" fontId="8" fillId="0" borderId="18" xfId="3" applyNumberFormat="1" applyFont="1" applyFill="1" applyBorder="1" applyAlignment="1">
      <alignment horizontal="right"/>
    </xf>
    <xf numFmtId="164" fontId="8" fillId="0" borderId="19" xfId="1" applyNumberFormat="1" applyFont="1" applyFill="1" applyBorder="1" applyAlignment="1">
      <alignment horizontal="right"/>
    </xf>
    <xf numFmtId="164" fontId="8" fillId="0" borderId="20" xfId="1" applyNumberFormat="1" applyFont="1" applyFill="1" applyBorder="1" applyAlignment="1">
      <alignment horizontal="right"/>
    </xf>
    <xf numFmtId="9" fontId="8" fillId="0" borderId="21" xfId="4" applyNumberFormat="1" applyFont="1" applyFill="1" applyBorder="1" applyAlignment="1">
      <alignment horizontal="center" vertical="center"/>
    </xf>
    <xf numFmtId="3" fontId="8" fillId="0" borderId="18" xfId="4" applyNumberFormat="1" applyFont="1" applyFill="1" applyBorder="1"/>
    <xf numFmtId="3" fontId="8" fillId="0" borderId="22" xfId="3" applyNumberFormat="1" applyFont="1" applyFill="1" applyBorder="1" applyAlignment="1">
      <alignment horizontal="right"/>
    </xf>
    <xf numFmtId="164" fontId="8" fillId="0" borderId="23" xfId="1" applyNumberFormat="1" applyFont="1" applyFill="1" applyBorder="1" applyAlignment="1">
      <alignment horizontal="right"/>
    </xf>
    <xf numFmtId="9" fontId="8" fillId="0" borderId="24" xfId="3" applyNumberFormat="1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 vertical="center"/>
    </xf>
    <xf numFmtId="3" fontId="8" fillId="0" borderId="25" xfId="3" applyNumberFormat="1" applyFont="1" applyFill="1" applyBorder="1" applyAlignment="1">
      <alignment horizontal="right"/>
    </xf>
    <xf numFmtId="164" fontId="8" fillId="0" borderId="25" xfId="1" applyNumberFormat="1" applyFont="1" applyFill="1" applyBorder="1" applyAlignment="1">
      <alignment horizontal="right"/>
    </xf>
    <xf numFmtId="164" fontId="8" fillId="0" borderId="26" xfId="1" applyNumberFormat="1" applyFont="1" applyFill="1" applyBorder="1" applyAlignment="1">
      <alignment horizontal="right"/>
    </xf>
    <xf numFmtId="9" fontId="8" fillId="0" borderId="27" xfId="4" applyNumberFormat="1" applyFont="1" applyFill="1" applyBorder="1" applyAlignment="1">
      <alignment horizontal="center" vertical="center"/>
    </xf>
    <xf numFmtId="0" fontId="0" fillId="0" borderId="6" xfId="0" applyFill="1" applyBorder="1"/>
    <xf numFmtId="3" fontId="8" fillId="0" borderId="28" xfId="3" applyNumberFormat="1" applyFont="1" applyFill="1" applyBorder="1" applyAlignment="1">
      <alignment horizontal="right"/>
    </xf>
    <xf numFmtId="164" fontId="8" fillId="0" borderId="4" xfId="1" applyNumberFormat="1" applyFont="1" applyFill="1" applyBorder="1" applyAlignment="1">
      <alignment horizontal="right"/>
    </xf>
    <xf numFmtId="9" fontId="8" fillId="0" borderId="29" xfId="3" applyNumberFormat="1" applyFont="1" applyFill="1" applyBorder="1" applyAlignment="1">
      <alignment horizontal="center"/>
    </xf>
    <xf numFmtId="3" fontId="8" fillId="0" borderId="30" xfId="3" applyNumberFormat="1" applyFont="1" applyFill="1" applyBorder="1" applyAlignment="1">
      <alignment horizontal="right"/>
    </xf>
    <xf numFmtId="164" fontId="8" fillId="0" borderId="31" xfId="1" applyNumberFormat="1" applyFont="1" applyFill="1" applyBorder="1" applyAlignment="1">
      <alignment horizontal="right"/>
    </xf>
    <xf numFmtId="164" fontId="8" fillId="0" borderId="32" xfId="1" applyNumberFormat="1" applyFont="1" applyFill="1" applyBorder="1" applyAlignment="1">
      <alignment horizontal="right"/>
    </xf>
    <xf numFmtId="9" fontId="8" fillId="0" borderId="33" xfId="4" applyNumberFormat="1" applyFont="1" applyFill="1" applyBorder="1" applyAlignment="1">
      <alignment horizontal="center" vertical="center"/>
    </xf>
    <xf numFmtId="3" fontId="8" fillId="0" borderId="31" xfId="3" applyNumberFormat="1" applyFont="1" applyFill="1" applyBorder="1" applyAlignment="1">
      <alignment horizontal="right"/>
    </xf>
    <xf numFmtId="164" fontId="8" fillId="0" borderId="28" xfId="1" applyNumberFormat="1" applyFont="1" applyFill="1" applyBorder="1" applyAlignment="1">
      <alignment horizontal="right"/>
    </xf>
    <xf numFmtId="9" fontId="8" fillId="0" borderId="29" xfId="4" applyNumberFormat="1" applyFont="1" applyFill="1" applyBorder="1" applyAlignment="1">
      <alignment horizontal="center" vertical="center"/>
    </xf>
    <xf numFmtId="0" fontId="0" fillId="0" borderId="0" xfId="0" applyFill="1" applyBorder="1"/>
    <xf numFmtId="3" fontId="8" fillId="0" borderId="10" xfId="3" applyNumberFormat="1" applyFont="1" applyFill="1" applyBorder="1" applyAlignment="1">
      <alignment horizontal="right"/>
    </xf>
    <xf numFmtId="164" fontId="8" fillId="0" borderId="34" xfId="1" applyNumberFormat="1" applyFont="1" applyFill="1" applyBorder="1" applyAlignment="1">
      <alignment horizontal="right"/>
    </xf>
    <xf numFmtId="9" fontId="8" fillId="0" borderId="35" xfId="4" applyNumberFormat="1" applyFont="1" applyFill="1" applyBorder="1" applyAlignment="1">
      <alignment horizontal="center" vertical="center"/>
    </xf>
    <xf numFmtId="3" fontId="8" fillId="0" borderId="10" xfId="4" applyNumberFormat="1" applyFont="1" applyFill="1" applyBorder="1"/>
    <xf numFmtId="3" fontId="8" fillId="0" borderId="16" xfId="3" applyNumberFormat="1" applyFont="1" applyFill="1" applyBorder="1" applyAlignment="1">
      <alignment horizontal="right"/>
    </xf>
    <xf numFmtId="0" fontId="10" fillId="0" borderId="17" xfId="0" applyFont="1" applyFill="1" applyBorder="1" applyAlignment="1">
      <alignment horizontal="center" vertical="center"/>
    </xf>
    <xf numFmtId="3" fontId="8" fillId="0" borderId="36" xfId="3" applyNumberFormat="1" applyFont="1" applyFill="1" applyBorder="1" applyAlignment="1">
      <alignment horizontal="right"/>
    </xf>
    <xf numFmtId="164" fontId="8" fillId="0" borderId="37" xfId="1" applyNumberFormat="1" applyFont="1" applyFill="1" applyBorder="1" applyAlignment="1">
      <alignment horizontal="right"/>
    </xf>
    <xf numFmtId="0" fontId="0" fillId="0" borderId="5" xfId="0" applyFill="1" applyBorder="1"/>
    <xf numFmtId="3" fontId="8" fillId="0" borderId="26" xfId="3" applyNumberFormat="1" applyFont="1" applyFill="1" applyBorder="1" applyAlignment="1">
      <alignment horizontal="right"/>
    </xf>
    <xf numFmtId="164" fontId="8" fillId="0" borderId="38" xfId="1" applyNumberFormat="1" applyFont="1" applyFill="1" applyBorder="1" applyAlignment="1">
      <alignment horizontal="right"/>
    </xf>
    <xf numFmtId="9" fontId="8" fillId="0" borderId="27" xfId="3" applyNumberFormat="1" applyFont="1" applyFill="1" applyBorder="1" applyAlignment="1">
      <alignment horizontal="center"/>
    </xf>
    <xf numFmtId="3" fontId="8" fillId="0" borderId="39" xfId="3" applyNumberFormat="1" applyFont="1" applyFill="1" applyBorder="1" applyAlignment="1">
      <alignment horizontal="right"/>
    </xf>
    <xf numFmtId="164" fontId="8" fillId="0" borderId="40" xfId="1" applyNumberFormat="1" applyFont="1" applyFill="1" applyBorder="1" applyAlignment="1">
      <alignment horizontal="right"/>
    </xf>
    <xf numFmtId="0" fontId="0" fillId="0" borderId="8" xfId="0" applyFill="1" applyBorder="1"/>
    <xf numFmtId="3" fontId="8" fillId="0" borderId="41" xfId="3" applyNumberFormat="1" applyFont="1" applyFill="1" applyBorder="1" applyAlignment="1">
      <alignment horizontal="right"/>
    </xf>
    <xf numFmtId="164" fontId="8" fillId="0" borderId="42" xfId="1" applyNumberFormat="1" applyFont="1" applyFill="1" applyBorder="1" applyAlignment="1">
      <alignment horizontal="right"/>
    </xf>
    <xf numFmtId="164" fontId="8" fillId="0" borderId="43" xfId="1" applyNumberFormat="1" applyFont="1" applyFill="1" applyBorder="1" applyAlignment="1">
      <alignment horizontal="right"/>
    </xf>
    <xf numFmtId="9" fontId="8" fillId="0" borderId="44" xfId="4" applyNumberFormat="1" applyFont="1" applyFill="1" applyBorder="1" applyAlignment="1">
      <alignment horizontal="center" vertical="center"/>
    </xf>
    <xf numFmtId="0" fontId="0" fillId="0" borderId="18" xfId="0" applyFill="1" applyBorder="1"/>
    <xf numFmtId="9" fontId="8" fillId="0" borderId="45" xfId="4" applyNumberFormat="1" applyFont="1" applyFill="1" applyBorder="1" applyAlignment="1">
      <alignment horizontal="center" vertical="center"/>
    </xf>
    <xf numFmtId="3" fontId="8" fillId="0" borderId="5" xfId="4" applyNumberFormat="1" applyFont="1" applyFill="1" applyBorder="1"/>
    <xf numFmtId="3" fontId="8" fillId="0" borderId="38" xfId="3" applyNumberFormat="1" applyFont="1" applyFill="1" applyBorder="1" applyAlignment="1">
      <alignment horizontal="right"/>
    </xf>
    <xf numFmtId="9" fontId="8" fillId="0" borderId="46" xfId="4" applyNumberFormat="1" applyFont="1" applyFill="1" applyBorder="1" applyAlignment="1">
      <alignment horizontal="center" vertical="center"/>
    </xf>
    <xf numFmtId="3" fontId="8" fillId="0" borderId="47" xfId="3" applyNumberFormat="1" applyFont="1" applyFill="1" applyBorder="1" applyAlignment="1">
      <alignment horizontal="right"/>
    </xf>
    <xf numFmtId="164" fontId="8" fillId="0" borderId="47" xfId="1" applyNumberFormat="1" applyFont="1" applyFill="1" applyBorder="1" applyAlignment="1">
      <alignment horizontal="right"/>
    </xf>
    <xf numFmtId="9" fontId="8" fillId="0" borderId="44" xfId="3" applyNumberFormat="1" applyFont="1" applyFill="1" applyBorder="1" applyAlignment="1">
      <alignment horizontal="center"/>
    </xf>
    <xf numFmtId="3" fontId="18" fillId="0" borderId="48" xfId="3" applyNumberFormat="1" applyFont="1" applyFill="1" applyBorder="1" applyAlignment="1">
      <alignment horizontal="right"/>
    </xf>
    <xf numFmtId="164" fontId="8" fillId="0" borderId="19" xfId="1" applyNumberFormat="1" applyFont="1" applyFill="1" applyBorder="1" applyAlignment="1">
      <alignment horizontal="center"/>
    </xf>
    <xf numFmtId="0" fontId="8" fillId="0" borderId="0" xfId="3" applyFont="1" applyFill="1" applyBorder="1" applyAlignment="1">
      <alignment horizontal="center"/>
    </xf>
    <xf numFmtId="9" fontId="8" fillId="0" borderId="0" xfId="2" applyFont="1" applyFill="1" applyBorder="1" applyAlignment="1">
      <alignment horizontal="center" vertical="center"/>
    </xf>
    <xf numFmtId="3" fontId="8" fillId="0" borderId="8" xfId="4" applyNumberFormat="1" applyFont="1" applyFill="1" applyBorder="1"/>
    <xf numFmtId="3" fontId="18" fillId="0" borderId="18" xfId="3" applyNumberFormat="1" applyFont="1" applyFill="1" applyBorder="1" applyAlignment="1">
      <alignment horizontal="right"/>
    </xf>
    <xf numFmtId="164" fontId="8" fillId="0" borderId="49" xfId="1" applyNumberFormat="1" applyFont="1" applyFill="1" applyBorder="1" applyAlignment="1">
      <alignment horizontal="center"/>
    </xf>
    <xf numFmtId="9" fontId="8" fillId="0" borderId="7" xfId="2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3" fontId="18" fillId="0" borderId="11" xfId="3" applyNumberFormat="1" applyFont="1" applyFill="1" applyBorder="1" applyAlignment="1">
      <alignment horizontal="right"/>
    </xf>
    <xf numFmtId="0" fontId="8" fillId="0" borderId="11" xfId="3" applyFont="1" applyFill="1" applyBorder="1" applyAlignment="1">
      <alignment horizontal="center"/>
    </xf>
    <xf numFmtId="9" fontId="8" fillId="0" borderId="11" xfId="3" applyNumberFormat="1" applyFont="1" applyFill="1" applyBorder="1" applyAlignment="1">
      <alignment horizontal="center" vertical="center"/>
    </xf>
    <xf numFmtId="3" fontId="18" fillId="0" borderId="10" xfId="3" applyNumberFormat="1" applyFont="1" applyFill="1" applyBorder="1" applyAlignment="1">
      <alignment horizontal="right"/>
    </xf>
    <xf numFmtId="164" fontId="8" fillId="0" borderId="11" xfId="1" applyNumberFormat="1" applyFont="1" applyFill="1" applyBorder="1" applyAlignment="1">
      <alignment horizontal="right"/>
    </xf>
    <xf numFmtId="9" fontId="8" fillId="0" borderId="12" xfId="3" applyNumberFormat="1" applyFont="1" applyFill="1" applyBorder="1" applyAlignment="1">
      <alignment horizontal="center" vertical="center"/>
    </xf>
    <xf numFmtId="0" fontId="10" fillId="0" borderId="50" xfId="0" applyFont="1" applyFill="1" applyBorder="1" applyAlignment="1">
      <alignment horizontal="center" vertical="center"/>
    </xf>
    <xf numFmtId="3" fontId="8" fillId="0" borderId="51" xfId="3" applyNumberFormat="1" applyFont="1" applyFill="1" applyBorder="1" applyAlignment="1">
      <alignment horizontal="right"/>
    </xf>
    <xf numFmtId="165" fontId="0" fillId="0" borderId="9" xfId="1" applyNumberFormat="1" applyFont="1" applyFill="1" applyBorder="1" applyAlignment="1">
      <alignment horizontal="center" vertical="center"/>
    </xf>
    <xf numFmtId="3" fontId="8" fillId="0" borderId="52" xfId="3" applyNumberFormat="1" applyFont="1" applyFill="1" applyBorder="1" applyAlignment="1">
      <alignment horizontal="right"/>
    </xf>
    <xf numFmtId="164" fontId="8" fillId="0" borderId="30" xfId="1" applyNumberFormat="1" applyFont="1" applyFill="1" applyBorder="1" applyAlignment="1">
      <alignment horizontal="right"/>
    </xf>
    <xf numFmtId="164" fontId="8" fillId="0" borderId="53" xfId="1" applyNumberFormat="1" applyFont="1" applyFill="1" applyBorder="1" applyAlignment="1">
      <alignment horizontal="right"/>
    </xf>
    <xf numFmtId="164" fontId="8" fillId="0" borderId="54" xfId="1" applyNumberFormat="1" applyFont="1" applyFill="1" applyBorder="1" applyAlignment="1">
      <alignment horizontal="right"/>
    </xf>
    <xf numFmtId="3" fontId="8" fillId="0" borderId="55" xfId="3" applyNumberFormat="1" applyFont="1" applyFill="1" applyBorder="1" applyAlignment="1">
      <alignment horizontal="right"/>
    </xf>
    <xf numFmtId="0" fontId="9" fillId="0" borderId="17" xfId="0" applyFont="1" applyFill="1" applyBorder="1" applyAlignment="1">
      <alignment horizontal="center" vertical="center"/>
    </xf>
    <xf numFmtId="3" fontId="18" fillId="0" borderId="6" xfId="3" applyNumberFormat="1" applyFont="1" applyFill="1" applyBorder="1" applyAlignment="1">
      <alignment horizontal="right"/>
    </xf>
    <xf numFmtId="164" fontId="8" fillId="0" borderId="50" xfId="1" applyNumberFormat="1" applyFont="1" applyFill="1" applyBorder="1" applyAlignment="1">
      <alignment horizontal="center"/>
    </xf>
    <xf numFmtId="0" fontId="8" fillId="0" borderId="6" xfId="5" applyFont="1" applyFill="1" applyBorder="1" applyAlignment="1">
      <alignment horizontal="center"/>
    </xf>
    <xf numFmtId="3" fontId="14" fillId="0" borderId="7" xfId="6" applyNumberFormat="1" applyFont="1" applyFill="1" applyBorder="1" applyAlignment="1">
      <alignment horizontal="center"/>
    </xf>
    <xf numFmtId="0" fontId="8" fillId="0" borderId="8" xfId="5" applyFont="1" applyFill="1" applyBorder="1"/>
    <xf numFmtId="3" fontId="18" fillId="0" borderId="5" xfId="3" applyNumberFormat="1" applyFont="1" applyFill="1" applyBorder="1" applyAlignment="1">
      <alignment horizontal="right"/>
    </xf>
    <xf numFmtId="164" fontId="8" fillId="0" borderId="7" xfId="1" applyNumberFormat="1" applyFont="1" applyFill="1" applyBorder="1" applyAlignment="1">
      <alignment horizontal="center"/>
    </xf>
    <xf numFmtId="164" fontId="8" fillId="0" borderId="6" xfId="5" applyNumberFormat="1" applyFont="1" applyFill="1" applyBorder="1" applyAlignment="1">
      <alignment horizontal="center"/>
    </xf>
    <xf numFmtId="164" fontId="8" fillId="0" borderId="13" xfId="1" applyNumberFormat="1" applyFont="1" applyFill="1" applyBorder="1" applyAlignment="1">
      <alignment horizontal="center"/>
    </xf>
    <xf numFmtId="0" fontId="8" fillId="0" borderId="11" xfId="5" applyFont="1" applyFill="1" applyBorder="1" applyAlignment="1">
      <alignment horizontal="center"/>
    </xf>
    <xf numFmtId="10" fontId="8" fillId="0" borderId="12" xfId="5" applyNumberFormat="1" applyFont="1" applyFill="1" applyBorder="1" applyAlignment="1">
      <alignment horizontal="center" vertical="center"/>
    </xf>
    <xf numFmtId="10" fontId="8" fillId="0" borderId="7" xfId="5" applyNumberFormat="1" applyFont="1" applyFill="1" applyBorder="1" applyAlignment="1">
      <alignment horizontal="center" vertical="center"/>
    </xf>
    <xf numFmtId="3" fontId="8" fillId="0" borderId="3" xfId="3" applyNumberFormat="1" applyFont="1" applyFill="1" applyBorder="1" applyAlignment="1">
      <alignment horizontal="right"/>
    </xf>
    <xf numFmtId="3" fontId="8" fillId="0" borderId="50" xfId="3" applyNumberFormat="1" applyFont="1" applyFill="1" applyBorder="1" applyAlignment="1">
      <alignment horizontal="center"/>
    </xf>
    <xf numFmtId="3" fontId="8" fillId="0" borderId="53" xfId="3" applyNumberFormat="1" applyFont="1" applyFill="1" applyBorder="1" applyAlignment="1">
      <alignment horizontal="center"/>
    </xf>
    <xf numFmtId="3" fontId="8" fillId="0" borderId="38" xfId="3" applyNumberFormat="1" applyFont="1" applyFill="1" applyBorder="1" applyAlignment="1">
      <alignment horizontal="center"/>
    </xf>
    <xf numFmtId="3" fontId="8" fillId="0" borderId="27" xfId="3" applyNumberFormat="1" applyFont="1" applyFill="1" applyBorder="1" applyAlignment="1">
      <alignment horizontal="center"/>
    </xf>
    <xf numFmtId="165" fontId="0" fillId="0" borderId="7" xfId="1" applyNumberFormat="1" applyFont="1" applyFill="1" applyBorder="1" applyAlignment="1">
      <alignment horizontal="center" vertical="center"/>
    </xf>
    <xf numFmtId="3" fontId="8" fillId="0" borderId="56" xfId="3" applyNumberFormat="1" applyFont="1" applyFill="1" applyBorder="1" applyAlignment="1">
      <alignment horizontal="center"/>
    </xf>
    <xf numFmtId="3" fontId="8" fillId="0" borderId="40" xfId="3" applyNumberFormat="1" applyFont="1" applyFill="1" applyBorder="1" applyAlignment="1">
      <alignment horizontal="center"/>
    </xf>
    <xf numFmtId="3" fontId="8" fillId="0" borderId="4" xfId="3" applyNumberFormat="1" applyFont="1" applyFill="1" applyBorder="1" applyAlignment="1">
      <alignment horizontal="center"/>
    </xf>
    <xf numFmtId="3" fontId="8" fillId="0" borderId="29" xfId="3" applyNumberFormat="1" applyFont="1" applyFill="1" applyBorder="1" applyAlignment="1">
      <alignment horizontal="center"/>
    </xf>
    <xf numFmtId="3" fontId="8" fillId="0" borderId="2" xfId="3" applyNumberFormat="1" applyFont="1" applyFill="1" applyBorder="1" applyAlignment="1">
      <alignment horizontal="right"/>
    </xf>
    <xf numFmtId="3" fontId="8" fillId="0" borderId="57" xfId="3" applyNumberFormat="1" applyFont="1" applyFill="1" applyBorder="1" applyAlignment="1">
      <alignment horizontal="center"/>
    </xf>
    <xf numFmtId="9" fontId="8" fillId="0" borderId="58" xfId="4" applyNumberFormat="1" applyFont="1" applyFill="1" applyBorder="1" applyAlignment="1">
      <alignment horizontal="center" vertical="center"/>
    </xf>
    <xf numFmtId="3" fontId="8" fillId="0" borderId="47" xfId="3" applyNumberFormat="1" applyFont="1" applyFill="1" applyBorder="1" applyAlignment="1">
      <alignment horizontal="center"/>
    </xf>
    <xf numFmtId="3" fontId="8" fillId="0" borderId="44" xfId="3" applyNumberFormat="1" applyFont="1" applyFill="1" applyBorder="1" applyAlignment="1">
      <alignment horizontal="center"/>
    </xf>
    <xf numFmtId="0" fontId="7" fillId="0" borderId="17" xfId="0" applyFont="1" applyFill="1" applyBorder="1" applyAlignment="1">
      <alignment wrapText="1"/>
    </xf>
    <xf numFmtId="0" fontId="11" fillId="0" borderId="11" xfId="0" applyFont="1" applyFill="1" applyBorder="1"/>
    <xf numFmtId="164" fontId="8" fillId="0" borderId="11" xfId="1" applyNumberFormat="1" applyFont="1" applyFill="1" applyBorder="1" applyAlignment="1">
      <alignment horizontal="center"/>
    </xf>
    <xf numFmtId="164" fontId="8" fillId="0" borderId="12" xfId="1" applyNumberFormat="1" applyFont="1" applyFill="1" applyBorder="1" applyAlignment="1">
      <alignment horizontal="center"/>
    </xf>
    <xf numFmtId="0" fontId="11" fillId="0" borderId="18" xfId="0" applyFont="1" applyFill="1" applyBorder="1"/>
    <xf numFmtId="165" fontId="6" fillId="0" borderId="49" xfId="1" applyNumberFormat="1" applyFont="1" applyFill="1" applyBorder="1"/>
    <xf numFmtId="164" fontId="8" fillId="0" borderId="48" xfId="1" applyNumberFormat="1" applyFont="1" applyFill="1" applyBorder="1" applyAlignment="1">
      <alignment horizontal="center"/>
    </xf>
    <xf numFmtId="9" fontId="8" fillId="0" borderId="13" xfId="2" applyFont="1" applyFill="1" applyBorder="1" applyAlignment="1">
      <alignment horizontal="center"/>
    </xf>
    <xf numFmtId="0" fontId="7" fillId="0" borderId="19" xfId="0" applyFont="1" applyFill="1" applyBorder="1" applyAlignment="1">
      <alignment wrapText="1"/>
    </xf>
    <xf numFmtId="0" fontId="11" fillId="0" borderId="10" xfId="0" applyFont="1" applyFill="1" applyBorder="1"/>
    <xf numFmtId="164" fontId="6" fillId="0" borderId="48" xfId="1" applyNumberFormat="1" applyFont="1" applyFill="1" applyBorder="1"/>
    <xf numFmtId="9" fontId="8" fillId="0" borderId="7" xfId="2" applyFont="1" applyFill="1" applyBorder="1" applyAlignment="1">
      <alignment horizontal="center"/>
    </xf>
    <xf numFmtId="3" fontId="8" fillId="0" borderId="8" xfId="3" applyNumberFormat="1" applyFont="1" applyFill="1" applyBorder="1" applyAlignment="1">
      <alignment horizontal="right"/>
    </xf>
    <xf numFmtId="3" fontId="8" fillId="0" borderId="17" xfId="3" applyNumberFormat="1" applyFont="1" applyFill="1" applyBorder="1" applyAlignment="1">
      <alignment horizontal="center"/>
    </xf>
    <xf numFmtId="3" fontId="8" fillId="0" borderId="59" xfId="3" applyNumberFormat="1" applyFont="1" applyFill="1" applyBorder="1" applyAlignment="1">
      <alignment horizontal="center"/>
    </xf>
    <xf numFmtId="9" fontId="8" fillId="0" borderId="60" xfId="4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wrapText="1"/>
    </xf>
    <xf numFmtId="0" fontId="11" fillId="0" borderId="8" xfId="0" applyFont="1" applyFill="1" applyBorder="1"/>
    <xf numFmtId="164" fontId="8" fillId="0" borderId="0" xfId="1" applyNumberFormat="1" applyFont="1" applyFill="1" applyBorder="1" applyAlignment="1">
      <alignment horizontal="center"/>
    </xf>
    <xf numFmtId="9" fontId="8" fillId="0" borderId="12" xfId="4" applyNumberFormat="1" applyFont="1" applyFill="1" applyBorder="1" applyAlignment="1">
      <alignment horizontal="center" vertical="center"/>
    </xf>
    <xf numFmtId="164" fontId="8" fillId="0" borderId="9" xfId="1" applyNumberFormat="1" applyFont="1" applyFill="1" applyBorder="1" applyAlignment="1">
      <alignment horizontal="center"/>
    </xf>
    <xf numFmtId="0" fontId="0" fillId="0" borderId="10" xfId="0" applyFill="1" applyBorder="1"/>
    <xf numFmtId="0" fontId="11" fillId="0" borderId="13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2" xfId="0" applyFont="1" applyFill="1" applyBorder="1" applyAlignment="1">
      <alignment horizontal="center"/>
    </xf>
    <xf numFmtId="0" fontId="19" fillId="0" borderId="10" xfId="5" applyFont="1" applyFill="1" applyBorder="1"/>
    <xf numFmtId="3" fontId="19" fillId="0" borderId="11" xfId="5" applyNumberFormat="1" applyFont="1" applyFill="1" applyBorder="1" applyAlignment="1">
      <alignment horizontal="center" wrapText="1"/>
    </xf>
    <xf numFmtId="9" fontId="19" fillId="0" borderId="11" xfId="5" applyNumberFormat="1" applyFont="1" applyFill="1" applyBorder="1" applyAlignment="1">
      <alignment horizontal="center" vertical="center"/>
    </xf>
    <xf numFmtId="9" fontId="19" fillId="0" borderId="12" xfId="5" applyNumberFormat="1" applyFont="1" applyFill="1" applyBorder="1" applyAlignment="1">
      <alignment horizontal="center" vertical="center"/>
    </xf>
    <xf numFmtId="164" fontId="8" fillId="0" borderId="6" xfId="1" applyNumberFormat="1" applyFont="1" applyFill="1" applyBorder="1" applyAlignment="1">
      <alignment horizontal="center"/>
    </xf>
    <xf numFmtId="10" fontId="8" fillId="0" borderId="7" xfId="2" applyNumberFormat="1" applyFont="1" applyFill="1" applyBorder="1" applyAlignment="1">
      <alignment horizontal="center"/>
    </xf>
    <xf numFmtId="3" fontId="8" fillId="0" borderId="7" xfId="1" applyNumberFormat="1" applyFont="1" applyFill="1" applyBorder="1" applyAlignment="1">
      <alignment horizontal="center"/>
    </xf>
    <xf numFmtId="164" fontId="8" fillId="0" borderId="5" xfId="1" applyNumberFormat="1" applyFont="1" applyFill="1" applyBorder="1" applyAlignment="1">
      <alignment horizontal="center"/>
    </xf>
    <xf numFmtId="0" fontId="11" fillId="0" borderId="5" xfId="0" applyFont="1" applyFill="1" applyBorder="1"/>
    <xf numFmtId="0" fontId="24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3" fontId="7" fillId="0" borderId="4" xfId="0" applyNumberFormat="1" applyFont="1" applyBorder="1" applyAlignment="1">
      <alignment wrapText="1"/>
    </xf>
    <xf numFmtId="0" fontId="0" fillId="22" borderId="0" xfId="0" applyFill="1"/>
    <xf numFmtId="3" fontId="7" fillId="0" borderId="0" xfId="0" applyNumberFormat="1" applyFont="1" applyBorder="1" applyAlignment="1">
      <alignment wrapText="1"/>
    </xf>
    <xf numFmtId="3" fontId="7" fillId="10" borderId="4" xfId="0" applyNumberFormat="1" applyFont="1" applyFill="1" applyBorder="1" applyAlignment="1">
      <alignment wrapText="1"/>
    </xf>
    <xf numFmtId="0" fontId="0" fillId="22" borderId="5" xfId="0" applyFill="1" applyBorder="1"/>
    <xf numFmtId="0" fontId="0" fillId="22" borderId="6" xfId="0" applyFill="1" applyBorder="1"/>
    <xf numFmtId="167" fontId="7" fillId="23" borderId="28" xfId="2" applyNumberFormat="1" applyFont="1" applyFill="1" applyBorder="1" applyAlignment="1">
      <alignment wrapText="1"/>
    </xf>
    <xf numFmtId="3" fontId="7" fillId="10" borderId="29" xfId="0" applyNumberFormat="1" applyFont="1" applyFill="1" applyBorder="1" applyAlignment="1">
      <alignment wrapText="1"/>
    </xf>
    <xf numFmtId="0" fontId="24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wrapText="1"/>
    </xf>
    <xf numFmtId="3" fontId="7" fillId="0" borderId="29" xfId="0" applyNumberFormat="1" applyFont="1" applyBorder="1" applyAlignment="1">
      <alignment wrapText="1"/>
    </xf>
    <xf numFmtId="0" fontId="7" fillId="0" borderId="55" xfId="0" applyFont="1" applyBorder="1" applyAlignment="1">
      <alignment wrapText="1"/>
    </xf>
    <xf numFmtId="0" fontId="0" fillId="0" borderId="0" xfId="0" applyBorder="1"/>
    <xf numFmtId="167" fontId="7" fillId="23" borderId="26" xfId="2" applyNumberFormat="1" applyFont="1" applyFill="1" applyBorder="1" applyAlignment="1">
      <alignment wrapText="1"/>
    </xf>
    <xf numFmtId="3" fontId="7" fillId="0" borderId="38" xfId="0" applyNumberFormat="1" applyFont="1" applyBorder="1" applyAlignment="1">
      <alignment wrapText="1"/>
    </xf>
    <xf numFmtId="3" fontId="7" fillId="10" borderId="27" xfId="0" applyNumberFormat="1" applyFont="1" applyFill="1" applyBorder="1" applyAlignment="1">
      <alignment wrapText="1"/>
    </xf>
    <xf numFmtId="167" fontId="7" fillId="23" borderId="57" xfId="2" applyNumberFormat="1" applyFont="1" applyFill="1" applyBorder="1" applyAlignment="1">
      <alignment wrapText="1"/>
    </xf>
    <xf numFmtId="3" fontId="7" fillId="0" borderId="47" xfId="0" applyNumberFormat="1" applyFont="1" applyBorder="1" applyAlignment="1">
      <alignment wrapText="1"/>
    </xf>
    <xf numFmtId="3" fontId="7" fillId="10" borderId="44" xfId="0" applyNumberFormat="1" applyFont="1" applyFill="1" applyBorder="1" applyAlignment="1">
      <alignment wrapText="1"/>
    </xf>
    <xf numFmtId="0" fontId="0" fillId="0" borderId="0" xfId="0" applyFill="1"/>
    <xf numFmtId="3" fontId="7" fillId="0" borderId="0" xfId="0" applyNumberFormat="1" applyFont="1" applyFill="1" applyBorder="1" applyAlignment="1">
      <alignment wrapText="1"/>
    </xf>
    <xf numFmtId="0" fontId="7" fillId="0" borderId="64" xfId="0" applyFont="1" applyBorder="1" applyAlignment="1">
      <alignment wrapText="1"/>
    </xf>
    <xf numFmtId="0" fontId="7" fillId="0" borderId="63" xfId="0" applyFont="1" applyBorder="1" applyAlignment="1">
      <alignment wrapText="1"/>
    </xf>
    <xf numFmtId="3" fontId="7" fillId="0" borderId="58" xfId="0" applyNumberFormat="1" applyFont="1" applyBorder="1" applyAlignment="1">
      <alignment wrapText="1"/>
    </xf>
    <xf numFmtId="0" fontId="0" fillId="22" borderId="26" xfId="0" applyFill="1" applyBorder="1"/>
    <xf numFmtId="0" fontId="0" fillId="0" borderId="38" xfId="0" applyBorder="1"/>
    <xf numFmtId="3" fontId="7" fillId="10" borderId="0" xfId="0" applyNumberFormat="1" applyFont="1" applyFill="1" applyAlignment="1">
      <alignment wrapText="1"/>
    </xf>
    <xf numFmtId="0" fontId="0" fillId="10" borderId="4" xfId="0" applyFill="1" applyBorder="1"/>
    <xf numFmtId="0" fontId="0" fillId="24" borderId="6" xfId="0" applyFill="1" applyBorder="1"/>
    <xf numFmtId="0" fontId="0" fillId="24" borderId="27" xfId="0" applyFill="1" applyBorder="1"/>
    <xf numFmtId="0" fontId="0" fillId="24" borderId="0" xfId="0" applyFill="1"/>
    <xf numFmtId="0" fontId="11" fillId="10" borderId="0" xfId="0" applyFont="1" applyFill="1" applyAlignment="1">
      <alignment horizontal="center" vertical="center"/>
    </xf>
    <xf numFmtId="164" fontId="0" fillId="10" borderId="0" xfId="0" applyNumberFormat="1" applyFill="1"/>
  </cellXfs>
  <cellStyles count="10">
    <cellStyle name="Comma" xfId="1" builtinId="3"/>
    <cellStyle name="Normal" xfId="0" builtinId="0"/>
    <cellStyle name="Normal 2" xfId="8" xr:uid="{8C6761B8-5809-4A33-A44B-1C1795C53AE0}"/>
    <cellStyle name="Percent" xfId="2" builtinId="5"/>
    <cellStyle name="Percent 2" xfId="9" xr:uid="{E9F93AD3-A6D7-4F33-ACBE-B69492A36515}"/>
    <cellStyle name="הדגשה6" xfId="7" builtinId="49"/>
    <cellStyle name="הערה" xfId="6" builtinId="10"/>
    <cellStyle name="טוב" xfId="3" builtinId="26"/>
    <cellStyle name="ניטראלי" xfId="5" builtinId="28"/>
    <cellStyle name="רע" xfId="4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15</xdr:col>
      <xdr:colOff>190865</xdr:colOff>
      <xdr:row>29</xdr:row>
      <xdr:rowOff>76512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F0F5700-ACAE-4C68-8115-33C50656E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6205775" y="1752600"/>
          <a:ext cx="4214225" cy="36045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66</xdr:row>
      <xdr:rowOff>63500</xdr:rowOff>
    </xdr:from>
    <xdr:to>
      <xdr:col>18</xdr:col>
      <xdr:colOff>376551</xdr:colOff>
      <xdr:row>91</xdr:row>
      <xdr:rowOff>152400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482D234-FBBA-472A-BFA8-401DD3B59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5578049" y="241300"/>
          <a:ext cx="6129651" cy="5638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220980</xdr:colOff>
      <xdr:row>1</xdr:row>
      <xdr:rowOff>144780</xdr:rowOff>
    </xdr:from>
    <xdr:to>
      <xdr:col>23</xdr:col>
      <xdr:colOff>20229</xdr:colOff>
      <xdr:row>7</xdr:row>
      <xdr:rowOff>769620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B70D22B-FECB-4FE0-9F94-E14E7D80C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3023611" y="320040"/>
          <a:ext cx="5232309" cy="432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2B60-4DC6-4E13-8CFD-82D7B50B18BC}">
  <dimension ref="A2:G49"/>
  <sheetViews>
    <sheetView rightToLeft="1" tabSelected="1" topLeftCell="A36" workbookViewId="0">
      <selection activeCell="F49" sqref="F5:F49"/>
    </sheetView>
  </sheetViews>
  <sheetFormatPr defaultRowHeight="13.8" x14ac:dyDescent="0.25"/>
  <cols>
    <col min="2" max="2" width="9.796875" bestFit="1" customWidth="1"/>
    <col min="3" max="3" width="53.19921875" bestFit="1" customWidth="1"/>
    <col min="4" max="4" width="10.8984375" bestFit="1" customWidth="1"/>
    <col min="6" max="6" width="10.8984375" bestFit="1" customWidth="1"/>
  </cols>
  <sheetData>
    <row r="2" spans="1:7" x14ac:dyDescent="0.25">
      <c r="C2" s="15"/>
      <c r="D2" s="15"/>
    </row>
    <row r="3" spans="1:7" x14ac:dyDescent="0.25">
      <c r="B3" s="7"/>
      <c r="C3" s="7"/>
      <c r="D3" s="7"/>
      <c r="E3" s="7"/>
    </row>
    <row r="4" spans="1:7" x14ac:dyDescent="0.25">
      <c r="B4" s="7"/>
      <c r="C4" s="16" t="s">
        <v>0</v>
      </c>
      <c r="D4" s="16"/>
      <c r="E4" s="7"/>
      <c r="G4">
        <v>3.65</v>
      </c>
    </row>
    <row r="5" spans="1:7" x14ac:dyDescent="0.25">
      <c r="A5" s="1"/>
      <c r="B5" s="8" t="s">
        <v>2</v>
      </c>
      <c r="C5" s="17" t="s">
        <v>3</v>
      </c>
      <c r="D5" s="17" t="s">
        <v>4</v>
      </c>
      <c r="E5" s="17" t="s">
        <v>5</v>
      </c>
      <c r="F5" s="474" t="s">
        <v>37</v>
      </c>
    </row>
    <row r="6" spans="1:7" x14ac:dyDescent="0.25">
      <c r="A6" s="2">
        <f>D6/D28</f>
        <v>7.468404289431383E-4</v>
      </c>
      <c r="B6" s="9" t="s">
        <v>7</v>
      </c>
      <c r="C6" s="9" t="s">
        <v>8</v>
      </c>
      <c r="D6" s="27">
        <v>53113</v>
      </c>
      <c r="E6" s="37"/>
      <c r="F6" s="475">
        <f>D6/$G$4</f>
        <v>14551.506849315068</v>
      </c>
    </row>
    <row r="7" spans="1:7" x14ac:dyDescent="0.25">
      <c r="A7" s="2">
        <f>D7/D28</f>
        <v>0.576444087886131</v>
      </c>
      <c r="B7" s="9" t="s">
        <v>9</v>
      </c>
      <c r="C7" s="9" t="s">
        <v>10</v>
      </c>
      <c r="D7" s="27">
        <v>40994935</v>
      </c>
      <c r="E7" s="37"/>
      <c r="F7" s="475">
        <f>D7/$G$4</f>
        <v>11231489.04109589</v>
      </c>
    </row>
    <row r="8" spans="1:7" x14ac:dyDescent="0.25">
      <c r="A8" s="2"/>
      <c r="B8" s="9"/>
      <c r="C8" s="9"/>
      <c r="D8" s="27"/>
      <c r="E8" s="37"/>
      <c r="F8" s="475">
        <f t="shared" ref="F8:F49" si="0">D8/$G$4</f>
        <v>0</v>
      </c>
    </row>
    <row r="9" spans="1:7" x14ac:dyDescent="0.25">
      <c r="A9" s="2"/>
      <c r="B9" s="9"/>
      <c r="C9" s="9"/>
      <c r="D9" s="27"/>
      <c r="E9" s="37"/>
      <c r="F9" s="475">
        <f t="shared" si="0"/>
        <v>0</v>
      </c>
    </row>
    <row r="10" spans="1:7" x14ac:dyDescent="0.25">
      <c r="A10" s="2"/>
      <c r="B10" s="9"/>
      <c r="C10" s="9"/>
      <c r="D10" s="27"/>
      <c r="E10" s="37"/>
      <c r="F10" s="475">
        <f t="shared" si="0"/>
        <v>0</v>
      </c>
    </row>
    <row r="11" spans="1:7" x14ac:dyDescent="0.25">
      <c r="A11" s="2"/>
      <c r="B11" s="9"/>
      <c r="C11" s="9"/>
      <c r="D11" s="27"/>
      <c r="E11" s="37"/>
      <c r="F11" s="475">
        <f t="shared" si="0"/>
        <v>0</v>
      </c>
    </row>
    <row r="12" spans="1:7" x14ac:dyDescent="0.25">
      <c r="A12" s="2"/>
      <c r="B12" s="9"/>
      <c r="C12" s="9"/>
      <c r="D12" s="27"/>
      <c r="E12" s="37"/>
      <c r="F12" s="475">
        <f t="shared" si="0"/>
        <v>0</v>
      </c>
    </row>
    <row r="13" spans="1:7" x14ac:dyDescent="0.25">
      <c r="A13" s="2"/>
      <c r="B13" s="9" t="s">
        <v>9</v>
      </c>
      <c r="C13" s="9" t="s">
        <v>11</v>
      </c>
      <c r="D13" s="27">
        <v>14490900</v>
      </c>
      <c r="E13" s="38" t="s">
        <v>12</v>
      </c>
      <c r="F13" s="475">
        <f t="shared" si="0"/>
        <v>3970109.5890410962</v>
      </c>
    </row>
    <row r="14" spans="1:7" x14ac:dyDescent="0.25">
      <c r="A14" s="2"/>
      <c r="B14" s="9"/>
      <c r="C14" s="9"/>
      <c r="D14" s="27"/>
      <c r="E14" s="37"/>
      <c r="F14" s="475">
        <f t="shared" si="0"/>
        <v>0</v>
      </c>
    </row>
    <row r="15" spans="1:7" x14ac:dyDescent="0.25">
      <c r="A15" s="2"/>
      <c r="B15" s="9"/>
      <c r="C15" s="9"/>
      <c r="D15" s="27"/>
      <c r="E15" s="37"/>
      <c r="F15" s="475">
        <f t="shared" si="0"/>
        <v>0</v>
      </c>
    </row>
    <row r="16" spans="1:7" x14ac:dyDescent="0.25">
      <c r="A16" s="2"/>
      <c r="B16" s="9"/>
      <c r="C16" s="9"/>
      <c r="D16" s="27"/>
      <c r="E16" s="37"/>
      <c r="F16" s="475">
        <f t="shared" si="0"/>
        <v>0</v>
      </c>
    </row>
    <row r="17" spans="1:6" x14ac:dyDescent="0.25">
      <c r="A17" s="2"/>
      <c r="B17" s="9"/>
      <c r="C17" s="9"/>
      <c r="D17" s="27"/>
      <c r="E17" s="37"/>
      <c r="F17" s="475">
        <f t="shared" si="0"/>
        <v>0</v>
      </c>
    </row>
    <row r="18" spans="1:6" x14ac:dyDescent="0.25">
      <c r="A18" s="2"/>
      <c r="B18" s="9" t="s">
        <v>9</v>
      </c>
      <c r="C18" s="9" t="s">
        <v>8</v>
      </c>
      <c r="D18" s="27">
        <v>4443623</v>
      </c>
      <c r="E18" s="37"/>
      <c r="F18" s="475">
        <f t="shared" si="0"/>
        <v>1217430.9589041097</v>
      </c>
    </row>
    <row r="19" spans="1:6" x14ac:dyDescent="0.25">
      <c r="A19" s="2"/>
      <c r="B19" s="9" t="s">
        <v>13</v>
      </c>
      <c r="C19" s="9" t="s">
        <v>10</v>
      </c>
      <c r="D19" s="27">
        <v>3029775</v>
      </c>
      <c r="E19" s="37"/>
      <c r="F19" s="475">
        <f t="shared" si="0"/>
        <v>830075.34246575343</v>
      </c>
    </row>
    <row r="20" spans="1:6" x14ac:dyDescent="0.25">
      <c r="A20" s="2"/>
      <c r="B20" s="9"/>
      <c r="C20" s="9"/>
      <c r="D20" s="27"/>
      <c r="E20" s="37"/>
      <c r="F20" s="475">
        <f t="shared" si="0"/>
        <v>0</v>
      </c>
    </row>
    <row r="21" spans="1:6" x14ac:dyDescent="0.25">
      <c r="A21" s="2"/>
      <c r="B21" s="9" t="s">
        <v>14</v>
      </c>
      <c r="C21" s="9" t="s">
        <v>11</v>
      </c>
      <c r="D21" s="27">
        <v>2940853</v>
      </c>
      <c r="E21" s="38" t="s">
        <v>12</v>
      </c>
      <c r="F21" s="475">
        <f t="shared" si="0"/>
        <v>805713.15068493155</v>
      </c>
    </row>
    <row r="22" spans="1:6" x14ac:dyDescent="0.25">
      <c r="A22" s="2"/>
      <c r="B22" s="9" t="s">
        <v>13</v>
      </c>
      <c r="C22" s="9" t="s">
        <v>11</v>
      </c>
      <c r="D22" s="27">
        <v>1022852</v>
      </c>
      <c r="E22" s="38" t="s">
        <v>12</v>
      </c>
      <c r="F22" s="475">
        <f t="shared" si="0"/>
        <v>280233.42465753423</v>
      </c>
    </row>
    <row r="23" spans="1:6" x14ac:dyDescent="0.25">
      <c r="A23" s="2"/>
      <c r="B23" s="10"/>
      <c r="C23" s="10"/>
      <c r="D23" s="27"/>
      <c r="E23" s="39"/>
      <c r="F23" s="475">
        <f t="shared" si="0"/>
        <v>0</v>
      </c>
    </row>
    <row r="24" spans="1:6" ht="15" x14ac:dyDescent="0.25">
      <c r="A24" s="2"/>
      <c r="B24" s="11" t="s">
        <v>15</v>
      </c>
      <c r="C24" s="18">
        <f>SUM(D6:D24)</f>
        <v>66976051</v>
      </c>
      <c r="D24" s="28">
        <v>0</v>
      </c>
      <c r="E24" s="40"/>
      <c r="F24" s="475">
        <f t="shared" si="0"/>
        <v>0</v>
      </c>
    </row>
    <row r="25" spans="1:6" x14ac:dyDescent="0.25">
      <c r="A25" s="2">
        <f>D25/D28</f>
        <v>5.8226372869965765E-2</v>
      </c>
      <c r="B25" s="9" t="s">
        <v>16</v>
      </c>
      <c r="C25" s="19" t="s">
        <v>17</v>
      </c>
      <c r="D25" s="27">
        <v>4140881</v>
      </c>
      <c r="E25" s="37"/>
      <c r="F25" s="475">
        <f t="shared" si="0"/>
        <v>1134487.9452054794</v>
      </c>
    </row>
    <row r="26" spans="1:6" ht="17.399999999999999" x14ac:dyDescent="0.25">
      <c r="A26" s="3"/>
      <c r="B26" s="12"/>
      <c r="C26" s="20"/>
      <c r="D26" s="29"/>
      <c r="E26" s="41"/>
      <c r="F26" s="475">
        <f t="shared" si="0"/>
        <v>0</v>
      </c>
    </row>
    <row r="27" spans="1:6" ht="17.399999999999999" x14ac:dyDescent="0.25">
      <c r="A27" s="3"/>
      <c r="B27" s="12"/>
      <c r="F27" s="475">
        <f t="shared" si="0"/>
        <v>0</v>
      </c>
    </row>
    <row r="28" spans="1:6" ht="17.399999999999999" x14ac:dyDescent="0.25">
      <c r="A28" s="4"/>
      <c r="B28" s="13"/>
      <c r="C28" s="21" t="s">
        <v>18</v>
      </c>
      <c r="D28" s="30">
        <f>SUM(D6:D27)</f>
        <v>71116932</v>
      </c>
      <c r="E28" s="21"/>
      <c r="F28" s="475">
        <f t="shared" si="0"/>
        <v>19484090.95890411</v>
      </c>
    </row>
    <row r="29" spans="1:6" ht="17.399999999999999" x14ac:dyDescent="0.25">
      <c r="A29" s="5"/>
      <c r="B29" s="14"/>
      <c r="C29" s="22"/>
      <c r="D29" s="31"/>
      <c r="E29" s="22"/>
      <c r="F29" s="475">
        <f t="shared" si="0"/>
        <v>0</v>
      </c>
    </row>
    <row r="30" spans="1:6" ht="17.399999999999999" x14ac:dyDescent="0.25">
      <c r="A30" s="3"/>
      <c r="B30" s="12" t="s">
        <v>19</v>
      </c>
      <c r="C30" s="23"/>
      <c r="D30" s="32"/>
      <c r="E30" s="23"/>
      <c r="F30" s="475">
        <f t="shared" si="0"/>
        <v>0</v>
      </c>
    </row>
    <row r="31" spans="1:6" x14ac:dyDescent="0.25">
      <c r="A31" s="3" t="s">
        <v>20</v>
      </c>
      <c r="B31" s="6" t="s">
        <v>21</v>
      </c>
      <c r="C31" s="6" t="s">
        <v>22</v>
      </c>
      <c r="D31" s="33">
        <v>7128</v>
      </c>
      <c r="E31" s="23"/>
      <c r="F31" s="475">
        <f t="shared" si="0"/>
        <v>1952.8767123287671</v>
      </c>
    </row>
    <row r="32" spans="1:6" ht="26.4" x14ac:dyDescent="0.25">
      <c r="A32" s="6" t="s">
        <v>23</v>
      </c>
      <c r="B32" s="6" t="s">
        <v>24</v>
      </c>
      <c r="C32" s="24" t="s">
        <v>25</v>
      </c>
      <c r="D32" s="33">
        <v>21351</v>
      </c>
      <c r="E32" s="23"/>
      <c r="F32" s="475">
        <f t="shared" si="0"/>
        <v>5849.5890410958909</v>
      </c>
    </row>
    <row r="33" spans="1:6" ht="17.399999999999999" x14ac:dyDescent="0.25">
      <c r="A33" s="4"/>
      <c r="B33" s="13"/>
      <c r="C33" s="13"/>
      <c r="D33" s="30">
        <f>SUM(D30:D32)</f>
        <v>28479</v>
      </c>
      <c r="E33" s="21"/>
      <c r="F33" s="475">
        <f t="shared" si="0"/>
        <v>7802.465753424658</v>
      </c>
    </row>
    <row r="34" spans="1:6" ht="17.399999999999999" x14ac:dyDescent="0.25">
      <c r="A34" s="5"/>
      <c r="B34" s="14"/>
      <c r="C34" s="22"/>
      <c r="D34" s="31"/>
      <c r="E34" s="22"/>
      <c r="F34" s="475">
        <f t="shared" si="0"/>
        <v>0</v>
      </c>
    </row>
    <row r="35" spans="1:6" ht="17.399999999999999" x14ac:dyDescent="0.25">
      <c r="A35" s="4"/>
      <c r="B35" s="13"/>
      <c r="C35" s="21" t="s">
        <v>26</v>
      </c>
      <c r="D35" s="30">
        <f>D33+D28</f>
        <v>71145411</v>
      </c>
      <c r="E35" s="21"/>
      <c r="F35" s="475">
        <f t="shared" si="0"/>
        <v>19491893.424657535</v>
      </c>
    </row>
    <row r="36" spans="1:6" ht="17.399999999999999" x14ac:dyDescent="0.25">
      <c r="A36" s="5"/>
      <c r="B36" s="14"/>
      <c r="C36" s="22"/>
      <c r="D36" s="31"/>
      <c r="E36" s="22"/>
      <c r="F36" s="475">
        <f t="shared" si="0"/>
        <v>0</v>
      </c>
    </row>
    <row r="37" spans="1:6" x14ac:dyDescent="0.25">
      <c r="A37" s="3"/>
      <c r="B37" s="3"/>
      <c r="C37" s="3"/>
      <c r="D37" s="34"/>
      <c r="E37" s="3"/>
      <c r="F37" s="475">
        <f t="shared" si="0"/>
        <v>0</v>
      </c>
    </row>
    <row r="38" spans="1:6" x14ac:dyDescent="0.25">
      <c r="A38" s="3"/>
      <c r="B38" s="3"/>
      <c r="C38" s="3"/>
      <c r="D38" s="3"/>
      <c r="E38" s="3"/>
      <c r="F38" s="475">
        <f t="shared" si="0"/>
        <v>0</v>
      </c>
    </row>
    <row r="39" spans="1:6" x14ac:dyDescent="0.25">
      <c r="C39" t="s">
        <v>27</v>
      </c>
      <c r="D39" s="35">
        <v>18695290</v>
      </c>
      <c r="F39" s="475">
        <f t="shared" si="0"/>
        <v>5121997.2602739725</v>
      </c>
    </row>
    <row r="40" spans="1:6" x14ac:dyDescent="0.25">
      <c r="C40" t="s">
        <v>28</v>
      </c>
      <c r="D40" s="35">
        <v>8408310</v>
      </c>
      <c r="F40" s="475">
        <f t="shared" si="0"/>
        <v>2303646.5753424657</v>
      </c>
    </row>
    <row r="41" spans="1:6" x14ac:dyDescent="0.25">
      <c r="F41" s="475">
        <f t="shared" si="0"/>
        <v>0</v>
      </c>
    </row>
    <row r="42" spans="1:6" x14ac:dyDescent="0.25">
      <c r="C42" s="25" t="s">
        <v>29</v>
      </c>
      <c r="F42" s="475">
        <f t="shared" si="0"/>
        <v>0</v>
      </c>
    </row>
    <row r="43" spans="1:6" x14ac:dyDescent="0.25">
      <c r="F43" s="475">
        <f t="shared" si="0"/>
        <v>0</v>
      </c>
    </row>
    <row r="44" spans="1:6" ht="15.6" x14ac:dyDescent="0.3">
      <c r="C44" s="26" t="s">
        <v>30</v>
      </c>
      <c r="D44" s="36">
        <f>SUM(D25:D25)+SUM(D31:D32)</f>
        <v>4169360</v>
      </c>
      <c r="E44" s="42">
        <f>D44/D49</f>
        <v>5.2409364987465512E-2</v>
      </c>
      <c r="F44" s="475">
        <f t="shared" si="0"/>
        <v>1142290.4109589041</v>
      </c>
    </row>
    <row r="45" spans="1:6" ht="15.6" x14ac:dyDescent="0.3">
      <c r="C45" s="26" t="s">
        <v>31</v>
      </c>
      <c r="D45" s="36">
        <v>0</v>
      </c>
      <c r="E45" s="42">
        <f>D45/D49</f>
        <v>0</v>
      </c>
      <c r="F45" s="475">
        <f t="shared" si="0"/>
        <v>0</v>
      </c>
    </row>
    <row r="46" spans="1:6" ht="15.6" x14ac:dyDescent="0.3">
      <c r="C46" s="26" t="s">
        <v>28</v>
      </c>
      <c r="D46" s="36">
        <f>D40</f>
        <v>8408310</v>
      </c>
      <c r="E46" s="42">
        <f>D46/D49</f>
        <v>0.10569348478369729</v>
      </c>
      <c r="F46" s="475">
        <f t="shared" si="0"/>
        <v>2303646.5753424657</v>
      </c>
    </row>
    <row r="47" spans="1:6" ht="15.6" x14ac:dyDescent="0.3">
      <c r="C47" s="26" t="s">
        <v>32</v>
      </c>
      <c r="D47" s="36">
        <v>0</v>
      </c>
      <c r="E47" s="42">
        <f>D47/D49</f>
        <v>0</v>
      </c>
      <c r="F47" s="475">
        <f t="shared" si="0"/>
        <v>0</v>
      </c>
    </row>
    <row r="48" spans="1:6" ht="15.6" x14ac:dyDescent="0.3">
      <c r="C48" s="26" t="s">
        <v>33</v>
      </c>
      <c r="D48" s="36">
        <f>SUM(D6:D22)</f>
        <v>66976051</v>
      </c>
      <c r="E48" s="42">
        <f>D48/D49</f>
        <v>0.84189715022883715</v>
      </c>
      <c r="F48" s="475">
        <f t="shared" si="0"/>
        <v>18349603.01369863</v>
      </c>
    </row>
    <row r="49" spans="3:6" ht="15.6" x14ac:dyDescent="0.3">
      <c r="C49" s="26" t="s">
        <v>34</v>
      </c>
      <c r="D49" s="36">
        <f>D44+D45+D46+D47+D48</f>
        <v>79553721</v>
      </c>
      <c r="F49" s="475">
        <f t="shared" si="0"/>
        <v>21795540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4618-B490-4339-ABFE-BB59CA9D0F07}">
  <dimension ref="A1:L199"/>
  <sheetViews>
    <sheetView rightToLeft="1" topLeftCell="C88" zoomScale="80" zoomScaleNormal="80" workbookViewId="0">
      <selection activeCell="E120" sqref="E120"/>
    </sheetView>
  </sheetViews>
  <sheetFormatPr defaultRowHeight="13.8" x14ac:dyDescent="0.25"/>
  <cols>
    <col min="1" max="1" width="18.59765625" bestFit="1" customWidth="1"/>
    <col min="2" max="2" width="60.8984375" customWidth="1"/>
    <col min="3" max="3" width="15.8984375" customWidth="1"/>
    <col min="4" max="4" width="13" customWidth="1"/>
    <col min="5" max="5" width="27.3984375" customWidth="1"/>
    <col min="6" max="6" width="1" customWidth="1"/>
    <col min="7" max="7" width="56.19921875" bestFit="1" customWidth="1"/>
    <col min="8" max="8" width="21.09765625" bestFit="1" customWidth="1"/>
    <col min="9" max="9" width="29" bestFit="1" customWidth="1"/>
    <col min="10" max="10" width="15.3984375" bestFit="1" customWidth="1"/>
    <col min="11" max="11" width="20.69921875" bestFit="1" customWidth="1"/>
    <col min="12" max="12" width="13.8984375" bestFit="1" customWidth="1"/>
  </cols>
  <sheetData>
    <row r="1" spans="1:10" ht="21" hidden="1" x14ac:dyDescent="0.4">
      <c r="A1" s="43"/>
      <c r="B1" s="44"/>
      <c r="C1" s="44"/>
      <c r="D1" s="44"/>
      <c r="E1" s="44" t="s">
        <v>35</v>
      </c>
      <c r="F1" s="44"/>
      <c r="G1" s="45"/>
      <c r="H1" s="44"/>
      <c r="I1" s="44"/>
      <c r="J1" s="46"/>
    </row>
    <row r="2" spans="1:10" ht="21.6" hidden="1" thickBot="1" x14ac:dyDescent="0.45">
      <c r="A2" s="47"/>
      <c r="B2" s="45"/>
      <c r="C2" s="45"/>
      <c r="D2" s="45"/>
      <c r="E2" s="48" t="s">
        <v>0</v>
      </c>
      <c r="F2" s="48"/>
      <c r="G2" s="45"/>
      <c r="H2" s="45"/>
      <c r="I2" s="45"/>
      <c r="J2" s="49"/>
    </row>
    <row r="3" spans="1:10" ht="18" hidden="1" thickBot="1" x14ac:dyDescent="0.3">
      <c r="A3" s="50"/>
      <c r="B3" s="51"/>
      <c r="C3" s="51"/>
      <c r="D3" s="52"/>
      <c r="E3" s="53" t="s">
        <v>1</v>
      </c>
      <c r="F3" s="54"/>
      <c r="G3" s="55" t="s">
        <v>36</v>
      </c>
      <c r="H3" s="52"/>
      <c r="I3" s="56"/>
      <c r="J3" s="57"/>
    </row>
    <row r="4" spans="1:10" ht="14.4" hidden="1" thickBot="1" x14ac:dyDescent="0.3">
      <c r="A4" s="58"/>
      <c r="B4" s="59" t="s">
        <v>3</v>
      </c>
      <c r="C4" s="59" t="s">
        <v>37</v>
      </c>
      <c r="D4" s="59" t="s">
        <v>4</v>
      </c>
      <c r="E4" s="60" t="s">
        <v>6</v>
      </c>
      <c r="F4" s="61"/>
      <c r="G4" s="62" t="s">
        <v>38</v>
      </c>
      <c r="H4" s="63" t="s">
        <v>37</v>
      </c>
      <c r="I4" s="64" t="s">
        <v>6</v>
      </c>
      <c r="J4" s="65"/>
    </row>
    <row r="5" spans="1:10" ht="18" hidden="1" thickBot="1" x14ac:dyDescent="0.3">
      <c r="A5" s="66" t="s">
        <v>33</v>
      </c>
      <c r="B5" s="67" t="s">
        <v>8</v>
      </c>
      <c r="C5" s="68">
        <f>D5/3.5</f>
        <v>15175.142857142857</v>
      </c>
      <c r="D5" s="69">
        <v>53113</v>
      </c>
      <c r="E5" s="70">
        <v>0</v>
      </c>
      <c r="F5" s="71"/>
      <c r="G5" s="72" t="s">
        <v>39</v>
      </c>
      <c r="H5" s="73">
        <v>15175</v>
      </c>
      <c r="I5" s="74">
        <v>0</v>
      </c>
      <c r="J5" s="75">
        <f t="shared" ref="J5:J16" si="0">I5*H5</f>
        <v>0</v>
      </c>
    </row>
    <row r="6" spans="1:10" ht="18" hidden="1" thickBot="1" x14ac:dyDescent="0.3">
      <c r="A6" s="76"/>
      <c r="B6" s="77" t="s">
        <v>8</v>
      </c>
      <c r="C6" s="78">
        <v>524000</v>
      </c>
      <c r="D6" s="79">
        <f>C6*3.5</f>
        <v>1834000</v>
      </c>
      <c r="E6" s="80">
        <v>0</v>
      </c>
      <c r="F6" s="81"/>
      <c r="G6" s="82" t="s">
        <v>40</v>
      </c>
      <c r="H6" s="83">
        <v>524000</v>
      </c>
      <c r="I6" s="84">
        <v>0</v>
      </c>
      <c r="J6" s="75">
        <f>I6*H6</f>
        <v>0</v>
      </c>
    </row>
    <row r="7" spans="1:10" ht="18" hidden="1" thickBot="1" x14ac:dyDescent="0.3">
      <c r="A7" s="85"/>
      <c r="B7" s="86" t="s">
        <v>41</v>
      </c>
      <c r="C7" s="87">
        <v>2962839</v>
      </c>
      <c r="D7" s="88">
        <f>C7*4</f>
        <v>11851356</v>
      </c>
      <c r="E7" s="89">
        <v>0</v>
      </c>
      <c r="F7" s="90"/>
      <c r="G7" s="91" t="s">
        <v>42</v>
      </c>
      <c r="H7" s="27">
        <v>500000</v>
      </c>
      <c r="I7" s="92">
        <v>0.3</v>
      </c>
      <c r="J7" s="75">
        <f t="shared" si="0"/>
        <v>150000</v>
      </c>
    </row>
    <row r="8" spans="1:10" ht="17.399999999999999" hidden="1" x14ac:dyDescent="0.25">
      <c r="A8" s="85"/>
      <c r="B8" s="93"/>
      <c r="C8" s="94">
        <f t="shared" ref="C8:C16" si="1">D8/3.5</f>
        <v>0</v>
      </c>
      <c r="D8" s="95"/>
      <c r="E8" s="96">
        <v>0</v>
      </c>
      <c r="F8" s="90"/>
      <c r="G8" s="91" t="s">
        <v>43</v>
      </c>
      <c r="H8" s="27">
        <v>500000</v>
      </c>
      <c r="I8" s="92">
        <v>0.3</v>
      </c>
      <c r="J8" s="75">
        <f t="shared" si="0"/>
        <v>150000</v>
      </c>
    </row>
    <row r="9" spans="1:10" ht="17.399999999999999" hidden="1" x14ac:dyDescent="0.25">
      <c r="A9" s="85"/>
      <c r="B9" s="97"/>
      <c r="C9" s="94">
        <f t="shared" si="1"/>
        <v>0</v>
      </c>
      <c r="D9" s="98"/>
      <c r="E9" s="99">
        <v>0</v>
      </c>
      <c r="F9" s="100"/>
      <c r="G9" s="91" t="s">
        <v>40</v>
      </c>
      <c r="H9" s="27">
        <v>1072000</v>
      </c>
      <c r="I9" s="92">
        <v>0</v>
      </c>
      <c r="J9" s="75">
        <f t="shared" si="0"/>
        <v>0</v>
      </c>
    </row>
    <row r="10" spans="1:10" ht="18" hidden="1" thickBot="1" x14ac:dyDescent="0.3">
      <c r="A10" s="85"/>
      <c r="B10" s="97"/>
      <c r="C10" s="94">
        <f t="shared" si="1"/>
        <v>0</v>
      </c>
      <c r="D10" s="98"/>
      <c r="E10" s="99">
        <v>0</v>
      </c>
      <c r="F10" s="100"/>
      <c r="G10" s="91" t="s">
        <v>44</v>
      </c>
      <c r="H10" s="27">
        <v>500000</v>
      </c>
      <c r="I10" s="92">
        <v>0.25</v>
      </c>
      <c r="J10" s="75">
        <f t="shared" si="0"/>
        <v>125000</v>
      </c>
    </row>
    <row r="11" spans="1:10" ht="18" hidden="1" thickBot="1" x14ac:dyDescent="0.3">
      <c r="A11" s="76"/>
      <c r="B11" s="101" t="s">
        <v>45</v>
      </c>
      <c r="C11" s="68">
        <f>D11/3.5</f>
        <v>865650</v>
      </c>
      <c r="D11" s="102">
        <v>3029775</v>
      </c>
      <c r="E11" s="103">
        <v>0</v>
      </c>
      <c r="F11" s="104"/>
      <c r="G11" s="105" t="s">
        <v>40</v>
      </c>
      <c r="H11" s="73">
        <v>865650</v>
      </c>
      <c r="I11" s="74">
        <v>0.1</v>
      </c>
      <c r="J11" s="75">
        <f>I11*H11</f>
        <v>86565</v>
      </c>
    </row>
    <row r="12" spans="1:10" ht="17.399999999999999" hidden="1" x14ac:dyDescent="0.25">
      <c r="A12" s="106"/>
      <c r="B12" s="107" t="s">
        <v>46</v>
      </c>
      <c r="C12" s="87">
        <f t="shared" si="1"/>
        <v>4140257.1428571427</v>
      </c>
      <c r="D12" s="108">
        <v>14490900</v>
      </c>
      <c r="E12" s="89">
        <v>0</v>
      </c>
      <c r="F12" s="109"/>
      <c r="G12" s="110" t="s">
        <v>47</v>
      </c>
      <c r="H12" s="111">
        <v>3140257</v>
      </c>
      <c r="I12" s="112">
        <v>0</v>
      </c>
      <c r="J12" s="75">
        <f t="shared" si="0"/>
        <v>0</v>
      </c>
    </row>
    <row r="13" spans="1:10" ht="17.399999999999999" hidden="1" x14ac:dyDescent="0.25">
      <c r="A13" s="106"/>
      <c r="B13" s="113"/>
      <c r="C13" s="94">
        <f t="shared" si="1"/>
        <v>0</v>
      </c>
      <c r="D13" s="114"/>
      <c r="E13" s="99">
        <v>0</v>
      </c>
      <c r="F13" s="115"/>
      <c r="G13" s="91" t="s">
        <v>48</v>
      </c>
      <c r="H13" s="27">
        <v>500000</v>
      </c>
      <c r="I13" s="92">
        <v>0.3</v>
      </c>
      <c r="J13" s="75">
        <f t="shared" si="0"/>
        <v>150000</v>
      </c>
    </row>
    <row r="14" spans="1:10" ht="18" hidden="1" thickBot="1" x14ac:dyDescent="0.3">
      <c r="A14" s="106"/>
      <c r="B14" s="116"/>
      <c r="C14" s="117">
        <f t="shared" si="1"/>
        <v>0</v>
      </c>
      <c r="D14" s="118"/>
      <c r="E14" s="119">
        <v>0</v>
      </c>
      <c r="F14" s="120"/>
      <c r="G14" s="82" t="s">
        <v>49</v>
      </c>
      <c r="H14" s="83">
        <v>500000</v>
      </c>
      <c r="I14" s="84">
        <v>0.1</v>
      </c>
      <c r="J14" s="75">
        <f t="shared" si="0"/>
        <v>50000</v>
      </c>
    </row>
    <row r="15" spans="1:10" ht="17.399999999999999" hidden="1" x14ac:dyDescent="0.25">
      <c r="A15" s="76"/>
      <c r="B15" s="107" t="s">
        <v>46</v>
      </c>
      <c r="C15" s="87">
        <f t="shared" si="1"/>
        <v>840243.71428571432</v>
      </c>
      <c r="D15" s="108">
        <v>2940853</v>
      </c>
      <c r="E15" s="121">
        <v>0</v>
      </c>
      <c r="F15" s="122"/>
      <c r="G15" s="123" t="s">
        <v>50</v>
      </c>
      <c r="H15" s="111">
        <v>840244</v>
      </c>
      <c r="I15" s="112">
        <v>0.3</v>
      </c>
      <c r="J15" s="75">
        <f t="shared" si="0"/>
        <v>252073.19999999998</v>
      </c>
    </row>
    <row r="16" spans="1:10" ht="18" hidden="1" thickBot="1" x14ac:dyDescent="0.3">
      <c r="A16" s="76"/>
      <c r="B16" s="116" t="s">
        <v>46</v>
      </c>
      <c r="C16" s="117">
        <f t="shared" si="1"/>
        <v>292243.42857142858</v>
      </c>
      <c r="D16" s="118">
        <v>1022852</v>
      </c>
      <c r="E16" s="124">
        <v>0</v>
      </c>
      <c r="F16" s="81"/>
      <c r="G16" s="125" t="s">
        <v>50</v>
      </c>
      <c r="H16" s="126">
        <v>292243</v>
      </c>
      <c r="I16" s="127">
        <v>0.3</v>
      </c>
      <c r="J16" s="75">
        <f t="shared" si="0"/>
        <v>87672.9</v>
      </c>
    </row>
    <row r="17" spans="1:12" ht="18" hidden="1" thickBot="1" x14ac:dyDescent="0.3">
      <c r="A17" s="76"/>
      <c r="B17" s="128" t="s">
        <v>51</v>
      </c>
      <c r="C17" s="129">
        <f>SUM(C5:C16)</f>
        <v>9640408.4285714291</v>
      </c>
      <c r="D17" s="130"/>
      <c r="E17" s="131"/>
      <c r="F17" s="132"/>
      <c r="G17" s="133" t="s">
        <v>51</v>
      </c>
      <c r="H17" s="134">
        <f>SUM(H5+H12)</f>
        <v>3155432</v>
      </c>
      <c r="I17" s="135"/>
      <c r="J17" s="136"/>
    </row>
    <row r="18" spans="1:12" ht="18" hidden="1" thickBot="1" x14ac:dyDescent="0.3">
      <c r="A18" s="137"/>
      <c r="B18" s="138" t="s">
        <v>52</v>
      </c>
      <c r="C18" s="139">
        <f>SUMPRODUCT(E5:E16,C5:C16)</f>
        <v>0</v>
      </c>
      <c r="D18" s="140"/>
      <c r="E18" s="141">
        <v>0</v>
      </c>
      <c r="F18" s="120"/>
      <c r="G18" s="142" t="s">
        <v>52</v>
      </c>
      <c r="H18" s="143"/>
      <c r="I18" s="144"/>
      <c r="J18" s="145">
        <v>0</v>
      </c>
    </row>
    <row r="19" spans="1:12" ht="18" hidden="1" thickBot="1" x14ac:dyDescent="0.3">
      <c r="A19" s="146" t="s">
        <v>53</v>
      </c>
      <c r="B19" s="147" t="s">
        <v>17</v>
      </c>
      <c r="C19" s="87">
        <f>D19/3.5</f>
        <v>1183108.857142857</v>
      </c>
      <c r="D19" s="108">
        <v>4140881</v>
      </c>
      <c r="E19" s="89">
        <v>0.94799999999999995</v>
      </c>
      <c r="F19" s="122"/>
      <c r="G19" s="110" t="s">
        <v>39</v>
      </c>
      <c r="H19" s="111">
        <v>1183109</v>
      </c>
      <c r="I19" s="112">
        <v>0.3</v>
      </c>
      <c r="J19" s="148">
        <f>I19*H19</f>
        <v>354932.7</v>
      </c>
    </row>
    <row r="20" spans="1:12" ht="18" hidden="1" thickBot="1" x14ac:dyDescent="0.3">
      <c r="A20" s="149"/>
      <c r="B20" s="150" t="s">
        <v>54</v>
      </c>
      <c r="C20" s="151">
        <v>5000000</v>
      </c>
      <c r="D20" s="152">
        <f>C20*3.5</f>
        <v>17500000</v>
      </c>
      <c r="E20" s="99">
        <v>0.35</v>
      </c>
      <c r="F20" s="122"/>
      <c r="G20" s="91" t="s">
        <v>39</v>
      </c>
      <c r="H20" s="153">
        <v>5000000</v>
      </c>
      <c r="I20" s="92">
        <v>0.35</v>
      </c>
      <c r="J20" s="148">
        <f t="shared" ref="J20:J21" si="2">I20*H20</f>
        <v>1750000</v>
      </c>
    </row>
    <row r="21" spans="1:12" ht="18" hidden="1" thickBot="1" x14ac:dyDescent="0.3">
      <c r="A21" s="149"/>
      <c r="B21" s="150" t="s">
        <v>55</v>
      </c>
      <c r="C21" s="151">
        <v>5000000</v>
      </c>
      <c r="D21" s="152">
        <f>C21*3.5</f>
        <v>17500000</v>
      </c>
      <c r="E21" s="99">
        <v>0.35</v>
      </c>
      <c r="F21" s="122"/>
      <c r="G21" s="154" t="s">
        <v>39</v>
      </c>
      <c r="H21" s="83">
        <v>5000000</v>
      </c>
      <c r="I21" s="127">
        <v>0.35</v>
      </c>
      <c r="J21" s="148">
        <f t="shared" si="2"/>
        <v>1750000</v>
      </c>
    </row>
    <row r="22" spans="1:12" ht="16.2" hidden="1" thickBot="1" x14ac:dyDescent="0.35">
      <c r="A22" s="155"/>
      <c r="B22" s="156" t="s">
        <v>56</v>
      </c>
      <c r="C22" s="157">
        <f>SUM(C17:C21)</f>
        <v>20823517.285714284</v>
      </c>
      <c r="D22" s="158"/>
      <c r="E22" s="159"/>
      <c r="F22" s="160"/>
      <c r="G22" s="161" t="s">
        <v>56</v>
      </c>
      <c r="H22" s="162">
        <f>SUM(H21+H20+H19+H17)</f>
        <v>14338541</v>
      </c>
      <c r="I22" s="163"/>
      <c r="J22" s="164"/>
    </row>
    <row r="23" spans="1:12" ht="15.6" hidden="1" thickBot="1" x14ac:dyDescent="0.3">
      <c r="A23" s="155"/>
      <c r="B23" s="138" t="s">
        <v>52</v>
      </c>
      <c r="C23" s="165">
        <f>SUMPRODUCT(E19:E21,C19:C21)</f>
        <v>4621587.1965714283</v>
      </c>
      <c r="D23" s="166"/>
      <c r="E23" s="167">
        <f>C23/C22</f>
        <v>0.22194075732546928</v>
      </c>
      <c r="F23" s="160"/>
      <c r="G23" s="161" t="s">
        <v>52</v>
      </c>
      <c r="H23" s="163">
        <f>SUMPRODUCT(H19:H21,I19:I21)</f>
        <v>3854932.7</v>
      </c>
      <c r="I23" s="168"/>
      <c r="J23" s="169">
        <f>H23/H22</f>
        <v>0.26885111253648475</v>
      </c>
    </row>
    <row r="24" spans="1:12" ht="18" hidden="1" thickBot="1" x14ac:dyDescent="0.3">
      <c r="A24" s="170" t="s">
        <v>57</v>
      </c>
      <c r="B24" s="171" t="s">
        <v>58</v>
      </c>
      <c r="C24" s="172">
        <f t="shared" ref="C24:C25" si="3">D24/3.5</f>
        <v>502428.57142857142</v>
      </c>
      <c r="D24" s="173">
        <v>1758500</v>
      </c>
      <c r="E24" s="96">
        <v>0</v>
      </c>
      <c r="F24" s="100"/>
      <c r="G24" s="110" t="s">
        <v>39</v>
      </c>
      <c r="H24" s="174">
        <v>502428.57142857142</v>
      </c>
      <c r="I24" s="175">
        <v>0</v>
      </c>
      <c r="J24" s="176">
        <f>I24*H24</f>
        <v>0</v>
      </c>
      <c r="L24" s="177"/>
    </row>
    <row r="25" spans="1:12" ht="18" hidden="1" thickBot="1" x14ac:dyDescent="0.3">
      <c r="A25" s="178"/>
      <c r="B25" s="150" t="s">
        <v>59</v>
      </c>
      <c r="C25" s="179">
        <f t="shared" si="3"/>
        <v>165617.14285714287</v>
      </c>
      <c r="D25" s="180">
        <v>579660</v>
      </c>
      <c r="E25" s="99">
        <v>0</v>
      </c>
      <c r="F25" s="100"/>
      <c r="G25" s="91" t="s">
        <v>39</v>
      </c>
      <c r="H25" s="181">
        <v>366457</v>
      </c>
      <c r="I25" s="182">
        <v>0</v>
      </c>
      <c r="J25" s="176">
        <f t="shared" ref="J25:J28" si="4">I25*H25</f>
        <v>0</v>
      </c>
      <c r="L25" s="183"/>
    </row>
    <row r="26" spans="1:12" ht="18" hidden="1" thickBot="1" x14ac:dyDescent="0.3">
      <c r="A26" s="178"/>
      <c r="B26" s="184" t="s">
        <v>60</v>
      </c>
      <c r="C26" s="179">
        <f>D26/3.5</f>
        <v>1124382.857142857</v>
      </c>
      <c r="D26" s="185">
        <v>3935340</v>
      </c>
      <c r="E26" s="186">
        <v>0</v>
      </c>
      <c r="F26" s="100"/>
      <c r="G26" s="91" t="s">
        <v>39</v>
      </c>
      <c r="H26" s="181">
        <v>1124382.8571428601</v>
      </c>
      <c r="I26" s="182">
        <v>0</v>
      </c>
      <c r="J26" s="176">
        <f t="shared" si="4"/>
        <v>0</v>
      </c>
      <c r="L26" s="183"/>
    </row>
    <row r="27" spans="1:12" ht="18" hidden="1" thickBot="1" x14ac:dyDescent="0.3">
      <c r="A27" s="178"/>
      <c r="B27" s="184" t="s">
        <v>61</v>
      </c>
      <c r="C27" s="179">
        <f>D27/3.5</f>
        <v>1200000</v>
      </c>
      <c r="D27" s="185">
        <v>4200000</v>
      </c>
      <c r="E27" s="186">
        <v>0</v>
      </c>
      <c r="F27" s="100"/>
      <c r="G27" s="91" t="s">
        <v>39</v>
      </c>
      <c r="H27" s="181">
        <v>1200000</v>
      </c>
      <c r="I27" s="182">
        <v>0</v>
      </c>
      <c r="J27" s="176">
        <f t="shared" si="4"/>
        <v>0</v>
      </c>
    </row>
    <row r="28" spans="1:12" ht="18" hidden="1" thickBot="1" x14ac:dyDescent="0.3">
      <c r="A28" s="178"/>
      <c r="B28" s="150" t="s">
        <v>62</v>
      </c>
      <c r="C28" s="179">
        <v>600000</v>
      </c>
      <c r="D28" s="185">
        <f>C28*3.5</f>
        <v>2100000</v>
      </c>
      <c r="E28" s="186">
        <v>0.3</v>
      </c>
      <c r="F28" s="100"/>
      <c r="G28" s="154" t="s">
        <v>39</v>
      </c>
      <c r="H28" s="187">
        <v>600000</v>
      </c>
      <c r="I28" s="188">
        <v>0.3</v>
      </c>
      <c r="J28" s="176">
        <f t="shared" si="4"/>
        <v>180000</v>
      </c>
    </row>
    <row r="29" spans="1:12" ht="14.4" hidden="1" thickBot="1" x14ac:dyDescent="0.3">
      <c r="A29" s="189"/>
      <c r="B29" s="190" t="s">
        <v>63</v>
      </c>
      <c r="C29" s="165">
        <f>SUM(C24:C28)</f>
        <v>3592428.5714285714</v>
      </c>
      <c r="D29" s="191"/>
      <c r="E29" s="192"/>
      <c r="F29" s="100"/>
      <c r="G29" s="193" t="s">
        <v>63</v>
      </c>
      <c r="H29" s="194">
        <f>SUM(H28+H27+H26+H25+H24+H11+H10+H9+H8+H7+H6)</f>
        <v>7754918.428571431</v>
      </c>
      <c r="I29" s="195">
        <f>SUMPRODUCT(H6:H11,I6:I11)</f>
        <v>511565</v>
      </c>
      <c r="J29" s="196">
        <f>I29:I30/H29</f>
        <v>6.5966522370530953E-2</v>
      </c>
    </row>
    <row r="30" spans="1:12" ht="14.4" hidden="1" thickBot="1" x14ac:dyDescent="0.3">
      <c r="A30" s="197"/>
      <c r="B30" s="198" t="s">
        <v>52</v>
      </c>
      <c r="C30" s="165">
        <f>SUMPRODUCT(C24:C28,E24:E28)</f>
        <v>180000</v>
      </c>
      <c r="D30" s="191"/>
      <c r="E30" s="167">
        <f>C30/C29</f>
        <v>5.0105380363462841E-2</v>
      </c>
      <c r="F30" s="100"/>
      <c r="G30" s="193" t="s">
        <v>52</v>
      </c>
      <c r="H30" s="199"/>
      <c r="I30" s="195">
        <f>SUMPRODUCT(H24:H28,I24:I28)</f>
        <v>180000</v>
      </c>
      <c r="J30" s="200"/>
    </row>
    <row r="31" spans="1:12" ht="18" hidden="1" thickBot="1" x14ac:dyDescent="0.3">
      <c r="A31" s="201" t="s">
        <v>64</v>
      </c>
      <c r="B31" s="202" t="s">
        <v>65</v>
      </c>
      <c r="C31" s="203">
        <v>210000</v>
      </c>
      <c r="D31" s="204">
        <f>C31*3.5</f>
        <v>735000</v>
      </c>
      <c r="E31" s="205">
        <v>0.5</v>
      </c>
      <c r="F31" s="100"/>
      <c r="G31" s="154" t="s">
        <v>39</v>
      </c>
      <c r="H31" s="187">
        <v>400000</v>
      </c>
      <c r="I31" s="92">
        <v>0.5</v>
      </c>
      <c r="J31" s="176">
        <f>I31*H31</f>
        <v>200000</v>
      </c>
    </row>
    <row r="32" spans="1:12" ht="14.4" hidden="1" thickBot="1" x14ac:dyDescent="0.3">
      <c r="A32" s="206"/>
      <c r="B32" s="198" t="s">
        <v>66</v>
      </c>
      <c r="C32" s="191">
        <f>C31</f>
        <v>210000</v>
      </c>
      <c r="D32" s="191">
        <f>SUMPRODUCT(C31,E31)</f>
        <v>105000</v>
      </c>
      <c r="E32" s="70">
        <f>D32/C32</f>
        <v>0.5</v>
      </c>
      <c r="F32" s="100"/>
      <c r="G32" s="207" t="s">
        <v>66</v>
      </c>
      <c r="H32" s="208">
        <f>H31+H16+H15+H14+H13</f>
        <v>2532487</v>
      </c>
      <c r="I32" s="208">
        <f>SUMPRODUCT(H31,I31)</f>
        <v>200000</v>
      </c>
      <c r="J32" s="169">
        <f>I32:I33/H32</f>
        <v>7.8973751888953433E-2</v>
      </c>
    </row>
    <row r="33" spans="1:11" ht="14.4" hidden="1" thickBot="1" x14ac:dyDescent="0.3">
      <c r="A33" s="206"/>
      <c r="B33" s="198"/>
      <c r="C33" s="191"/>
      <c r="D33" s="191"/>
      <c r="E33" s="209"/>
      <c r="F33" s="100"/>
      <c r="G33" s="207"/>
      <c r="H33" s="208"/>
      <c r="I33" s="208">
        <f>SUMPRODUCT(H13:H16,I13:I16)</f>
        <v>539746.1</v>
      </c>
      <c r="J33" s="210"/>
    </row>
    <row r="34" spans="1:11" ht="18" hidden="1" thickBot="1" x14ac:dyDescent="0.3">
      <c r="A34" s="211" t="s">
        <v>29</v>
      </c>
      <c r="B34" s="212"/>
      <c r="C34" s="213" t="s">
        <v>37</v>
      </c>
      <c r="D34" s="214" t="s">
        <v>4</v>
      </c>
      <c r="E34" s="215" t="s">
        <v>67</v>
      </c>
      <c r="F34" s="100"/>
      <c r="G34" s="216"/>
      <c r="H34" s="217" t="s">
        <v>68</v>
      </c>
      <c r="I34" s="218"/>
      <c r="J34" s="219"/>
    </row>
    <row r="35" spans="1:11" ht="18" hidden="1" thickBot="1" x14ac:dyDescent="0.3">
      <c r="A35" s="220"/>
      <c r="B35" s="198" t="s">
        <v>69</v>
      </c>
      <c r="C35" s="157">
        <f>SUM(C19:C21)</f>
        <v>11183108.857142858</v>
      </c>
      <c r="D35" s="221"/>
      <c r="E35" s="222">
        <f>C35/C40</f>
        <v>0.45411895738003299</v>
      </c>
      <c r="F35" s="100"/>
      <c r="G35" s="198" t="s">
        <v>69</v>
      </c>
      <c r="H35" s="223">
        <f>SUM(H19:H21)</f>
        <v>11183109</v>
      </c>
      <c r="I35" s="224"/>
      <c r="J35" s="222">
        <f>H35/H40</f>
        <v>0.45411895264358942</v>
      </c>
    </row>
    <row r="36" spans="1:11" ht="14.4" hidden="1" thickBot="1" x14ac:dyDescent="0.3">
      <c r="A36" s="225"/>
      <c r="B36" s="198" t="s">
        <v>63</v>
      </c>
      <c r="C36" s="157">
        <f>C29</f>
        <v>3592428.5714285714</v>
      </c>
      <c r="D36" s="221"/>
      <c r="E36" s="222">
        <f>C36/C40</f>
        <v>0.1458798209119985</v>
      </c>
      <c r="F36" s="100"/>
      <c r="G36" s="198" t="s">
        <v>63</v>
      </c>
      <c r="H36" s="223">
        <f>H29</f>
        <v>7754918.428571431</v>
      </c>
      <c r="I36" s="224"/>
      <c r="J36" s="222">
        <f>H36/H40</f>
        <v>0.31490844224261144</v>
      </c>
    </row>
    <row r="37" spans="1:11" ht="14.4" hidden="1" thickBot="1" x14ac:dyDescent="0.3">
      <c r="A37" s="225"/>
      <c r="B37" s="198" t="s">
        <v>70</v>
      </c>
      <c r="C37" s="157">
        <f>C32</f>
        <v>210000</v>
      </c>
      <c r="D37" s="221"/>
      <c r="E37" s="222">
        <f>C37/C40</f>
        <v>8.5275912331744461E-3</v>
      </c>
      <c r="F37" s="100"/>
      <c r="G37" s="198" t="s">
        <v>70</v>
      </c>
      <c r="H37" s="223">
        <f>H32</f>
        <v>2532487</v>
      </c>
      <c r="I37" s="224"/>
      <c r="J37" s="222">
        <f>H37/H40</f>
        <v>0.10283815922955823</v>
      </c>
    </row>
    <row r="38" spans="1:11" ht="14.4" hidden="1" thickBot="1" x14ac:dyDescent="0.3">
      <c r="A38" s="225"/>
      <c r="B38" s="226" t="s">
        <v>71</v>
      </c>
      <c r="C38" s="157">
        <f>C17</f>
        <v>9640408.4285714291</v>
      </c>
      <c r="D38" s="221"/>
      <c r="E38" s="222">
        <f>C38/C40</f>
        <v>0.39147363047479405</v>
      </c>
      <c r="F38" s="100"/>
      <c r="G38" s="226" t="s">
        <v>71</v>
      </c>
      <c r="H38" s="223">
        <f>H17</f>
        <v>3155432</v>
      </c>
      <c r="I38" s="224"/>
      <c r="J38" s="222">
        <f>H38/H40</f>
        <v>0.12813444588424083</v>
      </c>
    </row>
    <row r="39" spans="1:11" ht="14.4" hidden="1" thickBot="1" x14ac:dyDescent="0.3">
      <c r="A39" s="225"/>
      <c r="B39" s="226" t="s">
        <v>72</v>
      </c>
      <c r="C39" s="157"/>
      <c r="D39" s="221"/>
      <c r="E39" s="222">
        <f>C23/C40</f>
        <v>0.1876714593373037</v>
      </c>
      <c r="F39" s="100"/>
      <c r="G39" s="226" t="s">
        <v>72</v>
      </c>
      <c r="H39" s="227">
        <f>J23</f>
        <v>0.26885111253648475</v>
      </c>
      <c r="I39" s="224"/>
      <c r="J39" s="222">
        <v>0.22</v>
      </c>
    </row>
    <row r="40" spans="1:11" ht="18" hidden="1" thickBot="1" x14ac:dyDescent="0.35">
      <c r="A40" s="228" t="s">
        <v>73</v>
      </c>
      <c r="B40" s="229"/>
      <c r="C40" s="230">
        <f>SUM(C35:C38)</f>
        <v>24625945.857142858</v>
      </c>
      <c r="D40" s="231"/>
      <c r="E40" s="232"/>
      <c r="F40" s="104"/>
      <c r="G40" s="233"/>
      <c r="H40" s="234">
        <f>SUM(H35:H38)</f>
        <v>24625946.428571433</v>
      </c>
      <c r="I40" s="235"/>
      <c r="J40" s="236"/>
      <c r="K40" s="236"/>
    </row>
    <row r="41" spans="1:11" ht="14.4" hidden="1" thickBot="1" x14ac:dyDescent="0.3">
      <c r="B41" s="237" t="s">
        <v>74</v>
      </c>
      <c r="C41" s="238"/>
      <c r="D41" s="239"/>
      <c r="F41" s="240"/>
      <c r="G41" s="241" t="s">
        <v>75</v>
      </c>
      <c r="H41" s="242"/>
      <c r="I41" s="243" t="s">
        <v>76</v>
      </c>
      <c r="J41" s="242"/>
      <c r="K41" s="244"/>
    </row>
    <row r="42" spans="1:11" hidden="1" x14ac:dyDescent="0.25">
      <c r="B42" s="245" t="s">
        <v>33</v>
      </c>
      <c r="C42" s="246">
        <f>C17</f>
        <v>9640408.4285714291</v>
      </c>
      <c r="D42" s="247">
        <f>C42/C40</f>
        <v>0.39147363047479405</v>
      </c>
      <c r="F42" s="115"/>
      <c r="G42" s="248" t="s">
        <v>77</v>
      </c>
      <c r="H42" s="249">
        <f>C40</f>
        <v>24625945.857142858</v>
      </c>
      <c r="I42" s="250" t="s">
        <v>78</v>
      </c>
      <c r="J42" s="251">
        <f>H40</f>
        <v>24625946.428571433</v>
      </c>
      <c r="K42" s="239"/>
    </row>
    <row r="43" spans="1:11" hidden="1" x14ac:dyDescent="0.25">
      <c r="B43" s="245" t="s">
        <v>30</v>
      </c>
      <c r="C43" s="246">
        <f>C35</f>
        <v>11183108.857142858</v>
      </c>
      <c r="D43" s="247">
        <f>C43/C40</f>
        <v>0.45411895738003299</v>
      </c>
      <c r="F43" s="115"/>
      <c r="G43" s="252" t="s">
        <v>79</v>
      </c>
      <c r="H43" s="253">
        <f>E39</f>
        <v>0.1876714593373037</v>
      </c>
      <c r="I43" s="254" t="s">
        <v>80</v>
      </c>
      <c r="J43" s="255">
        <f>H39</f>
        <v>0.26885111253648475</v>
      </c>
      <c r="K43" s="256"/>
    </row>
    <row r="44" spans="1:11" hidden="1" x14ac:dyDescent="0.25">
      <c r="B44" s="257" t="s">
        <v>57</v>
      </c>
      <c r="C44" s="246">
        <f>C36</f>
        <v>3592428.5714285714</v>
      </c>
      <c r="D44" s="247">
        <f>C44/C40</f>
        <v>0.1458798209119985</v>
      </c>
      <c r="F44" s="115"/>
      <c r="G44" s="252" t="s">
        <v>81</v>
      </c>
      <c r="H44" s="258">
        <f>E35</f>
        <v>0.45411895738003299</v>
      </c>
      <c r="I44" s="254" t="s">
        <v>82</v>
      </c>
      <c r="J44" s="259">
        <f>J35</f>
        <v>0.45411895264358942</v>
      </c>
      <c r="K44" s="256"/>
    </row>
    <row r="45" spans="1:11" hidden="1" x14ac:dyDescent="0.25">
      <c r="B45" s="257" t="s">
        <v>70</v>
      </c>
      <c r="C45" s="246">
        <f>C32</f>
        <v>210000</v>
      </c>
      <c r="D45" s="247">
        <f>C45/C40</f>
        <v>8.5275912331744461E-3</v>
      </c>
      <c r="F45" s="115"/>
      <c r="G45" s="252" t="s">
        <v>83</v>
      </c>
      <c r="H45" s="258">
        <f>E38</f>
        <v>0.39147363047479405</v>
      </c>
      <c r="I45" s="254" t="s">
        <v>84</v>
      </c>
      <c r="J45" s="259">
        <f>J38</f>
        <v>0.12813444588424083</v>
      </c>
      <c r="K45" s="256"/>
    </row>
    <row r="46" spans="1:11" hidden="1" x14ac:dyDescent="0.25">
      <c r="B46" s="260" t="s">
        <v>85</v>
      </c>
      <c r="C46" s="261"/>
      <c r="D46" s="262"/>
      <c r="F46" s="115"/>
      <c r="G46" s="252" t="s">
        <v>86</v>
      </c>
      <c r="H46" s="253">
        <f>E36</f>
        <v>0.1458798209119985</v>
      </c>
      <c r="I46" s="254" t="s">
        <v>87</v>
      </c>
      <c r="J46" s="259">
        <f>J36</f>
        <v>0.31490844224261144</v>
      </c>
      <c r="K46" s="256"/>
    </row>
    <row r="47" spans="1:11" ht="14.4" hidden="1" thickBot="1" x14ac:dyDescent="0.3">
      <c r="B47" s="263" t="s">
        <v>88</v>
      </c>
      <c r="C47" s="264">
        <f>SUM(C19:C21)</f>
        <v>11183108.857142858</v>
      </c>
      <c r="D47" s="247">
        <f>C47/C40</f>
        <v>0.45411895738003299</v>
      </c>
      <c r="F47" s="115"/>
      <c r="G47" s="265" t="s">
        <v>89</v>
      </c>
      <c r="H47" s="266">
        <f>E37</f>
        <v>8.5275912331744461E-3</v>
      </c>
      <c r="I47" s="267" t="s">
        <v>90</v>
      </c>
      <c r="J47" s="268">
        <f>J37</f>
        <v>0.10283815922955823</v>
      </c>
      <c r="K47" s="269"/>
    </row>
    <row r="48" spans="1:11" hidden="1" x14ac:dyDescent="0.25">
      <c r="B48" s="263" t="s">
        <v>91</v>
      </c>
      <c r="C48" s="264">
        <f>C38</f>
        <v>9640408.4285714291</v>
      </c>
      <c r="D48" s="247">
        <f>C48/C40</f>
        <v>0.39147363047479405</v>
      </c>
      <c r="F48" s="115"/>
    </row>
    <row r="49" spans="2:6" hidden="1" x14ac:dyDescent="0.25">
      <c r="B49" s="263" t="s">
        <v>28</v>
      </c>
      <c r="C49" s="264">
        <f>C29</f>
        <v>3592428.5714285714</v>
      </c>
      <c r="D49" s="247">
        <f>C49/C40</f>
        <v>0.1458798209119985</v>
      </c>
      <c r="F49" s="115"/>
    </row>
    <row r="50" spans="2:6" ht="14.4" hidden="1" thickBot="1" x14ac:dyDescent="0.3">
      <c r="B50" s="270" t="s">
        <v>70</v>
      </c>
      <c r="C50" s="271">
        <f>C37</f>
        <v>210000</v>
      </c>
      <c r="D50" s="272">
        <f>C50/C40</f>
        <v>8.5275912331744461E-3</v>
      </c>
      <c r="F50" s="240"/>
    </row>
    <row r="51" spans="2:6" hidden="1" x14ac:dyDescent="0.25">
      <c r="F51" s="240"/>
    </row>
    <row r="52" spans="2:6" hidden="1" x14ac:dyDescent="0.25">
      <c r="F52" s="240"/>
    </row>
    <row r="53" spans="2:6" hidden="1" x14ac:dyDescent="0.25">
      <c r="F53" s="240"/>
    </row>
    <row r="54" spans="2:6" ht="14.4" hidden="1" thickBot="1" x14ac:dyDescent="0.3">
      <c r="F54" s="240"/>
    </row>
    <row r="55" spans="2:6" hidden="1" x14ac:dyDescent="0.25">
      <c r="B55" s="237" t="s">
        <v>92</v>
      </c>
      <c r="C55" s="238"/>
      <c r="D55" s="239"/>
      <c r="F55" s="240"/>
    </row>
    <row r="56" spans="2:6" hidden="1" x14ac:dyDescent="0.25">
      <c r="B56" s="263" t="s">
        <v>88</v>
      </c>
      <c r="C56" s="264">
        <v>8183109</v>
      </c>
      <c r="D56" s="247">
        <f>C56/H40</f>
        <v>0.33229622356791211</v>
      </c>
      <c r="F56" s="240"/>
    </row>
    <row r="57" spans="2:6" hidden="1" x14ac:dyDescent="0.25">
      <c r="B57" s="263" t="s">
        <v>91</v>
      </c>
      <c r="C57" s="246">
        <f>SUM(H5+H12)</f>
        <v>3155432</v>
      </c>
      <c r="D57" s="247">
        <f>C57/H40</f>
        <v>0.12813444588424083</v>
      </c>
      <c r="F57" s="240"/>
    </row>
    <row r="58" spans="2:6" hidden="1" x14ac:dyDescent="0.25">
      <c r="B58" s="263" t="s">
        <v>93</v>
      </c>
      <c r="C58" s="264" t="e">
        <f>SUM(#REF!)</f>
        <v>#REF!</v>
      </c>
      <c r="D58" s="247" t="e">
        <f>C58/H40</f>
        <v>#REF!</v>
      </c>
      <c r="F58" s="240"/>
    </row>
    <row r="59" spans="2:6" hidden="1" x14ac:dyDescent="0.25">
      <c r="B59" s="263" t="s">
        <v>94</v>
      </c>
      <c r="C59" s="264">
        <v>3342487</v>
      </c>
      <c r="D59" s="247">
        <f>C59/H40</f>
        <v>0.1357302960799911</v>
      </c>
      <c r="F59" s="240"/>
    </row>
    <row r="60" spans="2:6" hidden="1" x14ac:dyDescent="0.25">
      <c r="B60" s="263" t="s">
        <v>28</v>
      </c>
      <c r="C60" s="264">
        <v>10880525</v>
      </c>
      <c r="D60" s="247">
        <f>C60/H40</f>
        <v>0.44183174975871115</v>
      </c>
      <c r="F60" s="240"/>
    </row>
    <row r="61" spans="2:6" hidden="1" x14ac:dyDescent="0.25">
      <c r="B61" s="263"/>
      <c r="C61" s="264"/>
      <c r="D61" s="247"/>
      <c r="F61" s="240"/>
    </row>
    <row r="62" spans="2:6" ht="14.4" hidden="1" thickBot="1" x14ac:dyDescent="0.3">
      <c r="B62" s="273"/>
      <c r="C62" s="274"/>
      <c r="D62" s="272"/>
      <c r="F62" s="240"/>
    </row>
    <row r="63" spans="2:6" hidden="1" x14ac:dyDescent="0.25">
      <c r="F63" s="240"/>
    </row>
    <row r="64" spans="2:6" hidden="1" x14ac:dyDescent="0.25">
      <c r="F64" s="240"/>
    </row>
    <row r="65" spans="1:10" hidden="1" x14ac:dyDescent="0.25">
      <c r="F65" s="240"/>
    </row>
    <row r="66" spans="1:10" ht="14.4" thickBot="1" x14ac:dyDescent="0.3">
      <c r="F66" s="240"/>
    </row>
    <row r="67" spans="1:10" ht="14.4" thickBot="1" x14ac:dyDescent="0.3">
      <c r="A67" s="285"/>
      <c r="B67" s="286" t="s">
        <v>3</v>
      </c>
      <c r="C67" s="286" t="s">
        <v>37</v>
      </c>
      <c r="D67" s="286" t="s">
        <v>4</v>
      </c>
      <c r="E67" s="287"/>
      <c r="F67" s="288"/>
      <c r="G67" s="289" t="s">
        <v>38</v>
      </c>
      <c r="H67" s="290" t="s">
        <v>37</v>
      </c>
      <c r="I67" s="291"/>
      <c r="J67" s="292"/>
    </row>
    <row r="68" spans="1:10" ht="18" thickBot="1" x14ac:dyDescent="0.3">
      <c r="A68" s="293" t="s">
        <v>33</v>
      </c>
      <c r="B68" s="294" t="s">
        <v>8</v>
      </c>
      <c r="C68" s="295">
        <f>D68/3.5</f>
        <v>15175.142857142857</v>
      </c>
      <c r="D68" s="296">
        <v>53113</v>
      </c>
      <c r="E68" s="297"/>
      <c r="F68" s="298"/>
      <c r="G68" s="299" t="s">
        <v>39</v>
      </c>
      <c r="H68" s="300">
        <v>15175</v>
      </c>
      <c r="I68" s="301"/>
      <c r="J68" s="302"/>
    </row>
    <row r="69" spans="1:10" ht="18" thickBot="1" x14ac:dyDescent="0.3">
      <c r="A69" s="303"/>
      <c r="B69" s="304" t="s">
        <v>8</v>
      </c>
      <c r="C69" s="305">
        <v>524000</v>
      </c>
      <c r="D69" s="306">
        <f>C69*3.5</f>
        <v>1834000</v>
      </c>
      <c r="E69" s="307"/>
      <c r="F69" s="308"/>
      <c r="G69" s="309" t="s">
        <v>40</v>
      </c>
      <c r="H69" s="310">
        <v>524000</v>
      </c>
      <c r="I69" s="311"/>
      <c r="J69" s="302"/>
    </row>
    <row r="70" spans="1:10" ht="18" thickBot="1" x14ac:dyDescent="0.3">
      <c r="A70" s="312"/>
      <c r="B70" s="313" t="s">
        <v>41</v>
      </c>
      <c r="C70" s="314">
        <v>2962839</v>
      </c>
      <c r="D70" s="315">
        <f>C70*4</f>
        <v>11851356</v>
      </c>
      <c r="E70" s="316"/>
      <c r="F70" s="317"/>
      <c r="G70" s="318" t="s">
        <v>42</v>
      </c>
      <c r="H70" s="319">
        <v>500000</v>
      </c>
      <c r="I70" s="320"/>
      <c r="J70" s="302"/>
    </row>
    <row r="71" spans="1:10" ht="17.399999999999999" x14ac:dyDescent="0.25">
      <c r="A71" s="312"/>
      <c r="B71" s="321"/>
      <c r="C71" s="322">
        <f t="shared" ref="C71:C73" si="5">D71/3.5</f>
        <v>0</v>
      </c>
      <c r="D71" s="323"/>
      <c r="E71" s="324"/>
      <c r="F71" s="317"/>
      <c r="G71" s="318" t="s">
        <v>43</v>
      </c>
      <c r="H71" s="319">
        <v>500000</v>
      </c>
      <c r="I71" s="320"/>
      <c r="J71" s="302"/>
    </row>
    <row r="72" spans="1:10" ht="17.399999999999999" x14ac:dyDescent="0.25">
      <c r="A72" s="312"/>
      <c r="B72" s="325"/>
      <c r="C72" s="322">
        <f t="shared" si="5"/>
        <v>0</v>
      </c>
      <c r="D72" s="326"/>
      <c r="E72" s="327"/>
      <c r="F72" s="328"/>
      <c r="G72" s="318" t="s">
        <v>40</v>
      </c>
      <c r="H72" s="319">
        <v>1072000</v>
      </c>
      <c r="I72" s="320"/>
      <c r="J72" s="302"/>
    </row>
    <row r="73" spans="1:10" ht="18" thickBot="1" x14ac:dyDescent="0.3">
      <c r="A73" s="312"/>
      <c r="B73" s="325"/>
      <c r="C73" s="322">
        <f t="shared" si="5"/>
        <v>0</v>
      </c>
      <c r="D73" s="326"/>
      <c r="E73" s="327"/>
      <c r="F73" s="328"/>
      <c r="G73" s="318" t="s">
        <v>44</v>
      </c>
      <c r="H73" s="319">
        <v>500000</v>
      </c>
      <c r="I73" s="320"/>
      <c r="J73" s="302"/>
    </row>
    <row r="74" spans="1:10" ht="18" thickBot="1" x14ac:dyDescent="0.3">
      <c r="A74" s="303"/>
      <c r="B74" s="329" t="s">
        <v>45</v>
      </c>
      <c r="C74" s="295">
        <f>D74/3.5</f>
        <v>865650</v>
      </c>
      <c r="D74" s="330">
        <v>3029775</v>
      </c>
      <c r="E74" s="331"/>
      <c r="F74" s="332"/>
      <c r="G74" s="333" t="s">
        <v>40</v>
      </c>
      <c r="H74" s="300">
        <v>865650</v>
      </c>
      <c r="I74" s="301"/>
      <c r="J74" s="302"/>
    </row>
    <row r="75" spans="1:10" ht="17.399999999999999" x14ac:dyDescent="0.25">
      <c r="A75" s="334"/>
      <c r="B75" s="335" t="s">
        <v>46</v>
      </c>
      <c r="C75" s="314">
        <f t="shared" ref="C75:C79" si="6">D75/3.5</f>
        <v>4140257.1428571427</v>
      </c>
      <c r="D75" s="336">
        <v>14490900</v>
      </c>
      <c r="E75" s="316"/>
      <c r="F75" s="337"/>
      <c r="G75" s="338" t="s">
        <v>47</v>
      </c>
      <c r="H75" s="339">
        <v>3140257</v>
      </c>
      <c r="I75" s="340"/>
      <c r="J75" s="302"/>
    </row>
    <row r="76" spans="1:10" ht="17.399999999999999" x14ac:dyDescent="0.25">
      <c r="A76" s="334"/>
      <c r="B76" s="341"/>
      <c r="C76" s="322">
        <f t="shared" si="6"/>
        <v>0</v>
      </c>
      <c r="D76" s="342"/>
      <c r="E76" s="327"/>
      <c r="F76" s="343"/>
      <c r="G76" s="318" t="s">
        <v>48</v>
      </c>
      <c r="H76" s="319">
        <v>500000</v>
      </c>
      <c r="I76" s="320"/>
      <c r="J76" s="302"/>
    </row>
    <row r="77" spans="1:10" ht="18" thickBot="1" x14ac:dyDescent="0.3">
      <c r="A77" s="334"/>
      <c r="B77" s="344"/>
      <c r="C77" s="345">
        <f t="shared" si="6"/>
        <v>0</v>
      </c>
      <c r="D77" s="346"/>
      <c r="E77" s="347"/>
      <c r="F77" s="348"/>
      <c r="G77" s="309" t="s">
        <v>49</v>
      </c>
      <c r="H77" s="310">
        <v>500000</v>
      </c>
      <c r="I77" s="311"/>
      <c r="J77" s="302"/>
    </row>
    <row r="78" spans="1:10" ht="17.399999999999999" x14ac:dyDescent="0.25">
      <c r="A78" s="303"/>
      <c r="B78" s="335" t="s">
        <v>46</v>
      </c>
      <c r="C78" s="314">
        <f t="shared" si="6"/>
        <v>840243.71428571432</v>
      </c>
      <c r="D78" s="336">
        <v>2940853</v>
      </c>
      <c r="E78" s="349"/>
      <c r="F78" s="350"/>
      <c r="G78" s="351" t="s">
        <v>50</v>
      </c>
      <c r="H78" s="339">
        <v>840244</v>
      </c>
      <c r="I78" s="340"/>
      <c r="J78" s="302"/>
    </row>
    <row r="79" spans="1:10" ht="18" thickBot="1" x14ac:dyDescent="0.3">
      <c r="A79" s="303"/>
      <c r="B79" s="344" t="s">
        <v>46</v>
      </c>
      <c r="C79" s="345">
        <f t="shared" si="6"/>
        <v>292243.42857142858</v>
      </c>
      <c r="D79" s="346">
        <v>1022852</v>
      </c>
      <c r="E79" s="352"/>
      <c r="F79" s="308"/>
      <c r="G79" s="353" t="s">
        <v>50</v>
      </c>
      <c r="H79" s="354">
        <v>292243</v>
      </c>
      <c r="I79" s="355"/>
      <c r="J79" s="302"/>
    </row>
    <row r="80" spans="1:10" ht="18" thickBot="1" x14ac:dyDescent="0.3">
      <c r="A80" s="303"/>
      <c r="B80" s="356" t="s">
        <v>51</v>
      </c>
      <c r="C80" s="357">
        <f>SUM(C68:C79)</f>
        <v>9640408.4285714291</v>
      </c>
      <c r="D80" s="358"/>
      <c r="E80" s="359"/>
      <c r="F80" s="360"/>
      <c r="G80" s="361" t="s">
        <v>51</v>
      </c>
      <c r="H80" s="362">
        <f>SUM(H68+H75)</f>
        <v>3155432</v>
      </c>
      <c r="I80" s="358"/>
      <c r="J80" s="363"/>
    </row>
    <row r="81" spans="1:10" ht="18" thickBot="1" x14ac:dyDescent="0.3">
      <c r="A81" s="364"/>
      <c r="B81" s="365" t="s">
        <v>52</v>
      </c>
      <c r="C81" s="295">
        <f>SUMPRODUCT(E68:E79,C68:C79)</f>
        <v>0</v>
      </c>
      <c r="D81" s="366"/>
      <c r="E81" s="367"/>
      <c r="F81" s="348"/>
      <c r="G81" s="368" t="s">
        <v>52</v>
      </c>
      <c r="H81" s="369"/>
      <c r="I81" s="366"/>
      <c r="J81" s="370"/>
    </row>
    <row r="82" spans="1:10" ht="18" thickBot="1" x14ac:dyDescent="0.3">
      <c r="A82" s="371" t="s">
        <v>53</v>
      </c>
      <c r="B82" s="372" t="s">
        <v>17</v>
      </c>
      <c r="C82" s="314">
        <f>D82/3.5</f>
        <v>1183108.857142857</v>
      </c>
      <c r="D82" s="336">
        <v>4140881</v>
      </c>
      <c r="E82" s="316"/>
      <c r="F82" s="350"/>
      <c r="G82" s="338" t="s">
        <v>39</v>
      </c>
      <c r="H82" s="339">
        <v>1183109</v>
      </c>
      <c r="I82" s="340"/>
      <c r="J82" s="373"/>
    </row>
    <row r="83" spans="1:10" ht="18" thickBot="1" x14ac:dyDescent="0.3">
      <c r="A83" s="334"/>
      <c r="B83" s="374" t="s">
        <v>54</v>
      </c>
      <c r="C83" s="375">
        <v>5000000</v>
      </c>
      <c r="D83" s="376">
        <f>C83*3.5</f>
        <v>17500000</v>
      </c>
      <c r="E83" s="327"/>
      <c r="F83" s="350"/>
      <c r="G83" s="318" t="s">
        <v>39</v>
      </c>
      <c r="H83" s="377">
        <v>5000000</v>
      </c>
      <c r="I83" s="320"/>
      <c r="J83" s="373"/>
    </row>
    <row r="84" spans="1:10" ht="18" thickBot="1" x14ac:dyDescent="0.3">
      <c r="A84" s="334"/>
      <c r="B84" s="374" t="s">
        <v>55</v>
      </c>
      <c r="C84" s="375">
        <v>5000000</v>
      </c>
      <c r="D84" s="376">
        <f>C84*3.5</f>
        <v>17500000</v>
      </c>
      <c r="E84" s="327"/>
      <c r="F84" s="350"/>
      <c r="G84" s="378" t="s">
        <v>39</v>
      </c>
      <c r="H84" s="310">
        <v>5000000</v>
      </c>
      <c r="I84" s="355"/>
      <c r="J84" s="373"/>
    </row>
    <row r="85" spans="1:10" ht="16.2" thickBot="1" x14ac:dyDescent="0.35">
      <c r="A85" s="379"/>
      <c r="B85" s="380" t="s">
        <v>56</v>
      </c>
      <c r="C85" s="381">
        <f>SUM(C80:C84)</f>
        <v>20823517.285714284</v>
      </c>
      <c r="D85" s="382"/>
      <c r="E85" s="383"/>
      <c r="F85" s="384"/>
      <c r="G85" s="385" t="s">
        <v>56</v>
      </c>
      <c r="H85" s="386">
        <f>SUM(H84+H83+H82+H80)</f>
        <v>14338541</v>
      </c>
      <c r="I85" s="387"/>
      <c r="J85" s="383"/>
    </row>
    <row r="86" spans="1:10" ht="15.6" thickBot="1" x14ac:dyDescent="0.3">
      <c r="A86" s="379"/>
      <c r="B86" s="365" t="s">
        <v>52</v>
      </c>
      <c r="C86" s="388">
        <f>SUMPRODUCT(E82:E84,C82:C84)</f>
        <v>0</v>
      </c>
      <c r="D86" s="389"/>
      <c r="E86" s="390"/>
      <c r="F86" s="384"/>
      <c r="G86" s="385" t="s">
        <v>52</v>
      </c>
      <c r="H86" s="387">
        <f>SUMPRODUCT(H82:H84,I82:I84)</f>
        <v>0</v>
      </c>
      <c r="I86" s="382"/>
      <c r="J86" s="391"/>
    </row>
    <row r="87" spans="1:10" ht="18" thickBot="1" x14ac:dyDescent="0.3">
      <c r="A87" s="371" t="s">
        <v>57</v>
      </c>
      <c r="B87" s="392" t="s">
        <v>58</v>
      </c>
      <c r="C87" s="393">
        <f t="shared" ref="C87:C88" si="7">D87/3.5</f>
        <v>502428.57142857142</v>
      </c>
      <c r="D87" s="394">
        <v>1758500</v>
      </c>
      <c r="E87" s="324"/>
      <c r="F87" s="328"/>
      <c r="G87" s="338" t="s">
        <v>39</v>
      </c>
      <c r="H87" s="395">
        <v>502428.57142857142</v>
      </c>
      <c r="I87" s="396"/>
      <c r="J87" s="397"/>
    </row>
    <row r="88" spans="1:10" ht="18" thickBot="1" x14ac:dyDescent="0.3">
      <c r="A88" s="334"/>
      <c r="B88" s="374" t="s">
        <v>59</v>
      </c>
      <c r="C88" s="398">
        <f t="shared" si="7"/>
        <v>165617.14285714287</v>
      </c>
      <c r="D88" s="399">
        <v>579660</v>
      </c>
      <c r="E88" s="327"/>
      <c r="F88" s="328"/>
      <c r="G88" s="318" t="s">
        <v>39</v>
      </c>
      <c r="H88" s="400">
        <v>366457</v>
      </c>
      <c r="I88" s="401"/>
      <c r="J88" s="397"/>
    </row>
    <row r="89" spans="1:10" ht="18" thickBot="1" x14ac:dyDescent="0.3">
      <c r="A89" s="334"/>
      <c r="B89" s="402" t="s">
        <v>60</v>
      </c>
      <c r="C89" s="398">
        <f>D89/3.5</f>
        <v>1124382.857142857</v>
      </c>
      <c r="D89" s="403">
        <v>3935340</v>
      </c>
      <c r="E89" s="404"/>
      <c r="F89" s="328"/>
      <c r="G89" s="318" t="s">
        <v>39</v>
      </c>
      <c r="H89" s="400">
        <v>1124382.8571428601</v>
      </c>
      <c r="I89" s="401"/>
      <c r="J89" s="397"/>
    </row>
    <row r="90" spans="1:10" ht="18" thickBot="1" x14ac:dyDescent="0.3">
      <c r="A90" s="334"/>
      <c r="B90" s="402" t="s">
        <v>61</v>
      </c>
      <c r="C90" s="398">
        <f>D90/3.5</f>
        <v>1200000</v>
      </c>
      <c r="D90" s="403">
        <v>4200000</v>
      </c>
      <c r="E90" s="404"/>
      <c r="F90" s="328"/>
      <c r="G90" s="318" t="s">
        <v>39</v>
      </c>
      <c r="H90" s="400">
        <v>1200000</v>
      </c>
      <c r="I90" s="401"/>
      <c r="J90" s="397"/>
    </row>
    <row r="91" spans="1:10" ht="18" thickBot="1" x14ac:dyDescent="0.3">
      <c r="A91" s="334"/>
      <c r="B91" s="374" t="s">
        <v>62</v>
      </c>
      <c r="C91" s="398">
        <v>600000</v>
      </c>
      <c r="D91" s="403">
        <f>C91*3.5</f>
        <v>2100000</v>
      </c>
      <c r="E91" s="404"/>
      <c r="F91" s="328"/>
      <c r="G91" s="378" t="s">
        <v>39</v>
      </c>
      <c r="H91" s="405">
        <v>600000</v>
      </c>
      <c r="I91" s="406"/>
      <c r="J91" s="397"/>
    </row>
    <row r="92" spans="1:10" ht="14.4" thickBot="1" x14ac:dyDescent="0.3">
      <c r="A92" s="407"/>
      <c r="B92" s="408" t="s">
        <v>63</v>
      </c>
      <c r="C92" s="388">
        <f>SUM(C87:C91)</f>
        <v>3592428.5714285714</v>
      </c>
      <c r="D92" s="409"/>
      <c r="E92" s="410"/>
      <c r="F92" s="328"/>
      <c r="G92" s="411" t="s">
        <v>63</v>
      </c>
      <c r="H92" s="412">
        <f>SUM(H91+H90+H89+H88+H87+H74+H73+H72+H71+H70+H69)</f>
        <v>7754918.428571431</v>
      </c>
      <c r="I92" s="413"/>
      <c r="J92" s="414"/>
    </row>
    <row r="93" spans="1:10" ht="14.4" thickBot="1" x14ac:dyDescent="0.3">
      <c r="A93" s="415"/>
      <c r="B93" s="416" t="s">
        <v>52</v>
      </c>
      <c r="C93" s="388">
        <f>SUMPRODUCT(C87:C91,E87:E91)</f>
        <v>0</v>
      </c>
      <c r="D93" s="409"/>
      <c r="E93" s="390"/>
      <c r="F93" s="328"/>
      <c r="G93" s="411" t="s">
        <v>52</v>
      </c>
      <c r="H93" s="417"/>
      <c r="I93" s="413"/>
      <c r="J93" s="418"/>
    </row>
    <row r="94" spans="1:10" ht="18" thickBot="1" x14ac:dyDescent="0.3">
      <c r="A94" s="334" t="s">
        <v>64</v>
      </c>
      <c r="B94" s="419" t="s">
        <v>65</v>
      </c>
      <c r="C94" s="420">
        <v>210000</v>
      </c>
      <c r="D94" s="421">
        <f>C94*3.5</f>
        <v>735000</v>
      </c>
      <c r="E94" s="422"/>
      <c r="F94" s="328"/>
      <c r="G94" s="378" t="s">
        <v>39</v>
      </c>
      <c r="H94" s="405">
        <v>400000</v>
      </c>
      <c r="I94" s="320">
        <v>0.5</v>
      </c>
      <c r="J94" s="397"/>
    </row>
    <row r="95" spans="1:10" ht="14.4" thickBot="1" x14ac:dyDescent="0.3">
      <c r="A95" s="423"/>
      <c r="B95" s="416" t="s">
        <v>66</v>
      </c>
      <c r="C95" s="409">
        <f>C94</f>
        <v>210000</v>
      </c>
      <c r="D95" s="409"/>
      <c r="E95" s="297"/>
      <c r="F95" s="328"/>
      <c r="G95" s="424" t="s">
        <v>66</v>
      </c>
      <c r="H95" s="425">
        <f>H94+H79+H78+H77+H76</f>
        <v>2532487</v>
      </c>
      <c r="I95" s="425">
        <f>SUMPRODUCT(H94,I94)</f>
        <v>200000</v>
      </c>
      <c r="J95" s="391">
        <f>I95:I96/H95</f>
        <v>7.8973751888953433E-2</v>
      </c>
    </row>
    <row r="96" spans="1:10" ht="14.4" thickBot="1" x14ac:dyDescent="0.3">
      <c r="A96" s="423"/>
      <c r="B96" s="416"/>
      <c r="C96" s="409"/>
      <c r="D96" s="409"/>
      <c r="E96" s="426"/>
      <c r="F96" s="328"/>
      <c r="G96" s="424"/>
      <c r="H96" s="425"/>
      <c r="I96" s="425">
        <f>SUMPRODUCT(H76:H79,I76:I79)</f>
        <v>0</v>
      </c>
      <c r="J96" s="427"/>
    </row>
    <row r="97" spans="1:10" ht="18" thickBot="1" x14ac:dyDescent="0.3">
      <c r="A97" s="293" t="s">
        <v>29</v>
      </c>
      <c r="B97" s="428"/>
      <c r="C97" s="429" t="s">
        <v>37</v>
      </c>
      <c r="D97" s="430" t="s">
        <v>4</v>
      </c>
      <c r="E97" s="431" t="s">
        <v>67</v>
      </c>
      <c r="F97" s="328"/>
      <c r="G97" s="432"/>
      <c r="H97" s="433" t="s">
        <v>68</v>
      </c>
      <c r="I97" s="434"/>
      <c r="J97" s="435"/>
    </row>
    <row r="98" spans="1:10" ht="18" thickBot="1" x14ac:dyDescent="0.3">
      <c r="A98" s="334"/>
      <c r="B98" s="416" t="s">
        <v>69</v>
      </c>
      <c r="C98" s="381">
        <f>SUM(C82:C84)</f>
        <v>11183108.857142858</v>
      </c>
      <c r="D98" s="436"/>
      <c r="E98" s="437">
        <f>C98/C103</f>
        <v>0.45411895738003299</v>
      </c>
      <c r="F98" s="328"/>
      <c r="G98" s="416" t="s">
        <v>69</v>
      </c>
      <c r="H98" s="438">
        <f>SUM(H82:H84)</f>
        <v>11183109</v>
      </c>
      <c r="I98" s="439"/>
      <c r="J98" s="437">
        <f>H98/H103</f>
        <v>0.45411895264358942</v>
      </c>
    </row>
    <row r="99" spans="1:10" ht="14.4" thickBot="1" x14ac:dyDescent="0.3">
      <c r="A99" s="276"/>
      <c r="B99" s="416" t="s">
        <v>63</v>
      </c>
      <c r="C99" s="381">
        <f>C92</f>
        <v>3592428.5714285714</v>
      </c>
      <c r="D99" s="436"/>
      <c r="E99" s="437">
        <f>C99/C103</f>
        <v>0.1458798209119985</v>
      </c>
      <c r="F99" s="328"/>
      <c r="G99" s="416" t="s">
        <v>63</v>
      </c>
      <c r="H99" s="438">
        <f>H92</f>
        <v>7754918.428571431</v>
      </c>
      <c r="I99" s="439"/>
      <c r="J99" s="437">
        <f>H99/H103</f>
        <v>0.31490844224261144</v>
      </c>
    </row>
    <row r="100" spans="1:10" ht="14.4" thickBot="1" x14ac:dyDescent="0.3">
      <c r="A100" s="276"/>
      <c r="B100" s="416" t="s">
        <v>70</v>
      </c>
      <c r="C100" s="381">
        <f>C95</f>
        <v>210000</v>
      </c>
      <c r="D100" s="436"/>
      <c r="E100" s="437">
        <f>C100/C103</f>
        <v>8.5275912331744461E-3</v>
      </c>
      <c r="F100" s="328"/>
      <c r="G100" s="416" t="s">
        <v>70</v>
      </c>
      <c r="H100" s="438">
        <f>H95</f>
        <v>2532487</v>
      </c>
      <c r="I100" s="439"/>
      <c r="J100" s="437">
        <f>H100/H103</f>
        <v>0.10283815922955823</v>
      </c>
    </row>
    <row r="101" spans="1:10" ht="14.4" thickBot="1" x14ac:dyDescent="0.3">
      <c r="A101" s="276"/>
      <c r="B101" s="440" t="s">
        <v>71</v>
      </c>
      <c r="C101" s="381">
        <f>C80</f>
        <v>9640408.4285714291</v>
      </c>
      <c r="D101" s="436"/>
      <c r="E101" s="437">
        <f>C101/C103</f>
        <v>0.39147363047479405</v>
      </c>
      <c r="F101" s="328"/>
      <c r="G101" s="440" t="s">
        <v>71</v>
      </c>
      <c r="H101" s="438">
        <f>H80</f>
        <v>3155432</v>
      </c>
      <c r="I101" s="439"/>
      <c r="J101" s="437">
        <f>H101/H103</f>
        <v>0.12813444588424083</v>
      </c>
    </row>
    <row r="102" spans="1:10" ht="14.4" thickBot="1" x14ac:dyDescent="0.3">
      <c r="A102" s="276"/>
      <c r="B102" s="440" t="s">
        <v>72</v>
      </c>
      <c r="C102" s="381"/>
      <c r="D102" s="436"/>
      <c r="E102" s="437">
        <f>C86/C103</f>
        <v>0</v>
      </c>
      <c r="F102" s="328"/>
      <c r="G102" s="440" t="s">
        <v>72</v>
      </c>
      <c r="H102" s="418">
        <f>J86</f>
        <v>0</v>
      </c>
      <c r="I102" s="439"/>
      <c r="J102" s="437">
        <v>0.22</v>
      </c>
    </row>
    <row r="103" spans="1:10" ht="18" thickBot="1" x14ac:dyDescent="0.35">
      <c r="A103" s="228" t="s">
        <v>73</v>
      </c>
      <c r="B103" s="229"/>
      <c r="C103" s="230">
        <f>SUM(C98:C101)</f>
        <v>24625945.857142858</v>
      </c>
      <c r="D103" s="231"/>
      <c r="E103" s="232"/>
      <c r="F103" s="104"/>
      <c r="G103" s="233"/>
      <c r="H103" s="234">
        <f>SUM(H98:H101)</f>
        <v>24625946.428571433</v>
      </c>
      <c r="I103" s="235"/>
      <c r="J103" s="236"/>
    </row>
    <row r="104" spans="1:10" ht="14.4" thickBot="1" x14ac:dyDescent="0.3">
      <c r="B104" s="237" t="s">
        <v>74</v>
      </c>
      <c r="C104" s="238"/>
      <c r="D104" s="239"/>
      <c r="F104" s="240"/>
      <c r="G104" s="241" t="s">
        <v>75</v>
      </c>
      <c r="H104" s="242"/>
      <c r="I104" s="277" t="s">
        <v>76</v>
      </c>
      <c r="J104" s="278"/>
    </row>
    <row r="105" spans="1:10" x14ac:dyDescent="0.25">
      <c r="B105" s="245" t="s">
        <v>33</v>
      </c>
      <c r="C105" s="246">
        <f>C80</f>
        <v>9640408.4285714291</v>
      </c>
      <c r="D105" s="247">
        <f>C105/C103</f>
        <v>0.39147363047479405</v>
      </c>
      <c r="F105" s="115"/>
      <c r="G105" s="248" t="s">
        <v>77</v>
      </c>
      <c r="H105" s="249">
        <f>C103</f>
        <v>24625945.857142858</v>
      </c>
      <c r="I105" s="279" t="s">
        <v>78</v>
      </c>
      <c r="J105" s="280">
        <f>H103</f>
        <v>24625946.428571433</v>
      </c>
    </row>
    <row r="106" spans="1:10" x14ac:dyDescent="0.25">
      <c r="B106" s="245" t="s">
        <v>30</v>
      </c>
      <c r="C106" s="246">
        <f>C98</f>
        <v>11183108.857142858</v>
      </c>
      <c r="D106" s="247">
        <f>C106/C103</f>
        <v>0.45411895738003299</v>
      </c>
      <c r="F106" s="115"/>
      <c r="G106" s="252" t="s">
        <v>79</v>
      </c>
      <c r="H106" s="253">
        <f>E102</f>
        <v>0</v>
      </c>
      <c r="I106" s="281" t="s">
        <v>80</v>
      </c>
      <c r="J106" s="282">
        <f>H102</f>
        <v>0</v>
      </c>
    </row>
    <row r="107" spans="1:10" x14ac:dyDescent="0.25">
      <c r="B107" s="257" t="s">
        <v>57</v>
      </c>
      <c r="C107" s="246">
        <f>C99</f>
        <v>3592428.5714285714</v>
      </c>
      <c r="D107" s="247">
        <f>C107/C103</f>
        <v>0.1458798209119985</v>
      </c>
      <c r="F107" s="115"/>
      <c r="G107" s="252" t="s">
        <v>81</v>
      </c>
      <c r="H107" s="258">
        <f>E98</f>
        <v>0.45411895738003299</v>
      </c>
      <c r="I107" s="281" t="s">
        <v>82</v>
      </c>
      <c r="J107" s="282">
        <f>J98</f>
        <v>0.45411895264358942</v>
      </c>
    </row>
    <row r="108" spans="1:10" x14ac:dyDescent="0.25">
      <c r="B108" s="257" t="s">
        <v>70</v>
      </c>
      <c r="C108" s="246">
        <f>C95</f>
        <v>210000</v>
      </c>
      <c r="D108" s="247">
        <f>C108/C103</f>
        <v>8.5275912331744461E-3</v>
      </c>
      <c r="F108" s="115"/>
      <c r="G108" s="252" t="s">
        <v>83</v>
      </c>
      <c r="H108" s="258">
        <f>E101</f>
        <v>0.39147363047479405</v>
      </c>
      <c r="I108" s="281" t="s">
        <v>84</v>
      </c>
      <c r="J108" s="282">
        <f>J101</f>
        <v>0.12813444588424083</v>
      </c>
    </row>
    <row r="109" spans="1:10" x14ac:dyDescent="0.25">
      <c r="B109" s="260" t="s">
        <v>85</v>
      </c>
      <c r="C109" s="261"/>
      <c r="D109" s="262"/>
      <c r="F109" s="115"/>
      <c r="G109" s="252" t="s">
        <v>86</v>
      </c>
      <c r="H109" s="253">
        <f>E99</f>
        <v>0.1458798209119985</v>
      </c>
      <c r="I109" s="281" t="s">
        <v>87</v>
      </c>
      <c r="J109" s="282">
        <f>J99</f>
        <v>0.31490844224261144</v>
      </c>
    </row>
    <row r="110" spans="1:10" ht="14.4" thickBot="1" x14ac:dyDescent="0.3">
      <c r="B110" s="263" t="s">
        <v>88</v>
      </c>
      <c r="C110" s="264">
        <f>SUM(C82:C84)</f>
        <v>11183108.857142858</v>
      </c>
      <c r="D110" s="247">
        <f>C110/C103</f>
        <v>0.45411895738003299</v>
      </c>
      <c r="F110" s="115"/>
      <c r="G110" s="265" t="s">
        <v>89</v>
      </c>
      <c r="H110" s="266">
        <f>E100</f>
        <v>8.5275912331744461E-3</v>
      </c>
      <c r="I110" s="283" t="s">
        <v>90</v>
      </c>
      <c r="J110" s="284">
        <f>J100</f>
        <v>0.10283815922955823</v>
      </c>
    </row>
    <row r="111" spans="1:10" x14ac:dyDescent="0.25">
      <c r="B111" s="263" t="s">
        <v>91</v>
      </c>
      <c r="C111" s="264">
        <f>C101</f>
        <v>9640408.4285714291</v>
      </c>
      <c r="D111" s="247">
        <f>C111/C103</f>
        <v>0.39147363047479405</v>
      </c>
      <c r="F111" s="115"/>
    </row>
    <row r="112" spans="1:10" x14ac:dyDescent="0.25">
      <c r="B112" s="263" t="s">
        <v>28</v>
      </c>
      <c r="C112" s="264">
        <f>C92</f>
        <v>3592428.5714285714</v>
      </c>
      <c r="D112" s="247">
        <f>C112/C103</f>
        <v>0.1458798209119985</v>
      </c>
      <c r="F112" s="115"/>
    </row>
    <row r="113" spans="2:6" ht="14.4" thickBot="1" x14ac:dyDescent="0.3">
      <c r="B113" s="270" t="s">
        <v>70</v>
      </c>
      <c r="C113" s="271">
        <f>C100</f>
        <v>210000</v>
      </c>
      <c r="D113" s="272">
        <f>C113/C103</f>
        <v>8.5275912331744461E-3</v>
      </c>
      <c r="F113" s="240"/>
    </row>
    <row r="114" spans="2:6" x14ac:dyDescent="0.25">
      <c r="F114" s="240"/>
    </row>
    <row r="115" spans="2:6" x14ac:dyDescent="0.25">
      <c r="F115" s="240"/>
    </row>
    <row r="116" spans="2:6" x14ac:dyDescent="0.25">
      <c r="F116" s="240"/>
    </row>
    <row r="117" spans="2:6" x14ac:dyDescent="0.25">
      <c r="F117" s="240"/>
    </row>
    <row r="118" spans="2:6" x14ac:dyDescent="0.25">
      <c r="F118" s="240"/>
    </row>
    <row r="119" spans="2:6" x14ac:dyDescent="0.25">
      <c r="F119" s="240"/>
    </row>
    <row r="120" spans="2:6" x14ac:dyDescent="0.25">
      <c r="F120" s="240"/>
    </row>
    <row r="121" spans="2:6" x14ac:dyDescent="0.25">
      <c r="F121" s="240"/>
    </row>
    <row r="122" spans="2:6" x14ac:dyDescent="0.25">
      <c r="F122" s="240"/>
    </row>
    <row r="123" spans="2:6" x14ac:dyDescent="0.25">
      <c r="F123" s="240"/>
    </row>
    <row r="124" spans="2:6" x14ac:dyDescent="0.25">
      <c r="F124" s="240"/>
    </row>
    <row r="125" spans="2:6" x14ac:dyDescent="0.25">
      <c r="F125" s="240"/>
    </row>
    <row r="126" spans="2:6" x14ac:dyDescent="0.25">
      <c r="F126" s="240"/>
    </row>
    <row r="127" spans="2:6" x14ac:dyDescent="0.25">
      <c r="F127" s="240"/>
    </row>
    <row r="128" spans="2:6" x14ac:dyDescent="0.25">
      <c r="F128" s="240"/>
    </row>
    <row r="129" spans="6:6" x14ac:dyDescent="0.25">
      <c r="F129" s="240"/>
    </row>
    <row r="130" spans="6:6" x14ac:dyDescent="0.25">
      <c r="F130" s="240"/>
    </row>
    <row r="131" spans="6:6" x14ac:dyDescent="0.25">
      <c r="F131" s="240"/>
    </row>
    <row r="132" spans="6:6" x14ac:dyDescent="0.25">
      <c r="F132" s="240"/>
    </row>
    <row r="133" spans="6:6" x14ac:dyDescent="0.25">
      <c r="F133" s="240"/>
    </row>
    <row r="134" spans="6:6" x14ac:dyDescent="0.25">
      <c r="F134" s="240"/>
    </row>
    <row r="135" spans="6:6" x14ac:dyDescent="0.25">
      <c r="F135" s="240"/>
    </row>
    <row r="136" spans="6:6" x14ac:dyDescent="0.25">
      <c r="F136" s="240"/>
    </row>
    <row r="137" spans="6:6" x14ac:dyDescent="0.25">
      <c r="F137" s="240"/>
    </row>
    <row r="138" spans="6:6" x14ac:dyDescent="0.25">
      <c r="F138" s="240"/>
    </row>
    <row r="139" spans="6:6" x14ac:dyDescent="0.25">
      <c r="F139" s="240"/>
    </row>
    <row r="140" spans="6:6" x14ac:dyDescent="0.25">
      <c r="F140" s="240"/>
    </row>
    <row r="141" spans="6:6" x14ac:dyDescent="0.25">
      <c r="F141" s="240"/>
    </row>
    <row r="142" spans="6:6" x14ac:dyDescent="0.25">
      <c r="F142" s="240"/>
    </row>
    <row r="143" spans="6:6" x14ac:dyDescent="0.25">
      <c r="F143" s="240"/>
    </row>
    <row r="144" spans="6:6" x14ac:dyDescent="0.25">
      <c r="F144" s="240"/>
    </row>
    <row r="145" spans="6:6" x14ac:dyDescent="0.25">
      <c r="F145" s="240"/>
    </row>
    <row r="146" spans="6:6" x14ac:dyDescent="0.25">
      <c r="F146" s="240"/>
    </row>
    <row r="147" spans="6:6" x14ac:dyDescent="0.25">
      <c r="F147" s="240"/>
    </row>
    <row r="148" spans="6:6" x14ac:dyDescent="0.25">
      <c r="F148" s="240"/>
    </row>
    <row r="149" spans="6:6" x14ac:dyDescent="0.25">
      <c r="F149" s="240"/>
    </row>
    <row r="150" spans="6:6" x14ac:dyDescent="0.25">
      <c r="F150" s="240"/>
    </row>
    <row r="151" spans="6:6" x14ac:dyDescent="0.25">
      <c r="F151" s="240"/>
    </row>
    <row r="152" spans="6:6" x14ac:dyDescent="0.25">
      <c r="F152" s="240"/>
    </row>
    <row r="153" spans="6:6" x14ac:dyDescent="0.25">
      <c r="F153" s="240"/>
    </row>
    <row r="154" spans="6:6" x14ac:dyDescent="0.25">
      <c r="F154" s="240"/>
    </row>
    <row r="155" spans="6:6" x14ac:dyDescent="0.25">
      <c r="F155" s="240"/>
    </row>
    <row r="156" spans="6:6" x14ac:dyDescent="0.25">
      <c r="F156" s="240"/>
    </row>
    <row r="157" spans="6:6" x14ac:dyDescent="0.25">
      <c r="F157" s="240"/>
    </row>
    <row r="158" spans="6:6" x14ac:dyDescent="0.25">
      <c r="F158" s="240"/>
    </row>
    <row r="159" spans="6:6" x14ac:dyDescent="0.25">
      <c r="F159" s="240"/>
    </row>
    <row r="160" spans="6:6" x14ac:dyDescent="0.25">
      <c r="F160" s="240"/>
    </row>
    <row r="161" spans="6:6" x14ac:dyDescent="0.25">
      <c r="F161" s="240"/>
    </row>
    <row r="162" spans="6:6" x14ac:dyDescent="0.25">
      <c r="F162" s="240"/>
    </row>
    <row r="163" spans="6:6" x14ac:dyDescent="0.25">
      <c r="F163" s="240"/>
    </row>
    <row r="164" spans="6:6" x14ac:dyDescent="0.25">
      <c r="F164" s="240"/>
    </row>
    <row r="165" spans="6:6" x14ac:dyDescent="0.25">
      <c r="F165" s="240"/>
    </row>
    <row r="166" spans="6:6" x14ac:dyDescent="0.25">
      <c r="F166" s="240"/>
    </row>
    <row r="167" spans="6:6" x14ac:dyDescent="0.25">
      <c r="F167" s="240"/>
    </row>
    <row r="168" spans="6:6" x14ac:dyDescent="0.25">
      <c r="F168" s="240"/>
    </row>
    <row r="169" spans="6:6" x14ac:dyDescent="0.25">
      <c r="F169" s="240"/>
    </row>
    <row r="170" spans="6:6" x14ac:dyDescent="0.25">
      <c r="F170" s="240"/>
    </row>
    <row r="171" spans="6:6" x14ac:dyDescent="0.25">
      <c r="F171" s="240"/>
    </row>
    <row r="172" spans="6:6" x14ac:dyDescent="0.25">
      <c r="F172" s="240"/>
    </row>
    <row r="173" spans="6:6" x14ac:dyDescent="0.25">
      <c r="F173" s="240"/>
    </row>
    <row r="174" spans="6:6" x14ac:dyDescent="0.25">
      <c r="F174" s="240"/>
    </row>
    <row r="175" spans="6:6" x14ac:dyDescent="0.25">
      <c r="F175" s="240"/>
    </row>
    <row r="176" spans="6:6" x14ac:dyDescent="0.25">
      <c r="F176" s="240"/>
    </row>
    <row r="177" spans="6:6" x14ac:dyDescent="0.25">
      <c r="F177" s="240"/>
    </row>
    <row r="178" spans="6:6" x14ac:dyDescent="0.25">
      <c r="F178" s="240"/>
    </row>
    <row r="179" spans="6:6" x14ac:dyDescent="0.25">
      <c r="F179" s="240"/>
    </row>
    <row r="180" spans="6:6" x14ac:dyDescent="0.25">
      <c r="F180" s="240"/>
    </row>
    <row r="181" spans="6:6" x14ac:dyDescent="0.25">
      <c r="F181" s="240"/>
    </row>
    <row r="182" spans="6:6" x14ac:dyDescent="0.25">
      <c r="F182" s="240"/>
    </row>
    <row r="183" spans="6:6" x14ac:dyDescent="0.25">
      <c r="F183" s="240"/>
    </row>
    <row r="184" spans="6:6" x14ac:dyDescent="0.25">
      <c r="F184" s="240"/>
    </row>
    <row r="185" spans="6:6" x14ac:dyDescent="0.25">
      <c r="F185" s="240"/>
    </row>
    <row r="186" spans="6:6" x14ac:dyDescent="0.25">
      <c r="F186" s="240"/>
    </row>
    <row r="187" spans="6:6" x14ac:dyDescent="0.25">
      <c r="F187" s="240"/>
    </row>
    <row r="188" spans="6:6" x14ac:dyDescent="0.25">
      <c r="F188" s="240"/>
    </row>
    <row r="189" spans="6:6" x14ac:dyDescent="0.25">
      <c r="F189" s="240"/>
    </row>
    <row r="190" spans="6:6" x14ac:dyDescent="0.25">
      <c r="F190" s="240"/>
    </row>
    <row r="191" spans="6:6" x14ac:dyDescent="0.25">
      <c r="F191" s="240"/>
    </row>
    <row r="192" spans="6:6" x14ac:dyDescent="0.25">
      <c r="F192" s="240"/>
    </row>
    <row r="193" spans="6:6" x14ac:dyDescent="0.25">
      <c r="F193" s="240"/>
    </row>
    <row r="194" spans="6:6" x14ac:dyDescent="0.25">
      <c r="F194" s="240"/>
    </row>
    <row r="195" spans="6:6" x14ac:dyDescent="0.25">
      <c r="F195" s="240"/>
    </row>
    <row r="196" spans="6:6" x14ac:dyDescent="0.25">
      <c r="F196" s="240"/>
    </row>
    <row r="197" spans="6:6" x14ac:dyDescent="0.25">
      <c r="F197" s="240"/>
    </row>
    <row r="198" spans="6:6" x14ac:dyDescent="0.25">
      <c r="F198" s="240"/>
    </row>
    <row r="199" spans="6:6" ht="14.4" thickBot="1" x14ac:dyDescent="0.3">
      <c r="F199" s="27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72F7-1B5F-49E9-B413-1A7E990E6D16}">
  <dimension ref="A1:P43"/>
  <sheetViews>
    <sheetView rightToLeft="1" workbookViewId="0">
      <selection activeCell="O1" sqref="O1"/>
    </sheetView>
  </sheetViews>
  <sheetFormatPr defaultRowHeight="13.8" x14ac:dyDescent="0.25"/>
  <cols>
    <col min="1" max="1" width="9.69921875" bestFit="1" customWidth="1"/>
    <col min="2" max="2" width="9.09765625" bestFit="1" customWidth="1"/>
    <col min="4" max="4" width="8.796875" style="455"/>
    <col min="6" max="7" width="9.09765625" bestFit="1" customWidth="1"/>
    <col min="8" max="8" width="9.09765625" style="328" customWidth="1"/>
    <col min="10" max="10" width="9.09765625" bestFit="1" customWidth="1"/>
    <col min="11" max="11" width="9.19921875" style="462" bestFit="1" customWidth="1"/>
    <col min="12" max="12" width="9.19921875" style="462" customWidth="1"/>
    <col min="13" max="14" width="9.09765625" bestFit="1" customWidth="1"/>
    <col min="16" max="18" width="9.09765625" bestFit="1" customWidth="1"/>
  </cols>
  <sheetData>
    <row r="1" spans="1:16" ht="14.4" thickBot="1" x14ac:dyDescent="0.3">
      <c r="A1" s="447" t="s">
        <v>107</v>
      </c>
      <c r="B1" s="448"/>
      <c r="C1" s="471" t="s">
        <v>137</v>
      </c>
      <c r="E1" s="447" t="s">
        <v>30</v>
      </c>
      <c r="F1" s="238"/>
      <c r="G1" s="471" t="s">
        <v>137</v>
      </c>
      <c r="I1" s="467" t="s">
        <v>128</v>
      </c>
      <c r="J1" s="468"/>
      <c r="K1" s="472" t="s">
        <v>137</v>
      </c>
      <c r="L1" s="328"/>
      <c r="M1" s="444" t="s">
        <v>64</v>
      </c>
      <c r="O1" s="473" t="s">
        <v>137</v>
      </c>
      <c r="P1">
        <v>3.7</v>
      </c>
    </row>
    <row r="2" spans="1:16" x14ac:dyDescent="0.25">
      <c r="A2" s="456">
        <v>0.13600000000000001</v>
      </c>
      <c r="B2" s="457">
        <v>12714430</v>
      </c>
      <c r="C2" s="458">
        <f>B2/$P$1</f>
        <v>3436332.4324324322</v>
      </c>
      <c r="D2" s="445"/>
      <c r="E2" s="456">
        <v>0.33800000000000002</v>
      </c>
      <c r="F2" s="457">
        <v>31530031</v>
      </c>
      <c r="G2" s="458">
        <f>F2/$P$1</f>
        <v>8521630</v>
      </c>
      <c r="H2" s="463"/>
      <c r="I2" s="449">
        <v>0.34699999999999998</v>
      </c>
      <c r="J2" s="443">
        <v>32380850</v>
      </c>
      <c r="K2" s="450">
        <f>J2/$P$1</f>
        <v>8751581.0810810812</v>
      </c>
      <c r="L2" s="328"/>
      <c r="M2" s="459">
        <v>0.17799999999999999</v>
      </c>
      <c r="N2" s="33">
        <v>16582880</v>
      </c>
      <c r="O2" s="469">
        <f>N2/$P$1</f>
        <v>4481859.4594594594</v>
      </c>
    </row>
    <row r="3" spans="1:16" ht="26.4" x14ac:dyDescent="0.25">
      <c r="A3" s="451" t="s">
        <v>95</v>
      </c>
      <c r="B3" s="441" t="s">
        <v>96</v>
      </c>
      <c r="C3" s="450"/>
      <c r="D3" s="445"/>
      <c r="E3" s="451" t="s">
        <v>95</v>
      </c>
      <c r="F3" s="441" t="s">
        <v>96</v>
      </c>
      <c r="G3" s="450"/>
      <c r="H3" s="463"/>
      <c r="I3" s="451" t="s">
        <v>95</v>
      </c>
      <c r="J3" s="441" t="s">
        <v>96</v>
      </c>
      <c r="K3" s="450"/>
      <c r="L3" s="328"/>
      <c r="M3" s="441" t="s">
        <v>95</v>
      </c>
      <c r="N3" s="441" t="s">
        <v>96</v>
      </c>
      <c r="O3" s="470"/>
    </row>
    <row r="4" spans="1:16" ht="52.8" x14ac:dyDescent="0.25">
      <c r="A4" s="452" t="s">
        <v>97</v>
      </c>
      <c r="B4" s="443">
        <v>5688562</v>
      </c>
      <c r="C4" s="450">
        <f>B4/$P$1</f>
        <v>1537449.1891891891</v>
      </c>
      <c r="D4" s="445"/>
      <c r="E4" s="452" t="s">
        <v>108</v>
      </c>
      <c r="F4" s="443">
        <v>14593199</v>
      </c>
      <c r="G4" s="450">
        <f>F4/$P$1</f>
        <v>3944107.8378378376</v>
      </c>
      <c r="H4" s="463"/>
      <c r="I4" s="452" t="s">
        <v>113</v>
      </c>
      <c r="J4" s="443">
        <v>4214790</v>
      </c>
      <c r="K4" s="450">
        <f t="shared" ref="K3:K18" si="0">J4/$P$1</f>
        <v>1139132.4324324324</v>
      </c>
      <c r="L4" s="328"/>
      <c r="M4" s="442" t="s">
        <v>129</v>
      </c>
      <c r="N4" s="443">
        <v>3790546</v>
      </c>
      <c r="O4" s="446">
        <f>N4/$P$1</f>
        <v>1024471.8918918918</v>
      </c>
    </row>
    <row r="5" spans="1:16" ht="66" x14ac:dyDescent="0.25">
      <c r="A5" s="452" t="s">
        <v>98</v>
      </c>
      <c r="B5" s="443">
        <v>3687000</v>
      </c>
      <c r="C5" s="450">
        <f>B5/$P$1</f>
        <v>996486.48648648639</v>
      </c>
      <c r="D5" s="445"/>
      <c r="E5" s="452" t="s">
        <v>109</v>
      </c>
      <c r="F5" s="443">
        <v>10787978</v>
      </c>
      <c r="G5" s="450">
        <f>F5/$P$1</f>
        <v>2915669.7297297297</v>
      </c>
      <c r="H5" s="463"/>
      <c r="I5" s="452" t="s">
        <v>114</v>
      </c>
      <c r="J5" s="443">
        <v>4200000</v>
      </c>
      <c r="K5" s="450">
        <f t="shared" si="0"/>
        <v>1135135.1351351351</v>
      </c>
      <c r="L5" s="328"/>
      <c r="M5" s="442" t="s">
        <v>130</v>
      </c>
      <c r="N5" s="443">
        <v>3687000</v>
      </c>
      <c r="O5" s="446">
        <f t="shared" ref="O5:O11" si="1">N5/$P$1</f>
        <v>996486.48648648639</v>
      </c>
    </row>
    <row r="6" spans="1:16" ht="52.8" x14ac:dyDescent="0.25">
      <c r="A6" s="452" t="s">
        <v>99</v>
      </c>
      <c r="B6" s="443">
        <v>1565555</v>
      </c>
      <c r="C6" s="450">
        <f>B6/$P$1</f>
        <v>423122.97297297296</v>
      </c>
      <c r="D6" s="445"/>
      <c r="E6" s="452" t="s">
        <v>110</v>
      </c>
      <c r="F6" s="443">
        <v>6103014</v>
      </c>
      <c r="G6" s="450">
        <f>F6/$P$1</f>
        <v>1649463.2432432431</v>
      </c>
      <c r="H6" s="463"/>
      <c r="I6" s="452" t="s">
        <v>115</v>
      </c>
      <c r="J6" s="443">
        <v>3003471</v>
      </c>
      <c r="K6" s="450">
        <f t="shared" si="0"/>
        <v>811748.91891891893</v>
      </c>
      <c r="L6" s="328"/>
      <c r="M6" s="442" t="s">
        <v>131</v>
      </c>
      <c r="N6" s="443">
        <v>3683522</v>
      </c>
      <c r="O6" s="446">
        <f t="shared" si="1"/>
        <v>995546.48648648639</v>
      </c>
    </row>
    <row r="7" spans="1:16" ht="79.2" x14ac:dyDescent="0.25">
      <c r="A7" s="452" t="s">
        <v>100</v>
      </c>
      <c r="B7" s="443">
        <v>1323139</v>
      </c>
      <c r="C7" s="450">
        <f>B7/$P$1</f>
        <v>357605.13513513509</v>
      </c>
      <c r="D7" s="445"/>
      <c r="E7" s="452" t="s">
        <v>111</v>
      </c>
      <c r="F7" s="443">
        <v>25681</v>
      </c>
      <c r="G7" s="450">
        <f>F7/$P$1</f>
        <v>6940.8108108108108</v>
      </c>
      <c r="H7" s="463"/>
      <c r="I7" s="452" t="s">
        <v>116</v>
      </c>
      <c r="J7" s="443">
        <v>2348008</v>
      </c>
      <c r="K7" s="450">
        <f t="shared" si="0"/>
        <v>634596.75675675669</v>
      </c>
      <c r="L7" s="328"/>
      <c r="M7" s="442" t="s">
        <v>132</v>
      </c>
      <c r="N7" s="443">
        <v>2000000</v>
      </c>
      <c r="O7" s="446">
        <f t="shared" si="1"/>
        <v>540540.54054054047</v>
      </c>
    </row>
    <row r="8" spans="1:16" ht="79.8" thickBot="1" x14ac:dyDescent="0.3">
      <c r="A8" s="452" t="s">
        <v>101</v>
      </c>
      <c r="B8" s="443">
        <v>310685</v>
      </c>
      <c r="C8" s="450">
        <f>B8/$P$1</f>
        <v>83968.91891891892</v>
      </c>
      <c r="D8" s="445"/>
      <c r="E8" s="454" t="s">
        <v>112</v>
      </c>
      <c r="F8" s="460">
        <v>20159</v>
      </c>
      <c r="G8" s="461">
        <f>F8/$P$1</f>
        <v>5448.3783783783783</v>
      </c>
      <c r="H8" s="463"/>
      <c r="I8" s="452" t="s">
        <v>117</v>
      </c>
      <c r="J8" s="443">
        <v>2196659</v>
      </c>
      <c r="K8" s="450">
        <f t="shared" si="0"/>
        <v>593691.62162162154</v>
      </c>
      <c r="L8" s="328"/>
      <c r="M8" s="442" t="s">
        <v>133</v>
      </c>
      <c r="N8" s="443">
        <v>1598322</v>
      </c>
      <c r="O8" s="446">
        <f t="shared" si="1"/>
        <v>431978.91891891888</v>
      </c>
    </row>
    <row r="9" spans="1:16" ht="52.8" x14ac:dyDescent="0.25">
      <c r="A9" s="452" t="s">
        <v>102</v>
      </c>
      <c r="B9" s="443">
        <v>139254</v>
      </c>
      <c r="C9" s="450">
        <f>B9/$P$1</f>
        <v>37636.216216216213</v>
      </c>
      <c r="D9" s="445"/>
      <c r="E9" s="455"/>
      <c r="F9" s="455"/>
      <c r="G9" s="445"/>
      <c r="H9" s="463"/>
      <c r="I9" s="452" t="s">
        <v>118</v>
      </c>
      <c r="J9" s="443">
        <v>1916112</v>
      </c>
      <c r="K9" s="450">
        <f t="shared" si="0"/>
        <v>517868.10810810811</v>
      </c>
      <c r="L9" s="328"/>
      <c r="M9" s="442" t="s">
        <v>134</v>
      </c>
      <c r="N9" s="443">
        <v>989830</v>
      </c>
      <c r="O9" s="446">
        <f t="shared" si="1"/>
        <v>267521.6216216216</v>
      </c>
    </row>
    <row r="10" spans="1:16" ht="52.8" x14ac:dyDescent="0.25">
      <c r="A10" s="452" t="s">
        <v>103</v>
      </c>
      <c r="B10" s="442">
        <v>236</v>
      </c>
      <c r="C10" s="453">
        <f>B10/$P$1</f>
        <v>63.783783783783782</v>
      </c>
      <c r="D10" s="445"/>
      <c r="E10" s="455"/>
      <c r="F10" s="455"/>
      <c r="G10" s="445"/>
      <c r="H10" s="463"/>
      <c r="I10" s="452" t="s">
        <v>119</v>
      </c>
      <c r="J10" s="443">
        <v>1843500</v>
      </c>
      <c r="K10" s="450">
        <f t="shared" si="0"/>
        <v>498243.2432432432</v>
      </c>
      <c r="L10" s="328"/>
      <c r="M10" s="442" t="s">
        <v>135</v>
      </c>
      <c r="N10" s="443">
        <v>657897</v>
      </c>
      <c r="O10" s="446">
        <f t="shared" si="1"/>
        <v>177810</v>
      </c>
    </row>
    <row r="11" spans="1:16" ht="66" x14ac:dyDescent="0.25">
      <c r="A11" s="452" t="s">
        <v>104</v>
      </c>
      <c r="B11" s="442">
        <v>0</v>
      </c>
      <c r="C11" s="453">
        <f>B11/$P$1</f>
        <v>0</v>
      </c>
      <c r="D11" s="445"/>
      <c r="E11" s="455"/>
      <c r="F11" s="455"/>
      <c r="G11" s="445"/>
      <c r="H11" s="463"/>
      <c r="I11" s="452" t="s">
        <v>120</v>
      </c>
      <c r="J11" s="443">
        <v>1843500</v>
      </c>
      <c r="K11" s="450">
        <f t="shared" si="0"/>
        <v>498243.2432432432</v>
      </c>
      <c r="L11" s="328"/>
      <c r="M11" s="442" t="s">
        <v>136</v>
      </c>
      <c r="N11" s="443">
        <v>175763</v>
      </c>
      <c r="O11" s="446">
        <f t="shared" si="1"/>
        <v>47503.513513513513</v>
      </c>
    </row>
    <row r="12" spans="1:16" ht="79.2" x14ac:dyDescent="0.25">
      <c r="A12" s="452" t="s">
        <v>105</v>
      </c>
      <c r="B12" s="442">
        <v>0</v>
      </c>
      <c r="C12" s="453">
        <f>B12/$P$1</f>
        <v>0</v>
      </c>
      <c r="D12" s="445"/>
      <c r="E12" s="455"/>
      <c r="F12" s="455"/>
      <c r="G12" s="445"/>
      <c r="H12" s="463"/>
      <c r="I12" s="452" t="s">
        <v>121</v>
      </c>
      <c r="J12" s="443">
        <v>1843500</v>
      </c>
      <c r="K12" s="450">
        <f t="shared" si="0"/>
        <v>498243.2432432432</v>
      </c>
      <c r="L12" s="328"/>
    </row>
    <row r="13" spans="1:16" ht="52.8" x14ac:dyDescent="0.25">
      <c r="A13" s="464" t="s">
        <v>106</v>
      </c>
      <c r="B13" s="465">
        <v>0</v>
      </c>
      <c r="C13" s="466">
        <f>B13/$P$1</f>
        <v>0</v>
      </c>
      <c r="D13" s="445"/>
      <c r="E13" s="455"/>
      <c r="F13" s="455"/>
      <c r="G13" s="445"/>
      <c r="H13" s="463"/>
      <c r="I13" s="452" t="s">
        <v>122</v>
      </c>
      <c r="J13" s="443">
        <v>1843500</v>
      </c>
      <c r="K13" s="450">
        <f t="shared" si="0"/>
        <v>498243.2432432432</v>
      </c>
      <c r="L13" s="328"/>
    </row>
    <row r="14" spans="1:16" ht="52.8" x14ac:dyDescent="0.25">
      <c r="A14" s="455"/>
      <c r="B14" s="455"/>
      <c r="C14" s="445"/>
      <c r="D14" s="445"/>
      <c r="E14" s="455"/>
      <c r="F14" s="455"/>
      <c r="G14" s="445"/>
      <c r="H14" s="463"/>
      <c r="I14" s="452" t="s">
        <v>123</v>
      </c>
      <c r="J14" s="443">
        <v>1757633</v>
      </c>
      <c r="K14" s="450">
        <f t="shared" si="0"/>
        <v>475035.94594594592</v>
      </c>
      <c r="L14" s="328"/>
    </row>
    <row r="15" spans="1:16" ht="118.8" x14ac:dyDescent="0.25">
      <c r="A15" s="455"/>
      <c r="B15" s="455"/>
      <c r="C15" s="445"/>
      <c r="D15" s="445"/>
      <c r="E15" s="455"/>
      <c r="F15" s="455"/>
      <c r="G15" s="445"/>
      <c r="H15" s="463"/>
      <c r="I15" s="452" t="s">
        <v>124</v>
      </c>
      <c r="J15" s="443">
        <v>1751325</v>
      </c>
      <c r="K15" s="450">
        <f t="shared" si="0"/>
        <v>473331.08108108107</v>
      </c>
      <c r="L15" s="328"/>
    </row>
    <row r="16" spans="1:16" ht="52.8" x14ac:dyDescent="0.25">
      <c r="A16" s="455"/>
      <c r="B16" s="455"/>
      <c r="C16" s="445"/>
      <c r="D16" s="445"/>
      <c r="E16" s="455"/>
      <c r="F16" s="455"/>
      <c r="G16" s="445"/>
      <c r="H16" s="463"/>
      <c r="I16" s="452" t="s">
        <v>125</v>
      </c>
      <c r="J16" s="443">
        <v>1575304</v>
      </c>
      <c r="K16" s="450">
        <f t="shared" si="0"/>
        <v>425757.83783783781</v>
      </c>
      <c r="L16" s="328"/>
    </row>
    <row r="17" spans="1:12" ht="52.8" x14ac:dyDescent="0.25">
      <c r="A17" s="455"/>
      <c r="B17" s="455"/>
      <c r="C17" s="445"/>
      <c r="D17" s="445"/>
      <c r="E17" s="455"/>
      <c r="F17" s="455"/>
      <c r="G17" s="445"/>
      <c r="H17" s="463"/>
      <c r="I17" s="452" t="s">
        <v>126</v>
      </c>
      <c r="J17" s="443">
        <v>1096020</v>
      </c>
      <c r="K17" s="450">
        <f t="shared" si="0"/>
        <v>296221.6216216216</v>
      </c>
      <c r="L17" s="328"/>
    </row>
    <row r="18" spans="1:12" ht="79.8" thickBot="1" x14ac:dyDescent="0.3">
      <c r="A18" s="455"/>
      <c r="B18" s="455"/>
      <c r="C18" s="445"/>
      <c r="D18" s="445"/>
      <c r="E18" s="455"/>
      <c r="F18" s="455"/>
      <c r="G18" s="445"/>
      <c r="H18" s="463"/>
      <c r="I18" s="454" t="s">
        <v>127</v>
      </c>
      <c r="J18" s="460">
        <v>947530</v>
      </c>
      <c r="K18" s="461">
        <f t="shared" si="0"/>
        <v>256089.18918918917</v>
      </c>
      <c r="L18" s="328"/>
    </row>
    <row r="19" spans="1:12" x14ac:dyDescent="0.25">
      <c r="A19" s="455"/>
      <c r="B19" s="455"/>
      <c r="C19" s="455"/>
    </row>
    <row r="20" spans="1:12" x14ac:dyDescent="0.25">
      <c r="A20" s="455"/>
      <c r="B20" s="455"/>
      <c r="C20" s="455"/>
    </row>
    <row r="21" spans="1:12" x14ac:dyDescent="0.25">
      <c r="A21" s="455"/>
      <c r="B21" s="455"/>
      <c r="C21" s="455"/>
    </row>
    <row r="22" spans="1:12" x14ac:dyDescent="0.25">
      <c r="A22" s="455"/>
      <c r="B22" s="455"/>
      <c r="C22" s="455"/>
    </row>
    <row r="23" spans="1:12" x14ac:dyDescent="0.25">
      <c r="A23" s="455"/>
      <c r="B23" s="455"/>
      <c r="C23" s="455"/>
    </row>
    <row r="24" spans="1:12" x14ac:dyDescent="0.25">
      <c r="A24" s="455"/>
      <c r="B24" s="455"/>
      <c r="C24" s="455"/>
    </row>
    <row r="25" spans="1:12" x14ac:dyDescent="0.25">
      <c r="A25" s="455"/>
      <c r="B25" s="455"/>
      <c r="C25" s="455"/>
    </row>
    <row r="26" spans="1:12" x14ac:dyDescent="0.25">
      <c r="A26" s="455"/>
      <c r="B26" s="455"/>
      <c r="C26" s="455"/>
    </row>
    <row r="27" spans="1:12" x14ac:dyDescent="0.25">
      <c r="A27" s="455"/>
      <c r="B27" s="455"/>
      <c r="C27" s="455"/>
    </row>
    <row r="28" spans="1:12" x14ac:dyDescent="0.25">
      <c r="A28" s="455"/>
      <c r="B28" s="455"/>
      <c r="C28" s="455"/>
    </row>
    <row r="29" spans="1:12" x14ac:dyDescent="0.25">
      <c r="A29" s="455"/>
      <c r="B29" s="455"/>
      <c r="C29" s="455"/>
    </row>
    <row r="30" spans="1:12" x14ac:dyDescent="0.25">
      <c r="A30" s="455"/>
      <c r="B30" s="455"/>
      <c r="C30" s="455"/>
    </row>
    <row r="31" spans="1:12" x14ac:dyDescent="0.25">
      <c r="A31" s="455"/>
      <c r="B31" s="455"/>
      <c r="C31" s="455"/>
    </row>
    <row r="32" spans="1:12" x14ac:dyDescent="0.25">
      <c r="A32" s="455"/>
      <c r="B32" s="455"/>
      <c r="C32" s="455"/>
    </row>
    <row r="33" spans="1:3" x14ac:dyDescent="0.25">
      <c r="A33" s="455"/>
      <c r="B33" s="455"/>
      <c r="C33" s="455"/>
    </row>
    <row r="34" spans="1:3" x14ac:dyDescent="0.25">
      <c r="A34" s="455"/>
      <c r="B34" s="455"/>
      <c r="C34" s="455"/>
    </row>
    <row r="35" spans="1:3" x14ac:dyDescent="0.25">
      <c r="A35" s="455"/>
      <c r="B35" s="455"/>
      <c r="C35" s="455"/>
    </row>
    <row r="36" spans="1:3" x14ac:dyDescent="0.25">
      <c r="A36" s="455"/>
      <c r="B36" s="455"/>
      <c r="C36" s="455"/>
    </row>
    <row r="37" spans="1:3" x14ac:dyDescent="0.25">
      <c r="A37" s="455"/>
      <c r="B37" s="455"/>
      <c r="C37" s="455"/>
    </row>
    <row r="38" spans="1:3" x14ac:dyDescent="0.25">
      <c r="A38" s="455"/>
      <c r="B38" s="455"/>
      <c r="C38" s="455"/>
    </row>
    <row r="39" spans="1:3" x14ac:dyDescent="0.25">
      <c r="A39" s="455"/>
      <c r="B39" s="455"/>
      <c r="C39" s="455"/>
    </row>
    <row r="40" spans="1:3" x14ac:dyDescent="0.25">
      <c r="A40" s="455"/>
      <c r="B40" s="455"/>
      <c r="C40" s="455"/>
    </row>
    <row r="41" spans="1:3" x14ac:dyDescent="0.25">
      <c r="A41" s="455"/>
      <c r="B41" s="455"/>
      <c r="C41" s="455"/>
    </row>
    <row r="42" spans="1:3" x14ac:dyDescent="0.25">
      <c r="A42" s="455"/>
      <c r="B42" s="455"/>
      <c r="C42" s="455"/>
    </row>
    <row r="43" spans="1:3" x14ac:dyDescent="0.25">
      <c r="A43" s="455"/>
      <c r="B43" s="455"/>
      <c r="C43" s="45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מצב התחלתי</vt:lpstr>
      <vt:lpstr>2019-2020</vt:lpstr>
      <vt:lpstr>2024 נוכחית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hai</dc:creator>
  <cp:lastModifiedBy>ella hai</cp:lastModifiedBy>
  <dcterms:created xsi:type="dcterms:W3CDTF">2024-02-07T09:51:51Z</dcterms:created>
  <dcterms:modified xsi:type="dcterms:W3CDTF">2024-02-07T14:46:57Z</dcterms:modified>
</cp:coreProperties>
</file>