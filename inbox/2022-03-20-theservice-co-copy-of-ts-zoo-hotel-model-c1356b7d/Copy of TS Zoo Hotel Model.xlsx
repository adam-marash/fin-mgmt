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0"/>
  <workbookPr/>
  <mc:AlternateContent xmlns:mc="http://schemas.openxmlformats.org/markup-compatibility/2006">
    <mc:Choice Requires="x15">
      <x15ac:absPath xmlns:x15ac="http://schemas.microsoft.com/office/spreadsheetml/2010/11/ac" url="S:\SharedFolders\נדלן\The Service\חוץ לארץ\vienna hotel convert\"/>
    </mc:Choice>
  </mc:AlternateContent>
  <xr:revisionPtr revIDLastSave="0" documentId="8_{6CDB3366-2F33-47BB-AD33-555B26536C16}" xr6:coauthVersionLast="36" xr6:coauthVersionMax="36" xr10:uidLastSave="{00000000-0000-0000-0000-000000000000}"/>
  <bookViews>
    <workbookView xWindow="0" yWindow="0" windowWidth="17190" windowHeight="3750" tabRatio="842" xr2:uid="{00000000-000D-0000-FFFF-FFFF00000000}"/>
  </bookViews>
  <sheets>
    <sheet name="Project Budget and Assumptions" sheetId="40" r:id="rId1"/>
    <sheet name="Sheet1" sheetId="42" r:id="rId2"/>
    <sheet name="Fin Calc" sheetId="2" r:id="rId3"/>
    <sheet name="Unit Mix" sheetId="41" r:id="rId4"/>
    <sheet name="Op Budget (Yr1)" sheetId="8" r:id="rId5"/>
    <sheet name="Annual Projections (Full)" sheetId="5" r:id="rId6"/>
    <sheet name="Investor Returns" sheetId="34" r:id="rId7"/>
    <sheet name="Am Table" sheetId="15" r:id="rId8"/>
  </sheets>
  <definedNames>
    <definedName name="An_Ex">Sheet1!$G$9</definedName>
    <definedName name="IL_mang">Sheet1!$G$14</definedName>
    <definedName name="suc_fee">Sheet1!$G$15</definedName>
    <definedName name="TS_Eq">Sheet1!$G$8</definedName>
    <definedName name="TS_Share">Sheet1!$G$6</definedName>
  </definedNames>
  <calcPr calcId="191029"/>
  <customWorkbookViews>
    <customWorkbookView name="  - Personal View" guid="{21726E00-23FB-473B-B23F-4139D4F7D4CA}" mergeInterval="0" personalView="1" maximized="1" windowWidth="796" windowHeight="411" activeSheetId="1"/>
    <customWorkbookView name="Rivka Kompel - Personal View" guid="{8C149CFD-F183-4DEA-93BF-382069DDCC79}" mergeInterval="0" personalView="1" maximized="1" windowWidth="1020" windowHeight="544" activeSheetId="3" showComments="commIndAndComment"/>
  </customWorkbookViews>
</workbook>
</file>

<file path=xl/calcChain.xml><?xml version="1.0" encoding="utf-8"?>
<calcChain xmlns="http://schemas.openxmlformats.org/spreadsheetml/2006/main">
  <c r="G9" i="42" l="1"/>
  <c r="F18" i="42" l="1"/>
  <c r="G18" i="42"/>
  <c r="H18" i="42"/>
  <c r="I18" i="42"/>
  <c r="J18" i="42"/>
  <c r="E18" i="42"/>
  <c r="G12" i="42"/>
  <c r="J23" i="42"/>
  <c r="E23" i="42" l="1"/>
  <c r="F23" i="42"/>
  <c r="G23" i="42"/>
  <c r="H23" i="42"/>
  <c r="I23" i="42"/>
  <c r="B10" i="41" l="1"/>
  <c r="H51" i="5" l="1"/>
  <c r="C37" i="8"/>
  <c r="O29" i="8"/>
  <c r="D8" i="5" s="1"/>
  <c r="E8" i="5" s="1"/>
  <c r="F8" i="5" s="1"/>
  <c r="G8" i="5" s="1"/>
  <c r="H8" i="5" s="1"/>
  <c r="O4" i="8"/>
  <c r="D22" i="8"/>
  <c r="D27" i="8" s="1"/>
  <c r="E22" i="8"/>
  <c r="E27" i="8" s="1"/>
  <c r="F22" i="8"/>
  <c r="F27" i="8" s="1"/>
  <c r="G22" i="8"/>
  <c r="G27" i="8" s="1"/>
  <c r="H22" i="8"/>
  <c r="H27" i="8" s="1"/>
  <c r="I22" i="8"/>
  <c r="I27" i="8" s="1"/>
  <c r="J22" i="8"/>
  <c r="J27" i="8" s="1"/>
  <c r="K22" i="8"/>
  <c r="K27" i="8" s="1"/>
  <c r="L22" i="8"/>
  <c r="L27" i="8" s="1"/>
  <c r="M22" i="8"/>
  <c r="M27" i="8" s="1"/>
  <c r="N22" i="8"/>
  <c r="N27" i="8" s="1"/>
  <c r="D21" i="8"/>
  <c r="E21" i="8"/>
  <c r="F21" i="8"/>
  <c r="G21" i="8"/>
  <c r="H21" i="8"/>
  <c r="I21" i="8"/>
  <c r="J21" i="8"/>
  <c r="K21" i="8"/>
  <c r="L21" i="8"/>
  <c r="M21" i="8"/>
  <c r="N21" i="8"/>
  <c r="D20" i="8"/>
  <c r="E20" i="8"/>
  <c r="F20" i="8"/>
  <c r="G20" i="8"/>
  <c r="H20" i="8"/>
  <c r="I20" i="8"/>
  <c r="J20" i="8"/>
  <c r="K20" i="8"/>
  <c r="L20" i="8"/>
  <c r="M20" i="8"/>
  <c r="N20" i="8"/>
  <c r="C21" i="8"/>
  <c r="C22" i="8"/>
  <c r="C27" i="8" s="1"/>
  <c r="D19" i="8"/>
  <c r="E19" i="8"/>
  <c r="F19" i="8"/>
  <c r="G19" i="8"/>
  <c r="H19" i="8"/>
  <c r="I19" i="8"/>
  <c r="J19" i="8"/>
  <c r="K19" i="8"/>
  <c r="L19" i="8"/>
  <c r="M19" i="8"/>
  <c r="N19" i="8"/>
  <c r="C20" i="8"/>
  <c r="C19" i="8"/>
  <c r="D18" i="8"/>
  <c r="E18" i="8"/>
  <c r="F18" i="8"/>
  <c r="G18" i="8"/>
  <c r="H18" i="8"/>
  <c r="I18" i="8"/>
  <c r="J18" i="8"/>
  <c r="K18" i="8"/>
  <c r="L18" i="8"/>
  <c r="M18" i="8"/>
  <c r="N18" i="8"/>
  <c r="C18" i="8"/>
  <c r="D17" i="8"/>
  <c r="E17" i="8"/>
  <c r="F17" i="8"/>
  <c r="G17" i="8"/>
  <c r="H17" i="8"/>
  <c r="I17" i="8"/>
  <c r="J17" i="8"/>
  <c r="K17" i="8"/>
  <c r="L17" i="8"/>
  <c r="M17" i="8"/>
  <c r="N17" i="8"/>
  <c r="C17" i="8"/>
  <c r="E16" i="8"/>
  <c r="F16" i="8"/>
  <c r="G16" i="8"/>
  <c r="H16" i="8"/>
  <c r="I16" i="8"/>
  <c r="J16" i="8"/>
  <c r="K16" i="8"/>
  <c r="L16" i="8"/>
  <c r="M16" i="8"/>
  <c r="N16" i="8"/>
  <c r="D16" i="8"/>
  <c r="C16" i="8"/>
  <c r="F23" i="8" l="1"/>
  <c r="N23" i="8"/>
  <c r="C23" i="8"/>
  <c r="H23" i="8"/>
  <c r="D23" i="8"/>
  <c r="G23" i="8"/>
  <c r="M23" i="8"/>
  <c r="J23" i="8"/>
  <c r="E23" i="8"/>
  <c r="L23" i="8"/>
  <c r="K23" i="8"/>
  <c r="I23" i="8"/>
  <c r="M26" i="8"/>
  <c r="M28" i="8" s="1"/>
  <c r="E26" i="8"/>
  <c r="E28" i="8" s="1"/>
  <c r="L26" i="8"/>
  <c r="L28" i="8" s="1"/>
  <c r="H26" i="8"/>
  <c r="H28" i="8" s="1"/>
  <c r="I26" i="8"/>
  <c r="I28" i="8" s="1"/>
  <c r="D26" i="8"/>
  <c r="D28" i="8" s="1"/>
  <c r="K26" i="8"/>
  <c r="K28" i="8" s="1"/>
  <c r="G26" i="8"/>
  <c r="G28" i="8" s="1"/>
  <c r="N26" i="8"/>
  <c r="N28" i="8" s="1"/>
  <c r="N52" i="8" s="1"/>
  <c r="J26" i="8"/>
  <c r="J28" i="8" s="1"/>
  <c r="F26" i="8"/>
  <c r="F28" i="8" s="1"/>
  <c r="O27" i="8"/>
  <c r="D6" i="5" s="1"/>
  <c r="E6" i="5" s="1"/>
  <c r="F6" i="5" s="1"/>
  <c r="G6" i="5" s="1"/>
  <c r="H6" i="5" s="1"/>
  <c r="O16" i="8"/>
  <c r="O17" i="8"/>
  <c r="O18" i="8"/>
  <c r="O19" i="8"/>
  <c r="C26" i="8"/>
  <c r="O20" i="8"/>
  <c r="O22" i="8"/>
  <c r="O21" i="8"/>
  <c r="O3" i="8"/>
  <c r="O23" i="8" l="1"/>
  <c r="I30" i="8"/>
  <c r="I52" i="8"/>
  <c r="H30" i="8"/>
  <c r="H55" i="8" s="1"/>
  <c r="H52" i="8"/>
  <c r="F30" i="8"/>
  <c r="F52" i="8"/>
  <c r="K30" i="8"/>
  <c r="K52" i="8"/>
  <c r="L30" i="8"/>
  <c r="L52" i="8"/>
  <c r="M30" i="8"/>
  <c r="M52" i="8"/>
  <c r="G30" i="8"/>
  <c r="G55" i="8" s="1"/>
  <c r="G52" i="8"/>
  <c r="J30" i="8"/>
  <c r="J55" i="8" s="1"/>
  <c r="J52" i="8"/>
  <c r="D30" i="8"/>
  <c r="D52" i="8"/>
  <c r="E30" i="8"/>
  <c r="E52" i="8"/>
  <c r="G44" i="8"/>
  <c r="G53" i="8"/>
  <c r="N30" i="8"/>
  <c r="C28" i="8"/>
  <c r="O26" i="8"/>
  <c r="C9" i="40"/>
  <c r="C8" i="40"/>
  <c r="C12" i="2"/>
  <c r="C10" i="2"/>
  <c r="C17" i="40"/>
  <c r="C16" i="40"/>
  <c r="G54" i="8" l="1"/>
  <c r="J53" i="8"/>
  <c r="H54" i="8"/>
  <c r="J54" i="8"/>
  <c r="N44" i="8"/>
  <c r="N55" i="8"/>
  <c r="N54" i="8"/>
  <c r="N53" i="8"/>
  <c r="E44" i="8"/>
  <c r="E54" i="8"/>
  <c r="E53" i="8"/>
  <c r="E55" i="8"/>
  <c r="M44" i="8"/>
  <c r="M54" i="8"/>
  <c r="M53" i="8"/>
  <c r="M55" i="8"/>
  <c r="K44" i="8"/>
  <c r="K53" i="8"/>
  <c r="K55" i="8"/>
  <c r="K54" i="8"/>
  <c r="D5" i="5"/>
  <c r="E5" i="5" s="1"/>
  <c r="F5" i="5" s="1"/>
  <c r="G5" i="5" s="1"/>
  <c r="H5" i="5" s="1"/>
  <c r="C14" i="2"/>
  <c r="H53" i="8"/>
  <c r="J44" i="8"/>
  <c r="O28" i="8"/>
  <c r="D7" i="5" s="1"/>
  <c r="E7" i="5" s="1"/>
  <c r="F7" i="5" s="1"/>
  <c r="G7" i="5" s="1"/>
  <c r="H7" i="5" s="1"/>
  <c r="C52" i="8"/>
  <c r="H44" i="8"/>
  <c r="D44" i="8"/>
  <c r="D53" i="8"/>
  <c r="D55" i="8"/>
  <c r="D54" i="8"/>
  <c r="L44" i="8"/>
  <c r="L54" i="8"/>
  <c r="L53" i="8"/>
  <c r="L55" i="8"/>
  <c r="F44" i="8"/>
  <c r="F55" i="8"/>
  <c r="F54" i="8"/>
  <c r="F53" i="8"/>
  <c r="I44" i="8"/>
  <c r="I54" i="8"/>
  <c r="I55" i="8"/>
  <c r="I53" i="8"/>
  <c r="C30" i="8"/>
  <c r="C13" i="40"/>
  <c r="C20" i="40" s="1"/>
  <c r="O30" i="8" l="1"/>
  <c r="D9" i="5" s="1"/>
  <c r="E9" i="5" s="1"/>
  <c r="F9" i="5" s="1"/>
  <c r="G9" i="5" s="1"/>
  <c r="H9" i="5" s="1"/>
  <c r="C44" i="8"/>
  <c r="C53" i="8"/>
  <c r="C55" i="8"/>
  <c r="O55" i="8" s="1"/>
  <c r="D34" i="5" s="1"/>
  <c r="E34" i="5" s="1"/>
  <c r="F34" i="5" s="1"/>
  <c r="G34" i="5" s="1"/>
  <c r="H34" i="5" s="1"/>
  <c r="C54" i="8"/>
  <c r="C10" i="41" l="1"/>
  <c r="E6" i="41"/>
  <c r="E3" i="41"/>
  <c r="E5" i="41"/>
  <c r="C21" i="40"/>
  <c r="C5" i="40"/>
  <c r="E12" i="34"/>
  <c r="O8" i="8"/>
  <c r="O9" i="8"/>
  <c r="O10" i="8"/>
  <c r="O12" i="8"/>
  <c r="O35" i="8"/>
  <c r="D14" i="5" s="1"/>
  <c r="E14" i="5" s="1"/>
  <c r="O39" i="8"/>
  <c r="D18" i="5" s="1"/>
  <c r="E18" i="5" s="1"/>
  <c r="O40" i="8"/>
  <c r="D19" i="5" s="1"/>
  <c r="E19" i="5" s="1"/>
  <c r="O41" i="8"/>
  <c r="D20" i="5" s="1"/>
  <c r="E20" i="5" s="1"/>
  <c r="E42" i="8"/>
  <c r="O44" i="8"/>
  <c r="D23" i="5" s="1"/>
  <c r="E23" i="5" s="1"/>
  <c r="O47" i="8"/>
  <c r="D26" i="5" s="1"/>
  <c r="E26" i="5" s="1"/>
  <c r="F26" i="5" s="1"/>
  <c r="G26" i="5" s="1"/>
  <c r="H26" i="5" s="1"/>
  <c r="O48" i="8"/>
  <c r="O50" i="8"/>
  <c r="D29" i="5" s="1"/>
  <c r="E29" i="5" s="1"/>
  <c r="F29" i="5" s="1"/>
  <c r="G29" i="5" s="1"/>
  <c r="H29" i="5" s="1"/>
  <c r="O49" i="8"/>
  <c r="D28" i="5" s="1"/>
  <c r="E28" i="5" s="1"/>
  <c r="F28" i="5" s="1"/>
  <c r="G28" i="5" s="1"/>
  <c r="H28" i="5" s="1"/>
  <c r="E4" i="41"/>
  <c r="E7" i="41"/>
  <c r="E8" i="41"/>
  <c r="C51" i="8"/>
  <c r="D51" i="8"/>
  <c r="E51" i="8"/>
  <c r="F51" i="8"/>
  <c r="G51" i="8"/>
  <c r="H51" i="8"/>
  <c r="I51" i="8"/>
  <c r="J51" i="8"/>
  <c r="K51" i="8"/>
  <c r="L51" i="8"/>
  <c r="M51" i="8"/>
  <c r="N51" i="8"/>
  <c r="D45" i="8"/>
  <c r="E45" i="8"/>
  <c r="F45" i="8"/>
  <c r="G45" i="8"/>
  <c r="H45" i="8"/>
  <c r="I45" i="8"/>
  <c r="J45" i="8"/>
  <c r="K45" i="8"/>
  <c r="L45" i="8"/>
  <c r="M45" i="8"/>
  <c r="N45" i="8"/>
  <c r="C45" i="8"/>
  <c r="O53" i="8"/>
  <c r="C24" i="40" l="1"/>
  <c r="G3" i="42" s="1"/>
  <c r="L10" i="42" s="1"/>
  <c r="D32" i="5"/>
  <c r="E32" i="5" s="1"/>
  <c r="F32" i="5" s="1"/>
  <c r="G32" i="5" s="1"/>
  <c r="H32" i="5" s="1"/>
  <c r="L9" i="42"/>
  <c r="D27" i="5"/>
  <c r="E27" i="5" s="1"/>
  <c r="F27" i="5" s="1"/>
  <c r="G27" i="5" s="1"/>
  <c r="H27" i="5" s="1"/>
  <c r="E15" i="34"/>
  <c r="F23" i="5"/>
  <c r="E24" i="5"/>
  <c r="L37" i="8"/>
  <c r="M37" i="8"/>
  <c r="H42" i="8"/>
  <c r="N37" i="8"/>
  <c r="G42" i="8"/>
  <c r="G37" i="8"/>
  <c r="E10" i="41"/>
  <c r="D10" i="41" s="1"/>
  <c r="C4" i="2"/>
  <c r="J42" i="8"/>
  <c r="N42" i="8"/>
  <c r="F42" i="8"/>
  <c r="O34" i="8"/>
  <c r="D13" i="5" s="1"/>
  <c r="E13" i="5" s="1"/>
  <c r="F13" i="5" s="1"/>
  <c r="G13" i="5" s="1"/>
  <c r="H13" i="5" s="1"/>
  <c r="M42" i="8"/>
  <c r="D37" i="8"/>
  <c r="J37" i="8"/>
  <c r="L42" i="8"/>
  <c r="D42" i="8"/>
  <c r="H37" i="8"/>
  <c r="I37" i="8"/>
  <c r="E37" i="8"/>
  <c r="E56" i="8" s="1"/>
  <c r="E58" i="8" s="1"/>
  <c r="E61" i="8" s="1"/>
  <c r="E62" i="8" s="1"/>
  <c r="O51" i="8"/>
  <c r="D30" i="5" s="1"/>
  <c r="E30" i="5" s="1"/>
  <c r="F30" i="5" s="1"/>
  <c r="G30" i="5" s="1"/>
  <c r="H30" i="5" s="1"/>
  <c r="I42" i="8"/>
  <c r="F37" i="8"/>
  <c r="K42" i="8"/>
  <c r="K37" i="8"/>
  <c r="O11" i="8"/>
  <c r="O36" i="8"/>
  <c r="D15" i="5" s="1"/>
  <c r="E15" i="5" s="1"/>
  <c r="F15" i="5" s="1"/>
  <c r="G15" i="5" s="1"/>
  <c r="H15" i="5" s="1"/>
  <c r="O45" i="8"/>
  <c r="D24" i="5" s="1"/>
  <c r="C42" i="8"/>
  <c r="C56" i="8" s="1"/>
  <c r="F14" i="5"/>
  <c r="G14" i="5" s="1"/>
  <c r="H14" i="5" s="1"/>
  <c r="F20" i="5"/>
  <c r="G20" i="5" s="1"/>
  <c r="H20" i="5" s="1"/>
  <c r="I56" i="8" l="1"/>
  <c r="I58" i="8" s="1"/>
  <c r="I61" i="8" s="1"/>
  <c r="I62" i="8" s="1"/>
  <c r="K56" i="8"/>
  <c r="K58" i="8" s="1"/>
  <c r="K61" i="8" s="1"/>
  <c r="K62" i="8" s="1"/>
  <c r="J56" i="8"/>
  <c r="J58" i="8" s="1"/>
  <c r="J61" i="8" s="1"/>
  <c r="J62" i="8" s="1"/>
  <c r="L56" i="8"/>
  <c r="L58" i="8" s="1"/>
  <c r="L61" i="8" s="1"/>
  <c r="L62" i="8" s="1"/>
  <c r="F56" i="8"/>
  <c r="F58" i="8" s="1"/>
  <c r="F61" i="8" s="1"/>
  <c r="F62" i="8" s="1"/>
  <c r="O52" i="8"/>
  <c r="D31" i="5" s="1"/>
  <c r="E31" i="5" s="1"/>
  <c r="F31" i="5" s="1"/>
  <c r="G31" i="5" s="1"/>
  <c r="H31" i="5" s="1"/>
  <c r="N56" i="8"/>
  <c r="N58" i="8" s="1"/>
  <c r="N61" i="8" s="1"/>
  <c r="N62" i="8" s="1"/>
  <c r="H56" i="8"/>
  <c r="H58" i="8" s="1"/>
  <c r="H61" i="8" s="1"/>
  <c r="H62" i="8" s="1"/>
  <c r="G56" i="8"/>
  <c r="G58" i="8" s="1"/>
  <c r="G61" i="8" s="1"/>
  <c r="G62" i="8" s="1"/>
  <c r="M56" i="8"/>
  <c r="M58" i="8" s="1"/>
  <c r="M61" i="8" s="1"/>
  <c r="M62" i="8" s="1"/>
  <c r="D56" i="8"/>
  <c r="D58" i="8" s="1"/>
  <c r="D61" i="8" s="1"/>
  <c r="D62" i="8" s="1"/>
  <c r="F24" i="5"/>
  <c r="G23" i="5"/>
  <c r="C58" i="8"/>
  <c r="C13" i="2"/>
  <c r="C6" i="2"/>
  <c r="C5" i="2"/>
  <c r="O42" i="8"/>
  <c r="D21" i="5" s="1"/>
  <c r="E21" i="5" s="1"/>
  <c r="F21" i="5" s="1"/>
  <c r="G21" i="5" s="1"/>
  <c r="H21" i="5" s="1"/>
  <c r="F19" i="5"/>
  <c r="G19" i="5" s="1"/>
  <c r="H19" i="5" s="1"/>
  <c r="O37" i="8"/>
  <c r="D16" i="5" s="1"/>
  <c r="E16" i="5" s="1"/>
  <c r="F16" i="5" s="1"/>
  <c r="G16" i="5" s="1"/>
  <c r="H16" i="5" s="1"/>
  <c r="F18" i="5"/>
  <c r="G18" i="5" s="1"/>
  <c r="H18" i="5" s="1"/>
  <c r="O56" i="8" l="1"/>
  <c r="D35" i="5" s="1"/>
  <c r="E35" i="5" s="1"/>
  <c r="F35" i="5" s="1"/>
  <c r="O58" i="8"/>
  <c r="D37" i="5" s="1"/>
  <c r="C61" i="8"/>
  <c r="O61" i="8" s="1"/>
  <c r="H23" i="5"/>
  <c r="H24" i="5" s="1"/>
  <c r="G24" i="5"/>
  <c r="C7" i="2"/>
  <c r="B3" i="15"/>
  <c r="B9" i="15" s="1"/>
  <c r="E37" i="5" l="1"/>
  <c r="D7" i="2"/>
  <c r="G5" i="42"/>
  <c r="G4" i="42"/>
  <c r="L4" i="42" s="1"/>
  <c r="L11" i="42" s="1"/>
  <c r="G7" i="42" s="1"/>
  <c r="D7" i="42" s="1"/>
  <c r="D70" i="8"/>
  <c r="H70" i="8"/>
  <c r="L70" i="8"/>
  <c r="E70" i="8"/>
  <c r="I70" i="8"/>
  <c r="M70" i="8"/>
  <c r="F70" i="8"/>
  <c r="J70" i="8"/>
  <c r="N70" i="8"/>
  <c r="G70" i="8"/>
  <c r="K70" i="8"/>
  <c r="C70" i="8"/>
  <c r="C62" i="8"/>
  <c r="O62" i="8" s="1"/>
  <c r="G35" i="5"/>
  <c r="F37" i="5"/>
  <c r="B6" i="15"/>
  <c r="C205" i="15" s="1"/>
  <c r="D9" i="34"/>
  <c r="D12" i="34" s="1"/>
  <c r="O7" i="8"/>
  <c r="D9" i="15"/>
  <c r="G8" i="42" l="1"/>
  <c r="O70" i="8"/>
  <c r="C65" i="8"/>
  <c r="C75" i="8" s="1"/>
  <c r="C172" i="15"/>
  <c r="C217" i="15"/>
  <c r="C109" i="15"/>
  <c r="C126" i="15"/>
  <c r="C244" i="15"/>
  <c r="C353" i="15"/>
  <c r="C165" i="15"/>
  <c r="C161" i="15"/>
  <c r="C103" i="15"/>
  <c r="C226" i="15"/>
  <c r="H35" i="5"/>
  <c r="H37" i="5" s="1"/>
  <c r="G37" i="5"/>
  <c r="C343" i="15"/>
  <c r="C92" i="15"/>
  <c r="C231" i="15"/>
  <c r="C18" i="15"/>
  <c r="C61" i="15"/>
  <c r="C24" i="15"/>
  <c r="C57" i="15"/>
  <c r="C138" i="15"/>
  <c r="C169" i="15"/>
  <c r="C159" i="15"/>
  <c r="C137" i="15"/>
  <c r="C41" i="15"/>
  <c r="C49" i="15"/>
  <c r="C153" i="15"/>
  <c r="C263" i="15"/>
  <c r="C97" i="15"/>
  <c r="C188" i="15"/>
  <c r="C220" i="15"/>
  <c r="C281" i="15"/>
  <c r="C168" i="15"/>
  <c r="C9" i="15"/>
  <c r="E9" i="15" s="1"/>
  <c r="C319" i="15"/>
  <c r="C310" i="15"/>
  <c r="C105" i="15"/>
  <c r="C214" i="15"/>
  <c r="C296" i="15"/>
  <c r="C332" i="15"/>
  <c r="C55" i="15"/>
  <c r="C265" i="15"/>
  <c r="C122" i="15"/>
  <c r="C190" i="15"/>
  <c r="C121" i="15"/>
  <c r="C302" i="15"/>
  <c r="C277" i="15"/>
  <c r="C356" i="15"/>
  <c r="C239" i="15"/>
  <c r="C295" i="15"/>
  <c r="C69" i="15"/>
  <c r="C250" i="15"/>
  <c r="C253" i="15"/>
  <c r="C147" i="15"/>
  <c r="C252" i="15"/>
  <c r="C257" i="15"/>
  <c r="C87" i="15"/>
  <c r="C359" i="15"/>
  <c r="C248" i="15"/>
  <c r="C351" i="15"/>
  <c r="C216" i="15"/>
  <c r="C309" i="15"/>
  <c r="C228" i="15"/>
  <c r="C287" i="15"/>
  <c r="C249" i="15"/>
  <c r="C301" i="15"/>
  <c r="C342" i="15"/>
  <c r="C286" i="15"/>
  <c r="C42" i="15"/>
  <c r="C267" i="15"/>
  <c r="C20" i="15"/>
  <c r="C45" i="15"/>
  <c r="C307" i="15"/>
  <c r="C70" i="15"/>
  <c r="C115" i="15"/>
  <c r="C194" i="15"/>
  <c r="C362" i="15"/>
  <c r="C314" i="15"/>
  <c r="C118" i="15"/>
  <c r="C29" i="15"/>
  <c r="C143" i="15"/>
  <c r="C48" i="15"/>
  <c r="C44" i="15"/>
  <c r="C349" i="15"/>
  <c r="C365" i="15"/>
  <c r="C95" i="15"/>
  <c r="C75" i="15"/>
  <c r="C320" i="15"/>
  <c r="C341" i="15"/>
  <c r="C155" i="15"/>
  <c r="C67" i="15"/>
  <c r="C120" i="15"/>
  <c r="C334" i="15"/>
  <c r="C317" i="15"/>
  <c r="C297" i="15"/>
  <c r="C65" i="15"/>
  <c r="C354" i="15"/>
  <c r="C347" i="15"/>
  <c r="C111" i="15"/>
  <c r="C106" i="15"/>
  <c r="C107" i="15"/>
  <c r="C54" i="15"/>
  <c r="C91" i="15"/>
  <c r="C96" i="15"/>
  <c r="C189" i="15"/>
  <c r="C179" i="15"/>
  <c r="C346" i="15"/>
  <c r="C116" i="15"/>
  <c r="C180" i="15"/>
  <c r="C156" i="15"/>
  <c r="C134" i="15"/>
  <c r="C123" i="15"/>
  <c r="C164" i="15"/>
  <c r="C235" i="15"/>
  <c r="C192" i="15"/>
  <c r="C358" i="15"/>
  <c r="C348" i="15"/>
  <c r="C56" i="15"/>
  <c r="C110" i="15"/>
  <c r="C199" i="15"/>
  <c r="C150" i="15"/>
  <c r="C151" i="15"/>
  <c r="C268" i="15"/>
  <c r="C210" i="15"/>
  <c r="C12" i="15"/>
  <c r="C313" i="15"/>
  <c r="C215" i="15"/>
  <c r="C339" i="15"/>
  <c r="C113" i="15"/>
  <c r="C357" i="15"/>
  <c r="C133" i="15"/>
  <c r="C140" i="15"/>
  <c r="C160" i="15"/>
  <c r="C337" i="15"/>
  <c r="C51" i="15"/>
  <c r="C368" i="15"/>
  <c r="C361" i="15"/>
  <c r="C88" i="15"/>
  <c r="C256" i="15"/>
  <c r="C154" i="15"/>
  <c r="C329" i="15"/>
  <c r="C233" i="15"/>
  <c r="C292" i="15"/>
  <c r="C284" i="15"/>
  <c r="C63" i="15"/>
  <c r="C298" i="15"/>
  <c r="C129" i="15"/>
  <c r="C336" i="15"/>
  <c r="C145" i="15"/>
  <c r="C218" i="15"/>
  <c r="C369" i="15"/>
  <c r="C364" i="15"/>
  <c r="C191" i="15"/>
  <c r="C206" i="15"/>
  <c r="C27" i="15"/>
  <c r="C37" i="15"/>
  <c r="C114" i="15"/>
  <c r="C224" i="15"/>
  <c r="C344" i="15"/>
  <c r="C323" i="15"/>
  <c r="C146" i="15"/>
  <c r="C33" i="15"/>
  <c r="C77" i="15"/>
  <c r="C136" i="15"/>
  <c r="C366" i="15"/>
  <c r="C200" i="15"/>
  <c r="C331" i="15"/>
  <c r="C278" i="15"/>
  <c r="C203" i="15"/>
  <c r="C30" i="15"/>
  <c r="C321" i="15"/>
  <c r="C15" i="15"/>
  <c r="C98" i="15"/>
  <c r="C327" i="15"/>
  <c r="C193" i="15"/>
  <c r="C28" i="15"/>
  <c r="C40" i="15"/>
  <c r="C264" i="15"/>
  <c r="C304" i="15"/>
  <c r="C10" i="15"/>
  <c r="C125" i="15"/>
  <c r="C43" i="15"/>
  <c r="C255" i="15"/>
  <c r="C38" i="15"/>
  <c r="C167" i="15"/>
  <c r="C322" i="15"/>
  <c r="C173" i="15"/>
  <c r="C162" i="15"/>
  <c r="C259" i="15"/>
  <c r="C11" i="15"/>
  <c r="C291" i="15"/>
  <c r="C124" i="15"/>
  <c r="C174" i="15"/>
  <c r="C260" i="15"/>
  <c r="C104" i="15"/>
  <c r="C86" i="15"/>
  <c r="C59" i="15"/>
  <c r="C221" i="15"/>
  <c r="C26" i="15"/>
  <c r="C222" i="15"/>
  <c r="C64" i="15"/>
  <c r="C182" i="15"/>
  <c r="C139" i="15"/>
  <c r="C294" i="15"/>
  <c r="C316" i="15"/>
  <c r="C112" i="15"/>
  <c r="C89" i="15"/>
  <c r="C266" i="15"/>
  <c r="C288" i="15"/>
  <c r="C229" i="15"/>
  <c r="C290" i="15"/>
  <c r="C315" i="15"/>
  <c r="C312" i="15"/>
  <c r="C328" i="15"/>
  <c r="C16" i="15"/>
  <c r="C157" i="15"/>
  <c r="C293" i="15"/>
  <c r="C325" i="15"/>
  <c r="C78" i="15"/>
  <c r="C186" i="15"/>
  <c r="C185" i="15"/>
  <c r="C246" i="15"/>
  <c r="C152" i="15"/>
  <c r="C204" i="15"/>
  <c r="C262" i="15"/>
  <c r="C333" i="15"/>
  <c r="C338" i="15"/>
  <c r="C144" i="15"/>
  <c r="C232" i="15"/>
  <c r="C311" i="15"/>
  <c r="C84" i="15"/>
  <c r="C90" i="15"/>
  <c r="D6" i="15"/>
  <c r="C141" i="15"/>
  <c r="C299" i="15"/>
  <c r="C58" i="15"/>
  <c r="C326" i="15"/>
  <c r="C275" i="15"/>
  <c r="C261" i="15"/>
  <c r="C101" i="15"/>
  <c r="C85" i="15"/>
  <c r="C181" i="15"/>
  <c r="C212" i="15"/>
  <c r="C36" i="15"/>
  <c r="C50" i="15"/>
  <c r="C183" i="15"/>
  <c r="C171" i="15"/>
  <c r="C209" i="15"/>
  <c r="C269" i="15"/>
  <c r="C117" i="15"/>
  <c r="C219" i="15"/>
  <c r="C303" i="15"/>
  <c r="C81" i="15"/>
  <c r="C163" i="15"/>
  <c r="C279" i="15"/>
  <c r="C19" i="15"/>
  <c r="C175" i="15"/>
  <c r="C176" i="15"/>
  <c r="C350" i="15"/>
  <c r="C72" i="15"/>
  <c r="C227" i="15"/>
  <c r="C102" i="15"/>
  <c r="C280" i="15"/>
  <c r="C213" i="15"/>
  <c r="C289" i="15"/>
  <c r="C99" i="15"/>
  <c r="C285" i="15"/>
  <c r="C52" i="15"/>
  <c r="C166" i="15"/>
  <c r="C345" i="15"/>
  <c r="C340" i="15"/>
  <c r="C178" i="15"/>
  <c r="C306" i="15"/>
  <c r="C184" i="15"/>
  <c r="C330" i="15"/>
  <c r="C363" i="15"/>
  <c r="C71" i="15"/>
  <c r="C76" i="15"/>
  <c r="C196" i="15"/>
  <c r="C62" i="15"/>
  <c r="C276" i="15"/>
  <c r="C195" i="15"/>
  <c r="C135" i="15"/>
  <c r="C355" i="15"/>
  <c r="C258" i="15"/>
  <c r="C230" i="15"/>
  <c r="C130" i="15"/>
  <c r="C170" i="15"/>
  <c r="C46" i="15"/>
  <c r="C127" i="15"/>
  <c r="C66" i="15"/>
  <c r="C352" i="15"/>
  <c r="C243" i="15"/>
  <c r="C94" i="15"/>
  <c r="C225" i="15"/>
  <c r="C39" i="15"/>
  <c r="C202" i="15"/>
  <c r="C236" i="15"/>
  <c r="C108" i="15"/>
  <c r="C74" i="15"/>
  <c r="C131" i="15"/>
  <c r="C119" i="15"/>
  <c r="C273" i="15"/>
  <c r="C367" i="15"/>
  <c r="C149" i="15"/>
  <c r="C271" i="15"/>
  <c r="C100" i="15"/>
  <c r="C128" i="15"/>
  <c r="C247" i="15"/>
  <c r="C208" i="15"/>
  <c r="C373" i="15"/>
  <c r="C370" i="15"/>
  <c r="C23" i="15"/>
  <c r="C201" i="15"/>
  <c r="C308" i="15"/>
  <c r="C148" i="15"/>
  <c r="C35" i="15"/>
  <c r="C211" i="15"/>
  <c r="C82" i="15"/>
  <c r="C197" i="15"/>
  <c r="C83" i="15"/>
  <c r="C240" i="15"/>
  <c r="C241" i="15"/>
  <c r="C272" i="15"/>
  <c r="C371" i="15"/>
  <c r="C234" i="15"/>
  <c r="C318" i="15"/>
  <c r="C31" i="15"/>
  <c r="C237" i="15"/>
  <c r="C207" i="15"/>
  <c r="C251" i="15"/>
  <c r="C245" i="15"/>
  <c r="C14" i="15"/>
  <c r="C360" i="15"/>
  <c r="C335" i="15"/>
  <c r="C242" i="15"/>
  <c r="C187" i="15"/>
  <c r="C177" i="15"/>
  <c r="C270" i="15"/>
  <c r="C142" i="15"/>
  <c r="C223" i="15"/>
  <c r="C372" i="15"/>
  <c r="C324" i="15"/>
  <c r="C22" i="15"/>
  <c r="C17" i="15"/>
  <c r="C283" i="15"/>
  <c r="C68" i="15"/>
  <c r="C53" i="15"/>
  <c r="C238" i="15"/>
  <c r="C93" i="15"/>
  <c r="C282" i="15"/>
  <c r="C305" i="15"/>
  <c r="C274" i="15"/>
  <c r="C79" i="15"/>
  <c r="C300" i="15"/>
  <c r="C80" i="15"/>
  <c r="C13" i="15"/>
  <c r="C32" i="15"/>
  <c r="C198" i="15"/>
  <c r="C25" i="15"/>
  <c r="C132" i="15"/>
  <c r="C158" i="15"/>
  <c r="C254" i="15"/>
  <c r="D15" i="34"/>
  <c r="D44" i="5" l="1"/>
  <c r="E44" i="5" s="1"/>
  <c r="F44" i="5" s="1"/>
  <c r="G44" i="5" s="1"/>
  <c r="H44" i="5" s="1"/>
  <c r="E19" i="42"/>
  <c r="D19" i="42"/>
  <c r="D24" i="42" s="1"/>
  <c r="F19" i="42"/>
  <c r="J19" i="42"/>
  <c r="F22" i="42"/>
  <c r="I22" i="42"/>
  <c r="H22" i="42"/>
  <c r="H19" i="42"/>
  <c r="E22" i="42"/>
  <c r="E25" i="42" s="1"/>
  <c r="I19" i="42"/>
  <c r="J22" i="42"/>
  <c r="G19" i="42"/>
  <c r="G22" i="42"/>
  <c r="C73" i="15"/>
  <c r="C60" i="15"/>
  <c r="C34" i="15"/>
  <c r="C47" i="15"/>
  <c r="C64" i="8"/>
  <c r="D64" i="8" s="1"/>
  <c r="C21" i="15"/>
  <c r="F9" i="15"/>
  <c r="B10" i="15" s="1"/>
  <c r="D10" i="15" s="1"/>
  <c r="E10" i="15" s="1"/>
  <c r="C66" i="8"/>
  <c r="E16" i="34"/>
  <c r="D34" i="42" l="1"/>
  <c r="C68" i="8"/>
  <c r="C71" i="8" s="1"/>
  <c r="D65" i="8"/>
  <c r="D75" i="8" s="1"/>
  <c r="F10" i="15"/>
  <c r="B11" i="15" s="1"/>
  <c r="D11" i="15" s="1"/>
  <c r="E65" i="8" s="1"/>
  <c r="E75" i="8" s="1"/>
  <c r="D66" i="8"/>
  <c r="E64" i="8"/>
  <c r="D68" i="8"/>
  <c r="D71" i="8" s="1"/>
  <c r="D74" i="8" s="1"/>
  <c r="E11" i="15" l="1"/>
  <c r="F64" i="8"/>
  <c r="E68" i="8"/>
  <c r="E71" i="8" s="1"/>
  <c r="E74" i="8" s="1"/>
  <c r="C74" i="8"/>
  <c r="E66" i="8" l="1"/>
  <c r="F11" i="15"/>
  <c r="B12" i="15" s="1"/>
  <c r="D12" i="15" s="1"/>
  <c r="G64" i="8"/>
  <c r="F68" i="8"/>
  <c r="F65" i="8" l="1"/>
  <c r="F75" i="8" s="1"/>
  <c r="F71" i="8"/>
  <c r="H64" i="8"/>
  <c r="G68" i="8"/>
  <c r="G71" i="8" s="1"/>
  <c r="G74" i="8" s="1"/>
  <c r="E12" i="15"/>
  <c r="F66" i="8" s="1"/>
  <c r="I64" i="8" l="1"/>
  <c r="H68" i="8"/>
  <c r="H71" i="8" s="1"/>
  <c r="H74" i="8" s="1"/>
  <c r="F74" i="8"/>
  <c r="F12" i="15"/>
  <c r="B13" i="15" s="1"/>
  <c r="O54" i="8"/>
  <c r="D33" i="5" s="1"/>
  <c r="E33" i="5" s="1"/>
  <c r="F33" i="5" s="1"/>
  <c r="G33" i="5" s="1"/>
  <c r="H33" i="5" s="1"/>
  <c r="J64" i="8" l="1"/>
  <c r="I68" i="8"/>
  <c r="I71" i="8" s="1"/>
  <c r="I74" i="8" s="1"/>
  <c r="D13" i="15"/>
  <c r="D39" i="5"/>
  <c r="D40" i="5" s="1"/>
  <c r="K64" i="8" l="1"/>
  <c r="J68" i="8"/>
  <c r="J71" i="8" s="1"/>
  <c r="J74" i="8" s="1"/>
  <c r="E13" i="15"/>
  <c r="G66" i="8" s="1"/>
  <c r="G65" i="8"/>
  <c r="F13" i="15" l="1"/>
  <c r="B14" i="15" s="1"/>
  <c r="G75" i="8"/>
  <c r="L64" i="8"/>
  <c r="K68" i="8"/>
  <c r="K71" i="8" s="1"/>
  <c r="K74" i="8" s="1"/>
  <c r="D14" i="15"/>
  <c r="E39" i="5"/>
  <c r="E40" i="5" s="1"/>
  <c r="M64" i="8" l="1"/>
  <c r="L68" i="8"/>
  <c r="L71" i="8" s="1"/>
  <c r="L74" i="8" s="1"/>
  <c r="E14" i="15"/>
  <c r="H66" i="8" s="1"/>
  <c r="H65" i="8"/>
  <c r="H75" i="8" s="1"/>
  <c r="F14" i="15" l="1"/>
  <c r="B15" i="15" s="1"/>
  <c r="D15" i="15" s="1"/>
  <c r="N64" i="8"/>
  <c r="M68" i="8"/>
  <c r="M71" i="8" s="1"/>
  <c r="M74" i="8" s="1"/>
  <c r="G39" i="5"/>
  <c r="G40" i="5" s="1"/>
  <c r="N68" i="8" l="1"/>
  <c r="O64" i="8"/>
  <c r="E15" i="15"/>
  <c r="I65" i="8"/>
  <c r="I75" i="8" s="1"/>
  <c r="H39" i="5"/>
  <c r="H40" i="5" s="1"/>
  <c r="F39" i="5"/>
  <c r="F40" i="5" s="1"/>
  <c r="F15" i="15" l="1"/>
  <c r="B16" i="15" s="1"/>
  <c r="D16" i="15" s="1"/>
  <c r="I66" i="8"/>
  <c r="N71" i="8"/>
  <c r="O68" i="8"/>
  <c r="C15" i="2" l="1"/>
  <c r="C16" i="2" s="1"/>
  <c r="H53" i="5"/>
  <c r="N74" i="8"/>
  <c r="O74" i="8" s="1"/>
  <c r="O71" i="8"/>
  <c r="E16" i="15"/>
  <c r="J65" i="8"/>
  <c r="J75" i="8" s="1"/>
  <c r="H55" i="5" l="1"/>
  <c r="F16" i="15"/>
  <c r="B17" i="15" s="1"/>
  <c r="D17" i="15" s="1"/>
  <c r="J66" i="8"/>
  <c r="E17" i="15" l="1"/>
  <c r="K65" i="8"/>
  <c r="K75" i="8" s="1"/>
  <c r="F17" i="15" l="1"/>
  <c r="B18" i="15" s="1"/>
  <c r="D18" i="15" s="1"/>
  <c r="K66" i="8"/>
  <c r="E18" i="15" l="1"/>
  <c r="L65" i="8"/>
  <c r="L75" i="8" s="1"/>
  <c r="F18" i="15" l="1"/>
  <c r="B19" i="15" s="1"/>
  <c r="D19" i="15" s="1"/>
  <c r="L66" i="8"/>
  <c r="E19" i="15" l="1"/>
  <c r="M65" i="8"/>
  <c r="M75" i="8" s="1"/>
  <c r="F19" i="15" l="1"/>
  <c r="B20" i="15" s="1"/>
  <c r="M66" i="8"/>
  <c r="D20" i="15" l="1"/>
  <c r="D21" i="15" s="1"/>
  <c r="D42" i="5" s="1"/>
  <c r="D49" i="5" l="1"/>
  <c r="N65" i="8"/>
  <c r="E20" i="15"/>
  <c r="E21" i="15" s="1"/>
  <c r="D43" i="5" s="1"/>
  <c r="D45" i="5" s="1"/>
  <c r="F21" i="42" s="1"/>
  <c r="F24" i="42" l="1"/>
  <c r="F26" i="42"/>
  <c r="F25" i="42"/>
  <c r="D46" i="5"/>
  <c r="F10" i="34"/>
  <c r="F12" i="34" s="1"/>
  <c r="D48" i="5"/>
  <c r="N66" i="8"/>
  <c r="O66" i="8" s="1"/>
  <c r="F20" i="15"/>
  <c r="B22" i="15" s="1"/>
  <c r="N75" i="8"/>
  <c r="O75" i="8" s="1"/>
  <c r="O65" i="8"/>
  <c r="F15" i="34" l="1"/>
  <c r="F16" i="34" s="1"/>
  <c r="D22" i="15"/>
  <c r="E22" i="15" l="1"/>
  <c r="F22" i="15" l="1"/>
  <c r="B23" i="15" s="1"/>
  <c r="D23" i="15" s="1"/>
  <c r="E23" i="15" l="1"/>
  <c r="F23" i="15" l="1"/>
  <c r="B24" i="15" s="1"/>
  <c r="D24" i="15" l="1"/>
  <c r="E24" i="15" l="1"/>
  <c r="F24" i="15" l="1"/>
  <c r="B25" i="15" s="1"/>
  <c r="D25" i="15" l="1"/>
  <c r="E25" i="15" l="1"/>
  <c r="F25" i="15" l="1"/>
  <c r="B26" i="15" s="1"/>
  <c r="D26" i="15" l="1"/>
  <c r="E26" i="15" l="1"/>
  <c r="F26" i="15" l="1"/>
  <c r="B27" i="15" s="1"/>
  <c r="D27" i="15" s="1"/>
  <c r="E27" i="15" s="1"/>
  <c r="F27" i="15" s="1"/>
  <c r="B28" i="15" s="1"/>
  <c r="D28" i="15" s="1"/>
  <c r="E28" i="15" s="1"/>
  <c r="F28" i="15" s="1"/>
  <c r="B29" i="15" s="1"/>
  <c r="D29" i="15" s="1"/>
  <c r="E29" i="15" s="1"/>
  <c r="F29" i="15" s="1"/>
  <c r="B30" i="15" s="1"/>
  <c r="D30" i="15" s="1"/>
  <c r="E30" i="15" s="1"/>
  <c r="F30" i="15" s="1"/>
  <c r="B31" i="15" s="1"/>
  <c r="D31" i="15" s="1"/>
  <c r="E31" i="15" s="1"/>
  <c r="F31" i="15" s="1"/>
  <c r="B32" i="15" s="1"/>
  <c r="D32" i="15" l="1"/>
  <c r="E32" i="15" s="1"/>
  <c r="F32" i="15" s="1"/>
  <c r="B33" i="15" s="1"/>
  <c r="D33" i="15" l="1"/>
  <c r="D34" i="15" s="1"/>
  <c r="E42" i="5" s="1"/>
  <c r="E49" i="5" l="1"/>
  <c r="E33" i="15"/>
  <c r="E34" i="15" s="1"/>
  <c r="E43" i="5" s="1"/>
  <c r="E45" i="5" s="1"/>
  <c r="G21" i="42" s="1"/>
  <c r="G24" i="42" l="1"/>
  <c r="G26" i="42"/>
  <c r="G25" i="42"/>
  <c r="E46" i="5"/>
  <c r="E48" i="5"/>
  <c r="G10" i="34"/>
  <c r="G12" i="34" s="1"/>
  <c r="F33" i="15"/>
  <c r="G15" i="34" l="1"/>
  <c r="G16" i="34" s="1"/>
  <c r="B35" i="15"/>
  <c r="D35" i="15" l="1"/>
  <c r="E35" i="15" l="1"/>
  <c r="F35" i="15" s="1"/>
  <c r="B36" i="15" s="1"/>
  <c r="D36" i="15" l="1"/>
  <c r="E36" i="15" l="1"/>
  <c r="F36" i="15" l="1"/>
  <c r="B37" i="15" s="1"/>
  <c r="D37" i="15" s="1"/>
  <c r="E37" i="15" l="1"/>
  <c r="F37" i="15" l="1"/>
  <c r="B38" i="15" s="1"/>
  <c r="D38" i="15" s="1"/>
  <c r="E38" i="15" l="1"/>
  <c r="F38" i="15" l="1"/>
  <c r="B39" i="15" s="1"/>
  <c r="D39" i="15" s="1"/>
  <c r="E39" i="15" l="1"/>
  <c r="F39" i="15" s="1"/>
  <c r="B40" i="15" s="1"/>
  <c r="D40" i="15" s="1"/>
  <c r="E40" i="15" s="1"/>
  <c r="F40" i="15" s="1"/>
  <c r="B41" i="15" s="1"/>
  <c r="D41" i="15" s="1"/>
  <c r="E41" i="15" s="1"/>
  <c r="F41" i="15" s="1"/>
  <c r="B42" i="15" s="1"/>
  <c r="D42" i="15" s="1"/>
  <c r="E42" i="15" s="1"/>
  <c r="F42" i="15" s="1"/>
  <c r="B43" i="15" s="1"/>
  <c r="D43" i="15" s="1"/>
  <c r="E43" i="15" s="1"/>
  <c r="F43" i="15" s="1"/>
  <c r="B44" i="15" s="1"/>
  <c r="D44" i="15" l="1"/>
  <c r="E44" i="15" s="1"/>
  <c r="F44" i="15" s="1"/>
  <c r="B45" i="15" s="1"/>
  <c r="D45" i="15" l="1"/>
  <c r="E45" i="15" s="1"/>
  <c r="F45" i="15" s="1"/>
  <c r="B46" i="15" s="1"/>
  <c r="D46" i="15" l="1"/>
  <c r="E46" i="15" l="1"/>
  <c r="F46" i="15" s="1"/>
  <c r="B48" i="15" s="1"/>
  <c r="D48" i="15" s="1"/>
  <c r="D47" i="15"/>
  <c r="F42" i="5" s="1"/>
  <c r="F49" i="5" l="1"/>
  <c r="E48" i="15"/>
  <c r="E47" i="15"/>
  <c r="F43" i="5" s="1"/>
  <c r="F45" i="5" s="1"/>
  <c r="H21" i="42" s="1"/>
  <c r="H24" i="42" l="1"/>
  <c r="H26" i="42"/>
  <c r="H25" i="42"/>
  <c r="F46" i="5"/>
  <c r="H10" i="34"/>
  <c r="H12" i="34" s="1"/>
  <c r="F48" i="5"/>
  <c r="F48" i="15"/>
  <c r="B49" i="15" s="1"/>
  <c r="D49" i="15" s="1"/>
  <c r="H15" i="34" l="1"/>
  <c r="H16" i="34" s="1"/>
  <c r="E49" i="15"/>
  <c r="F49" i="15" l="1"/>
  <c r="B50" i="15" s="1"/>
  <c r="D50" i="15" s="1"/>
  <c r="E50" i="15" l="1"/>
  <c r="F50" i="15" l="1"/>
  <c r="B51" i="15" s="1"/>
  <c r="D51" i="15" s="1"/>
  <c r="E51" i="15" l="1"/>
  <c r="F51" i="15" l="1"/>
  <c r="B52" i="15" s="1"/>
  <c r="D52" i="15" s="1"/>
  <c r="E52" i="15" l="1"/>
  <c r="F52" i="15" l="1"/>
  <c r="B53" i="15" s="1"/>
  <c r="D53" i="15" s="1"/>
  <c r="E53" i="15" s="1"/>
  <c r="F53" i="15" s="1"/>
  <c r="B54" i="15" s="1"/>
  <c r="D54" i="15" s="1"/>
  <c r="E54" i="15" s="1"/>
  <c r="F54" i="15" s="1"/>
  <c r="B55" i="15" s="1"/>
  <c r="D55" i="15" s="1"/>
  <c r="E55" i="15" s="1"/>
  <c r="F55" i="15" s="1"/>
  <c r="B56" i="15" s="1"/>
  <c r="D56" i="15" s="1"/>
  <c r="E56" i="15" s="1"/>
  <c r="F56" i="15" s="1"/>
  <c r="B57" i="15" s="1"/>
  <c r="D57" i="15" s="1"/>
  <c r="E57" i="15" s="1"/>
  <c r="F57" i="15" s="1"/>
  <c r="B58" i="15" s="1"/>
  <c r="D58" i="15" s="1"/>
  <c r="E58" i="15" s="1"/>
  <c r="F58" i="15" s="1"/>
  <c r="B59" i="15" s="1"/>
  <c r="D59" i="15" l="1"/>
  <c r="E59" i="15" l="1"/>
  <c r="D60" i="15"/>
  <c r="G42" i="5" s="1"/>
  <c r="G49" i="5" l="1"/>
  <c r="F59" i="15"/>
  <c r="B61" i="15" s="1"/>
  <c r="D61" i="15" s="1"/>
  <c r="E60" i="15"/>
  <c r="G43" i="5" s="1"/>
  <c r="G45" i="5" s="1"/>
  <c r="I21" i="42" s="1"/>
  <c r="I24" i="42" l="1"/>
  <c r="D29" i="42" s="1"/>
  <c r="I25" i="42"/>
  <c r="I26" i="42" s="1"/>
  <c r="G48" i="5"/>
  <c r="I10" i="34"/>
  <c r="I12" i="34" s="1"/>
  <c r="G46" i="5"/>
  <c r="E61" i="15"/>
  <c r="F61" i="15" l="1"/>
  <c r="B62" i="15" s="1"/>
  <c r="D62" i="15" s="1"/>
  <c r="I15" i="34"/>
  <c r="I16" i="34" l="1"/>
  <c r="E62" i="15"/>
  <c r="F62" i="15" l="1"/>
  <c r="B63" i="15" s="1"/>
  <c r="D63" i="15" s="1"/>
  <c r="E63" i="15" l="1"/>
  <c r="F63" i="15" l="1"/>
  <c r="B64" i="15" s="1"/>
  <c r="D64" i="15" s="1"/>
  <c r="E64" i="15" l="1"/>
  <c r="F64" i="15" l="1"/>
  <c r="B65" i="15" s="1"/>
  <c r="D65" i="15" s="1"/>
  <c r="E65" i="15" l="1"/>
  <c r="F65" i="15" l="1"/>
  <c r="B66" i="15" s="1"/>
  <c r="D66" i="15" s="1"/>
  <c r="E66" i="15" s="1"/>
  <c r="F66" i="15" s="1"/>
  <c r="B67" i="15" s="1"/>
  <c r="D67" i="15" s="1"/>
  <c r="E67" i="15" s="1"/>
  <c r="F67" i="15" s="1"/>
  <c r="B68" i="15" s="1"/>
  <c r="D68" i="15" s="1"/>
  <c r="E68" i="15" s="1"/>
  <c r="F68" i="15" s="1"/>
  <c r="B69" i="15" s="1"/>
  <c r="D69" i="15" s="1"/>
  <c r="E69" i="15" s="1"/>
  <c r="F69" i="15" s="1"/>
  <c r="B70" i="15" s="1"/>
  <c r="D70" i="15" s="1"/>
  <c r="E70" i="15" s="1"/>
  <c r="F70" i="15" s="1"/>
  <c r="B71" i="15" s="1"/>
  <c r="D71" i="15" s="1"/>
  <c r="E71" i="15" s="1"/>
  <c r="F71" i="15" s="1"/>
  <c r="B72" i="15" s="1"/>
  <c r="D72" i="15" s="1"/>
  <c r="E72" i="15" l="1"/>
  <c r="D73" i="15"/>
  <c r="H42" i="5" s="1"/>
  <c r="C17" i="2" l="1"/>
  <c r="F72" i="15"/>
  <c r="E73" i="15"/>
  <c r="H43" i="5" s="1"/>
  <c r="H45" i="5" s="1"/>
  <c r="J21" i="42" s="1"/>
  <c r="J25" i="42" s="1"/>
  <c r="D27" i="42" s="1"/>
  <c r="B74" i="15" l="1"/>
  <c r="D74" i="15" s="1"/>
  <c r="E74" i="15" s="1"/>
  <c r="F74" i="15" s="1"/>
  <c r="B75" i="15" s="1"/>
  <c r="D75" i="15" s="1"/>
  <c r="E75" i="15" s="1"/>
  <c r="F75" i="15" s="1"/>
  <c r="B76" i="15" s="1"/>
  <c r="D76" i="15" s="1"/>
  <c r="E76" i="15" s="1"/>
  <c r="F76" i="15" s="1"/>
  <c r="B77" i="15" s="1"/>
  <c r="H54" i="5"/>
  <c r="H56" i="5" s="1"/>
  <c r="H48" i="5"/>
  <c r="D21" i="34" s="1"/>
  <c r="H46" i="5"/>
  <c r="J10" i="34"/>
  <c r="C18" i="2"/>
  <c r="J11" i="34" l="1"/>
  <c r="J12" i="34" s="1"/>
  <c r="J14" i="34" s="1"/>
  <c r="D77" i="15"/>
  <c r="E77" i="15" s="1"/>
  <c r="F77" i="15" s="1"/>
  <c r="B78" i="15" s="1"/>
  <c r="J15" i="34" l="1"/>
  <c r="D35" i="42" s="1"/>
  <c r="D36" i="42" s="1"/>
  <c r="D37" i="42" s="1"/>
  <c r="D38" i="42" s="1"/>
  <c r="J20" i="42" s="1"/>
  <c r="J24" i="42" s="1"/>
  <c r="H49" i="5"/>
  <c r="D22" i="34" s="1"/>
  <c r="J16" i="34"/>
  <c r="L15" i="34"/>
  <c r="D78" i="15"/>
  <c r="E78" i="15" s="1"/>
  <c r="F78" i="15" s="1"/>
  <c r="B79" i="15" s="1"/>
  <c r="K15" i="34" l="1"/>
  <c r="D23" i="34" s="1"/>
  <c r="J26" i="42"/>
  <c r="D31" i="42"/>
  <c r="D79" i="15"/>
  <c r="E79" i="15" s="1"/>
  <c r="F79" i="15" s="1"/>
  <c r="B80" i="15" s="1"/>
  <c r="D30" i="42" l="1"/>
  <c r="D28" i="42"/>
  <c r="D80" i="15"/>
  <c r="E80" i="15" s="1"/>
  <c r="F80" i="15" s="1"/>
  <c r="B81" i="15" s="1"/>
  <c r="D81" i="15" l="1"/>
  <c r="E81" i="15" s="1"/>
  <c r="F81" i="15" s="1"/>
  <c r="B82" i="15" s="1"/>
  <c r="D82" i="15" l="1"/>
  <c r="E82" i="15" s="1"/>
  <c r="F82" i="15" s="1"/>
  <c r="B83" i="15" s="1"/>
  <c r="D83" i="15" l="1"/>
  <c r="E83" i="15" s="1"/>
  <c r="F83" i="15" s="1"/>
  <c r="B84" i="15" s="1"/>
  <c r="D84" i="15" l="1"/>
  <c r="E84" i="15" s="1"/>
  <c r="F84" i="15" s="1"/>
  <c r="B85" i="15" s="1"/>
  <c r="D85" i="15" l="1"/>
  <c r="E85" i="15" s="1"/>
  <c r="F85" i="15" s="1"/>
  <c r="B86" i="15" s="1"/>
  <c r="D86" i="15" l="1"/>
  <c r="E86" i="15" s="1"/>
  <c r="F86" i="15" s="1"/>
  <c r="B87" i="15" s="1"/>
  <c r="D87" i="15" l="1"/>
  <c r="E87" i="15" s="1"/>
  <c r="F87" i="15" s="1"/>
  <c r="B88" i="15" s="1"/>
  <c r="D88" i="15" l="1"/>
  <c r="E88" i="15" s="1"/>
  <c r="F88" i="15" s="1"/>
  <c r="B89" i="15" s="1"/>
  <c r="D89" i="15" l="1"/>
  <c r="E89" i="15" s="1"/>
  <c r="F89" i="15" s="1"/>
  <c r="B90" i="15" s="1"/>
  <c r="D90" i="15" l="1"/>
  <c r="E90" i="15" s="1"/>
  <c r="F90" i="15" s="1"/>
  <c r="B91" i="15" s="1"/>
  <c r="D91" i="15" l="1"/>
  <c r="E91" i="15" s="1"/>
  <c r="F91" i="15" s="1"/>
  <c r="B92" i="15" s="1"/>
  <c r="D92" i="15" l="1"/>
  <c r="E92" i="15" s="1"/>
  <c r="F92" i="15" s="1"/>
  <c r="B93" i="15" s="1"/>
  <c r="D93" i="15" l="1"/>
  <c r="E93" i="15" s="1"/>
  <c r="F93" i="15" s="1"/>
  <c r="B94" i="15" s="1"/>
  <c r="D94" i="15" l="1"/>
  <c r="E94" i="15" s="1"/>
  <c r="F94" i="15" s="1"/>
  <c r="B95" i="15" s="1"/>
  <c r="D95" i="15" l="1"/>
  <c r="E95" i="15" s="1"/>
  <c r="F95" i="15" s="1"/>
  <c r="B96" i="15" s="1"/>
  <c r="D96" i="15" l="1"/>
  <c r="E96" i="15" s="1"/>
  <c r="F96" i="15" s="1"/>
  <c r="B97" i="15" s="1"/>
  <c r="D97" i="15" l="1"/>
  <c r="E97" i="15" s="1"/>
  <c r="F97" i="15" s="1"/>
  <c r="B98" i="15" s="1"/>
  <c r="D98" i="15" l="1"/>
  <c r="E98" i="15" s="1"/>
  <c r="F98" i="15" s="1"/>
  <c r="B99" i="15" s="1"/>
  <c r="D99" i="15" l="1"/>
  <c r="E99" i="15" s="1"/>
  <c r="F99" i="15" s="1"/>
  <c r="B100" i="15" s="1"/>
  <c r="D100" i="15" l="1"/>
  <c r="E100" i="15" s="1"/>
  <c r="F100" i="15" s="1"/>
  <c r="B101" i="15" s="1"/>
  <c r="D101" i="15" l="1"/>
  <c r="E101" i="15" s="1"/>
  <c r="F101" i="15" s="1"/>
  <c r="B102" i="15" s="1"/>
  <c r="D102" i="15" l="1"/>
  <c r="E102" i="15" s="1"/>
  <c r="F102" i="15" s="1"/>
  <c r="B103" i="15" s="1"/>
  <c r="D103" i="15" l="1"/>
  <c r="E103" i="15" s="1"/>
  <c r="F103" i="15" s="1"/>
  <c r="B104" i="15" s="1"/>
  <c r="D104" i="15" l="1"/>
  <c r="E104" i="15" s="1"/>
  <c r="F104" i="15" s="1"/>
  <c r="B105" i="15" s="1"/>
  <c r="D105" i="15" l="1"/>
  <c r="E105" i="15" s="1"/>
  <c r="F105" i="15" s="1"/>
  <c r="B106" i="15" s="1"/>
  <c r="D106" i="15" l="1"/>
  <c r="E106" i="15" s="1"/>
  <c r="F106" i="15" s="1"/>
  <c r="B107" i="15" s="1"/>
  <c r="D107" i="15" l="1"/>
  <c r="E107" i="15" s="1"/>
  <c r="F107" i="15" s="1"/>
  <c r="B108" i="15" s="1"/>
  <c r="D108" i="15" l="1"/>
  <c r="E108" i="15" s="1"/>
  <c r="F108" i="15" s="1"/>
  <c r="B109" i="15" s="1"/>
  <c r="D109" i="15" l="1"/>
  <c r="E109" i="15" s="1"/>
  <c r="F109" i="15" s="1"/>
  <c r="B110" i="15" s="1"/>
  <c r="D110" i="15" l="1"/>
  <c r="E110" i="15" s="1"/>
  <c r="F110" i="15" s="1"/>
  <c r="B111" i="15" s="1"/>
  <c r="D111" i="15" l="1"/>
  <c r="E111" i="15" s="1"/>
  <c r="F111" i="15" s="1"/>
  <c r="B112" i="15" s="1"/>
  <c r="D112" i="15" l="1"/>
  <c r="E112" i="15" s="1"/>
  <c r="F112" i="15" s="1"/>
  <c r="B113" i="15" s="1"/>
  <c r="D113" i="15" l="1"/>
  <c r="E113" i="15" s="1"/>
  <c r="F113" i="15" s="1"/>
  <c r="B114" i="15" s="1"/>
  <c r="D114" i="15" l="1"/>
  <c r="E114" i="15" s="1"/>
  <c r="F114" i="15" s="1"/>
  <c r="B115" i="15" s="1"/>
  <c r="D115" i="15" l="1"/>
  <c r="E115" i="15" s="1"/>
  <c r="F115" i="15" s="1"/>
  <c r="B116" i="15" s="1"/>
  <c r="D116" i="15" l="1"/>
  <c r="E116" i="15" s="1"/>
  <c r="F116" i="15" s="1"/>
  <c r="B117" i="15" s="1"/>
  <c r="D117" i="15" l="1"/>
  <c r="E117" i="15" s="1"/>
  <c r="F117" i="15" s="1"/>
  <c r="B118" i="15" s="1"/>
  <c r="D118" i="15" l="1"/>
  <c r="E118" i="15" s="1"/>
  <c r="F118" i="15" s="1"/>
  <c r="B119" i="15" s="1"/>
  <c r="D119" i="15" l="1"/>
  <c r="E119" i="15" s="1"/>
  <c r="F119" i="15" s="1"/>
  <c r="B120" i="15" s="1"/>
  <c r="D120" i="15" l="1"/>
  <c r="E120" i="15" s="1"/>
  <c r="F120" i="15" s="1"/>
  <c r="B121" i="15" s="1"/>
  <c r="D121" i="15" l="1"/>
  <c r="E121" i="15" s="1"/>
  <c r="F121" i="15" s="1"/>
  <c r="B122" i="15" s="1"/>
  <c r="D122" i="15" l="1"/>
  <c r="E122" i="15" s="1"/>
  <c r="F122" i="15" s="1"/>
  <c r="B123" i="15" s="1"/>
  <c r="D123" i="15" l="1"/>
  <c r="E123" i="15" s="1"/>
  <c r="F123" i="15" s="1"/>
  <c r="B124" i="15" s="1"/>
  <c r="D124" i="15" l="1"/>
  <c r="E124" i="15" s="1"/>
  <c r="F124" i="15" s="1"/>
  <c r="B125" i="15" s="1"/>
  <c r="D125" i="15" l="1"/>
  <c r="E125" i="15" s="1"/>
  <c r="F125" i="15" s="1"/>
  <c r="B126" i="15" s="1"/>
  <c r="D126" i="15" l="1"/>
  <c r="E126" i="15" s="1"/>
  <c r="F126" i="15" s="1"/>
  <c r="B127" i="15" s="1"/>
  <c r="D127" i="15" l="1"/>
  <c r="E127" i="15" s="1"/>
  <c r="F127" i="15" s="1"/>
  <c r="B128" i="15" s="1"/>
  <c r="D128" i="15" l="1"/>
  <c r="E128" i="15" s="1"/>
  <c r="F128" i="15" s="1"/>
  <c r="B129" i="15" s="1"/>
  <c r="D129" i="15" l="1"/>
  <c r="E129" i="15" s="1"/>
  <c r="F129" i="15" s="1"/>
  <c r="B130" i="15" s="1"/>
  <c r="D130" i="15" l="1"/>
  <c r="E130" i="15" s="1"/>
  <c r="F130" i="15" s="1"/>
  <c r="B131" i="15" s="1"/>
  <c r="D131" i="15" l="1"/>
  <c r="E131" i="15" s="1"/>
  <c r="F131" i="15" s="1"/>
  <c r="B132" i="15" s="1"/>
  <c r="D132" i="15" l="1"/>
  <c r="E132" i="15" s="1"/>
  <c r="F132" i="15" s="1"/>
  <c r="B133" i="15" s="1"/>
  <c r="D133" i="15" l="1"/>
  <c r="E133" i="15" s="1"/>
  <c r="F133" i="15" s="1"/>
  <c r="B134" i="15" s="1"/>
  <c r="D134" i="15" l="1"/>
  <c r="E134" i="15" s="1"/>
  <c r="F134" i="15" s="1"/>
  <c r="B135" i="15" s="1"/>
  <c r="D135" i="15" l="1"/>
  <c r="E135" i="15" s="1"/>
  <c r="F135" i="15" s="1"/>
  <c r="B136" i="15" s="1"/>
  <c r="D136" i="15" l="1"/>
  <c r="E136" i="15" s="1"/>
  <c r="F136" i="15" s="1"/>
  <c r="B137" i="15" s="1"/>
  <c r="D137" i="15" l="1"/>
  <c r="E137" i="15" s="1"/>
  <c r="F137" i="15" s="1"/>
  <c r="B138" i="15" s="1"/>
  <c r="D138" i="15" l="1"/>
  <c r="E138" i="15" s="1"/>
  <c r="F138" i="15" s="1"/>
  <c r="B139" i="15" s="1"/>
  <c r="D139" i="15" l="1"/>
  <c r="E139" i="15" s="1"/>
  <c r="F139" i="15" s="1"/>
  <c r="B140" i="15" s="1"/>
  <c r="D140" i="15" l="1"/>
  <c r="E140" i="15" s="1"/>
  <c r="F140" i="15" s="1"/>
  <c r="B141" i="15" s="1"/>
  <c r="D141" i="15" l="1"/>
  <c r="E141" i="15" s="1"/>
  <c r="F141" i="15" s="1"/>
  <c r="B142" i="15" s="1"/>
  <c r="D142" i="15" l="1"/>
  <c r="E142" i="15" s="1"/>
  <c r="F142" i="15" s="1"/>
  <c r="B143" i="15" s="1"/>
  <c r="D143" i="15" l="1"/>
  <c r="E143" i="15" s="1"/>
  <c r="F143" i="15" s="1"/>
  <c r="B144" i="15" s="1"/>
  <c r="D144" i="15" l="1"/>
  <c r="E144" i="15" s="1"/>
  <c r="F144" i="15" s="1"/>
  <c r="B145" i="15" s="1"/>
  <c r="D145" i="15" l="1"/>
  <c r="E145" i="15" s="1"/>
  <c r="F145" i="15" s="1"/>
  <c r="B146" i="15" s="1"/>
  <c r="D146" i="15" l="1"/>
  <c r="E146" i="15" s="1"/>
  <c r="F146" i="15" s="1"/>
  <c r="B147" i="15" s="1"/>
  <c r="D147" i="15" l="1"/>
  <c r="E147" i="15" s="1"/>
  <c r="F147" i="15" s="1"/>
  <c r="B148" i="15" s="1"/>
  <c r="D148" i="15" l="1"/>
  <c r="E148" i="15" s="1"/>
  <c r="F148" i="15" s="1"/>
  <c r="B149" i="15" s="1"/>
  <c r="D149" i="15" l="1"/>
  <c r="E149" i="15" s="1"/>
  <c r="F149" i="15" s="1"/>
  <c r="B150" i="15" s="1"/>
  <c r="D150" i="15" l="1"/>
  <c r="E150" i="15" s="1"/>
  <c r="F150" i="15" s="1"/>
  <c r="B151" i="15" s="1"/>
  <c r="D151" i="15" l="1"/>
  <c r="E151" i="15" s="1"/>
  <c r="F151" i="15" s="1"/>
  <c r="B152" i="15" s="1"/>
  <c r="D152" i="15" l="1"/>
  <c r="E152" i="15" s="1"/>
  <c r="F152" i="15" s="1"/>
  <c r="B153" i="15" s="1"/>
  <c r="D153" i="15" l="1"/>
  <c r="E153" i="15" s="1"/>
  <c r="F153" i="15" s="1"/>
  <c r="B154" i="15" s="1"/>
  <c r="D154" i="15" l="1"/>
  <c r="E154" i="15" s="1"/>
  <c r="F154" i="15" s="1"/>
  <c r="B155" i="15" s="1"/>
  <c r="D155" i="15" l="1"/>
  <c r="E155" i="15" s="1"/>
  <c r="F155" i="15" s="1"/>
  <c r="B156" i="15" s="1"/>
  <c r="D156" i="15" l="1"/>
  <c r="E156" i="15" s="1"/>
  <c r="F156" i="15" s="1"/>
  <c r="B157" i="15" s="1"/>
  <c r="D157" i="15" l="1"/>
  <c r="E157" i="15" s="1"/>
  <c r="F157" i="15" s="1"/>
  <c r="B158" i="15" s="1"/>
  <c r="D158" i="15" l="1"/>
  <c r="E158" i="15" s="1"/>
  <c r="F158" i="15" s="1"/>
  <c r="B159" i="15" s="1"/>
  <c r="D159" i="15" l="1"/>
  <c r="E159" i="15" s="1"/>
  <c r="F159" i="15" s="1"/>
  <c r="B160" i="15" s="1"/>
  <c r="D160" i="15" l="1"/>
  <c r="E160" i="15" s="1"/>
  <c r="F160" i="15" s="1"/>
  <c r="B161" i="15" s="1"/>
  <c r="D161" i="15" l="1"/>
  <c r="E161" i="15" s="1"/>
  <c r="F161" i="15" s="1"/>
  <c r="B162" i="15" s="1"/>
  <c r="D162" i="15" l="1"/>
  <c r="E162" i="15" s="1"/>
  <c r="F162" i="15" s="1"/>
  <c r="B163" i="15" s="1"/>
  <c r="D163" i="15" l="1"/>
  <c r="E163" i="15" s="1"/>
  <c r="F163" i="15" s="1"/>
  <c r="B164" i="15" s="1"/>
  <c r="D164" i="15" l="1"/>
  <c r="E164" i="15" s="1"/>
  <c r="F164" i="15" s="1"/>
  <c r="B165" i="15" s="1"/>
  <c r="D165" i="15" l="1"/>
  <c r="E165" i="15" s="1"/>
  <c r="F165" i="15" s="1"/>
  <c r="B166" i="15" s="1"/>
  <c r="D166" i="15" l="1"/>
  <c r="E166" i="15" s="1"/>
  <c r="F166" i="15" s="1"/>
  <c r="B167" i="15" s="1"/>
  <c r="D167" i="15" l="1"/>
  <c r="E167" i="15" s="1"/>
  <c r="F167" i="15" s="1"/>
  <c r="B168" i="15" s="1"/>
  <c r="D168" i="15" l="1"/>
  <c r="E168" i="15" s="1"/>
  <c r="F168" i="15" s="1"/>
  <c r="B169" i="15" s="1"/>
  <c r="D169" i="15" l="1"/>
  <c r="E169" i="15" s="1"/>
  <c r="F169" i="15" s="1"/>
  <c r="B170" i="15" s="1"/>
  <c r="D170" i="15" l="1"/>
  <c r="E170" i="15" s="1"/>
  <c r="F170" i="15" s="1"/>
  <c r="B171" i="15" s="1"/>
  <c r="D171" i="15" l="1"/>
  <c r="E171" i="15" s="1"/>
  <c r="F171" i="15" s="1"/>
  <c r="B172" i="15" s="1"/>
  <c r="D172" i="15" l="1"/>
  <c r="E172" i="15" s="1"/>
  <c r="F172" i="15" s="1"/>
  <c r="B173" i="15" s="1"/>
  <c r="D173" i="15" l="1"/>
  <c r="E173" i="15" s="1"/>
  <c r="F173" i="15" s="1"/>
  <c r="B174" i="15" s="1"/>
  <c r="D174" i="15" l="1"/>
  <c r="E174" i="15" s="1"/>
  <c r="F174" i="15" s="1"/>
  <c r="B175" i="15" s="1"/>
  <c r="D175" i="15" l="1"/>
  <c r="E175" i="15" s="1"/>
  <c r="F175" i="15" s="1"/>
  <c r="B176" i="15" s="1"/>
  <c r="D176" i="15" l="1"/>
  <c r="E176" i="15" s="1"/>
  <c r="F176" i="15" s="1"/>
  <c r="B177" i="15" s="1"/>
  <c r="D177" i="15" l="1"/>
  <c r="E177" i="15" s="1"/>
  <c r="F177" i="15" s="1"/>
  <c r="B178" i="15" s="1"/>
  <c r="D178" i="15" l="1"/>
  <c r="E178" i="15" s="1"/>
  <c r="F178" i="15" s="1"/>
  <c r="B179" i="15" s="1"/>
  <c r="D179" i="15" l="1"/>
  <c r="E179" i="15" s="1"/>
  <c r="F179" i="15" s="1"/>
  <c r="B180" i="15" s="1"/>
  <c r="D180" i="15" l="1"/>
  <c r="E180" i="15" s="1"/>
  <c r="F180" i="15" s="1"/>
  <c r="B181" i="15" s="1"/>
  <c r="D181" i="15" l="1"/>
  <c r="E181" i="15" s="1"/>
  <c r="F181" i="15" s="1"/>
  <c r="B182" i="15" s="1"/>
  <c r="D182" i="15" l="1"/>
  <c r="E182" i="15" s="1"/>
  <c r="F182" i="15" s="1"/>
  <c r="B183" i="15" s="1"/>
  <c r="D183" i="15" l="1"/>
  <c r="E183" i="15" s="1"/>
  <c r="F183" i="15" s="1"/>
  <c r="B184" i="15" s="1"/>
  <c r="D184" i="15" l="1"/>
  <c r="E184" i="15" s="1"/>
  <c r="F184" i="15" s="1"/>
  <c r="B185" i="15" s="1"/>
  <c r="D185" i="15" l="1"/>
  <c r="E185" i="15" s="1"/>
  <c r="F185" i="15" s="1"/>
  <c r="B186" i="15" s="1"/>
  <c r="D186" i="15" l="1"/>
  <c r="E186" i="15" s="1"/>
  <c r="F186" i="15" s="1"/>
  <c r="B187" i="15" s="1"/>
  <c r="D187" i="15" l="1"/>
  <c r="E187" i="15" s="1"/>
  <c r="F187" i="15" s="1"/>
  <c r="B188" i="15" s="1"/>
  <c r="D188" i="15" l="1"/>
  <c r="E188" i="15" s="1"/>
  <c r="F188" i="15" s="1"/>
  <c r="B189" i="15" s="1"/>
  <c r="D189" i="15" l="1"/>
  <c r="E189" i="15" s="1"/>
  <c r="F189" i="15" s="1"/>
  <c r="B190" i="15" s="1"/>
  <c r="D190" i="15" l="1"/>
  <c r="E190" i="15" s="1"/>
  <c r="F190" i="15" s="1"/>
  <c r="B191" i="15" s="1"/>
  <c r="D191" i="15" l="1"/>
  <c r="E191" i="15" s="1"/>
  <c r="F191" i="15" s="1"/>
  <c r="B192" i="15" s="1"/>
  <c r="D192" i="15" l="1"/>
  <c r="E192" i="15" s="1"/>
  <c r="F192" i="15" s="1"/>
  <c r="B193" i="15" s="1"/>
  <c r="D193" i="15" l="1"/>
  <c r="E193" i="15" s="1"/>
  <c r="F193" i="15" s="1"/>
  <c r="B194" i="15" s="1"/>
  <c r="D194" i="15" l="1"/>
  <c r="E194" i="15" s="1"/>
  <c r="F194" i="15" s="1"/>
  <c r="B195" i="15" s="1"/>
  <c r="D195" i="15" l="1"/>
  <c r="E195" i="15" s="1"/>
  <c r="F195" i="15" s="1"/>
  <c r="B196" i="15" s="1"/>
  <c r="D196" i="15" l="1"/>
  <c r="E196" i="15" s="1"/>
  <c r="F196" i="15" s="1"/>
  <c r="B197" i="15" s="1"/>
  <c r="D197" i="15" l="1"/>
  <c r="E197" i="15" s="1"/>
  <c r="F197" i="15" s="1"/>
  <c r="B198" i="15" s="1"/>
  <c r="D198" i="15" l="1"/>
  <c r="E198" i="15" s="1"/>
  <c r="F198" i="15" s="1"/>
  <c r="B199" i="15" s="1"/>
  <c r="D199" i="15" l="1"/>
  <c r="E199" i="15" s="1"/>
  <c r="F199" i="15" s="1"/>
  <c r="B200" i="15" s="1"/>
  <c r="D200" i="15" l="1"/>
  <c r="E200" i="15" s="1"/>
  <c r="F200" i="15" s="1"/>
  <c r="B201" i="15" s="1"/>
  <c r="D201" i="15" l="1"/>
  <c r="E201" i="15" s="1"/>
  <c r="F201" i="15" s="1"/>
  <c r="B202" i="15" s="1"/>
  <c r="D202" i="15" l="1"/>
  <c r="E202" i="15" s="1"/>
  <c r="F202" i="15" s="1"/>
  <c r="B203" i="15" s="1"/>
  <c r="D203" i="15" l="1"/>
  <c r="E203" i="15" s="1"/>
  <c r="F203" i="15" s="1"/>
  <c r="B204" i="15" s="1"/>
  <c r="D204" i="15" l="1"/>
  <c r="E204" i="15" s="1"/>
  <c r="F204" i="15" s="1"/>
  <c r="B205" i="15" s="1"/>
  <c r="D205" i="15" l="1"/>
  <c r="E205" i="15" s="1"/>
  <c r="F205" i="15" s="1"/>
  <c r="B206" i="15" s="1"/>
  <c r="D206" i="15" l="1"/>
  <c r="E206" i="15" s="1"/>
  <c r="F206" i="15" s="1"/>
  <c r="B207" i="15" s="1"/>
  <c r="D207" i="15" l="1"/>
  <c r="E207" i="15" s="1"/>
  <c r="F207" i="15" s="1"/>
  <c r="B208" i="15" s="1"/>
  <c r="D208" i="15" l="1"/>
  <c r="E208" i="15" s="1"/>
  <c r="F208" i="15" s="1"/>
  <c r="B209" i="15" s="1"/>
  <c r="D209" i="15" l="1"/>
  <c r="E209" i="15" s="1"/>
  <c r="F209" i="15" s="1"/>
  <c r="B210" i="15" s="1"/>
  <c r="D210" i="15" l="1"/>
  <c r="E210" i="15" s="1"/>
  <c r="F210" i="15" s="1"/>
  <c r="B211" i="15" s="1"/>
  <c r="D211" i="15" l="1"/>
  <c r="E211" i="15" s="1"/>
  <c r="F211" i="15" s="1"/>
  <c r="B212" i="15" s="1"/>
  <c r="D212" i="15" l="1"/>
  <c r="E212" i="15" s="1"/>
  <c r="F212" i="15" s="1"/>
  <c r="B213" i="15" s="1"/>
  <c r="D213" i="15" l="1"/>
  <c r="E213" i="15" s="1"/>
  <c r="F213" i="15" s="1"/>
  <c r="B214" i="15" s="1"/>
  <c r="D214" i="15" l="1"/>
  <c r="E214" i="15" s="1"/>
  <c r="F214" i="15" s="1"/>
  <c r="B215" i="15" s="1"/>
  <c r="D215" i="15" l="1"/>
  <c r="E215" i="15" s="1"/>
  <c r="F215" i="15" s="1"/>
  <c r="B216" i="15" s="1"/>
  <c r="D216" i="15" l="1"/>
  <c r="E216" i="15" s="1"/>
  <c r="F216" i="15" s="1"/>
  <c r="B217" i="15" s="1"/>
  <c r="D217" i="15" l="1"/>
  <c r="E217" i="15" s="1"/>
  <c r="F217" i="15" s="1"/>
  <c r="B218" i="15" s="1"/>
  <c r="D218" i="15" l="1"/>
  <c r="E218" i="15" s="1"/>
  <c r="F218" i="15" s="1"/>
  <c r="B219" i="15" s="1"/>
  <c r="D219" i="15" l="1"/>
  <c r="E219" i="15" s="1"/>
  <c r="F219" i="15" s="1"/>
  <c r="B220" i="15" s="1"/>
  <c r="D220" i="15" l="1"/>
  <c r="E220" i="15" s="1"/>
  <c r="F220" i="15" s="1"/>
  <c r="B221" i="15" s="1"/>
  <c r="D221" i="15" l="1"/>
  <c r="E221" i="15" s="1"/>
  <c r="F221" i="15" s="1"/>
  <c r="B222" i="15" s="1"/>
  <c r="D222" i="15" l="1"/>
  <c r="E222" i="15" s="1"/>
  <c r="F222" i="15" s="1"/>
  <c r="B223" i="15" s="1"/>
  <c r="D223" i="15" l="1"/>
  <c r="E223" i="15" s="1"/>
  <c r="F223" i="15" s="1"/>
  <c r="B224" i="15" s="1"/>
  <c r="D224" i="15" l="1"/>
  <c r="E224" i="15" s="1"/>
  <c r="F224" i="15" s="1"/>
  <c r="B225" i="15" s="1"/>
  <c r="D225" i="15" l="1"/>
  <c r="E225" i="15" s="1"/>
  <c r="F225" i="15" s="1"/>
  <c r="B226" i="15" s="1"/>
  <c r="D226" i="15" l="1"/>
  <c r="E226" i="15" s="1"/>
  <c r="F226" i="15" s="1"/>
  <c r="B227" i="15" s="1"/>
  <c r="D227" i="15" l="1"/>
  <c r="E227" i="15" s="1"/>
  <c r="F227" i="15" s="1"/>
  <c r="B228" i="15" s="1"/>
  <c r="D228" i="15" l="1"/>
  <c r="E228" i="15" s="1"/>
  <c r="F228" i="15" s="1"/>
  <c r="B229" i="15" s="1"/>
  <c r="D229" i="15" l="1"/>
  <c r="E229" i="15" s="1"/>
  <c r="F229" i="15" s="1"/>
  <c r="B230" i="15" s="1"/>
  <c r="D230" i="15" l="1"/>
  <c r="E230" i="15" s="1"/>
  <c r="F230" i="15" s="1"/>
  <c r="B231" i="15" s="1"/>
  <c r="D231" i="15" l="1"/>
  <c r="E231" i="15" s="1"/>
  <c r="F231" i="15" s="1"/>
  <c r="B232" i="15" s="1"/>
  <c r="D232" i="15" l="1"/>
  <c r="E232" i="15" s="1"/>
  <c r="F232" i="15" s="1"/>
  <c r="B233" i="15" s="1"/>
  <c r="D233" i="15" l="1"/>
  <c r="E233" i="15" s="1"/>
  <c r="F233" i="15" s="1"/>
  <c r="B234" i="15" s="1"/>
  <c r="D234" i="15" l="1"/>
  <c r="E234" i="15" s="1"/>
  <c r="F234" i="15" s="1"/>
  <c r="B235" i="15" s="1"/>
  <c r="D235" i="15" l="1"/>
  <c r="E235" i="15" s="1"/>
  <c r="F235" i="15" s="1"/>
  <c r="B236" i="15" s="1"/>
  <c r="D236" i="15" l="1"/>
  <c r="E236" i="15" s="1"/>
  <c r="F236" i="15" s="1"/>
  <c r="B237" i="15" s="1"/>
  <c r="D237" i="15" l="1"/>
  <c r="E237" i="15" s="1"/>
  <c r="F237" i="15" s="1"/>
  <c r="B238" i="15" s="1"/>
  <c r="D238" i="15" l="1"/>
  <c r="E238" i="15" s="1"/>
  <c r="F238" i="15" s="1"/>
  <c r="B239" i="15" s="1"/>
  <c r="D239" i="15" l="1"/>
  <c r="E239" i="15" s="1"/>
  <c r="F239" i="15" s="1"/>
  <c r="B240" i="15" s="1"/>
  <c r="D240" i="15" l="1"/>
  <c r="E240" i="15" s="1"/>
  <c r="F240" i="15" s="1"/>
  <c r="B241" i="15" s="1"/>
  <c r="D241" i="15" l="1"/>
  <c r="E241" i="15" s="1"/>
  <c r="F241" i="15" s="1"/>
  <c r="B242" i="15" s="1"/>
  <c r="D242" i="15" l="1"/>
  <c r="E242" i="15" s="1"/>
  <c r="F242" i="15" s="1"/>
  <c r="B243" i="15" s="1"/>
  <c r="D243" i="15" l="1"/>
  <c r="E243" i="15" s="1"/>
  <c r="F243" i="15" s="1"/>
  <c r="B244" i="15" s="1"/>
  <c r="D244" i="15" l="1"/>
  <c r="E244" i="15" s="1"/>
  <c r="F244" i="15" s="1"/>
  <c r="B245" i="15" s="1"/>
  <c r="D245" i="15" l="1"/>
  <c r="E245" i="15" s="1"/>
  <c r="F245" i="15" s="1"/>
  <c r="B246" i="15" s="1"/>
  <c r="D246" i="15" l="1"/>
  <c r="E246" i="15" s="1"/>
  <c r="F246" i="15" s="1"/>
  <c r="B247" i="15" s="1"/>
  <c r="D247" i="15" l="1"/>
  <c r="E247" i="15" s="1"/>
  <c r="F247" i="15" s="1"/>
  <c r="B248" i="15" s="1"/>
  <c r="D248" i="15" l="1"/>
  <c r="E248" i="15" s="1"/>
  <c r="F248" i="15" s="1"/>
  <c r="B249" i="15" s="1"/>
  <c r="D249" i="15" l="1"/>
  <c r="E249" i="15" s="1"/>
  <c r="F249" i="15" s="1"/>
  <c r="B250" i="15" s="1"/>
  <c r="D250" i="15" l="1"/>
  <c r="E250" i="15" s="1"/>
  <c r="F250" i="15" s="1"/>
  <c r="B251" i="15" s="1"/>
  <c r="D251" i="15" l="1"/>
  <c r="E251" i="15" s="1"/>
  <c r="F251" i="15" s="1"/>
  <c r="B252" i="15" s="1"/>
  <c r="D252" i="15" l="1"/>
  <c r="E252" i="15" s="1"/>
  <c r="F252" i="15" s="1"/>
  <c r="B253" i="15" s="1"/>
  <c r="D253" i="15" l="1"/>
  <c r="E253" i="15" s="1"/>
  <c r="F253" i="15" s="1"/>
  <c r="B254" i="15" s="1"/>
  <c r="D254" i="15" l="1"/>
  <c r="E254" i="15" s="1"/>
  <c r="F254" i="15" s="1"/>
  <c r="B255" i="15" s="1"/>
  <c r="D255" i="15" l="1"/>
  <c r="E255" i="15" s="1"/>
  <c r="F255" i="15" s="1"/>
  <c r="B256" i="15" s="1"/>
  <c r="D256" i="15" l="1"/>
  <c r="E256" i="15" s="1"/>
  <c r="F256" i="15" s="1"/>
  <c r="B257" i="15" s="1"/>
  <c r="D257" i="15" l="1"/>
  <c r="E257" i="15" s="1"/>
  <c r="F257" i="15" s="1"/>
  <c r="B258" i="15" s="1"/>
  <c r="D258" i="15" l="1"/>
  <c r="E258" i="15" s="1"/>
  <c r="F258" i="15" s="1"/>
  <c r="B259" i="15" s="1"/>
  <c r="D259" i="15" l="1"/>
  <c r="E259" i="15" s="1"/>
  <c r="F259" i="15" s="1"/>
  <c r="B260" i="15" s="1"/>
  <c r="D260" i="15" l="1"/>
  <c r="E260" i="15" s="1"/>
  <c r="F260" i="15" s="1"/>
  <c r="B261" i="15" s="1"/>
  <c r="D261" i="15" l="1"/>
  <c r="E261" i="15" s="1"/>
  <c r="F261" i="15" s="1"/>
  <c r="B262" i="15" s="1"/>
  <c r="D262" i="15" l="1"/>
  <c r="E262" i="15" s="1"/>
  <c r="F262" i="15" s="1"/>
  <c r="B263" i="15" s="1"/>
  <c r="D263" i="15" l="1"/>
  <c r="E263" i="15" s="1"/>
  <c r="F263" i="15" s="1"/>
  <c r="B264" i="15" s="1"/>
  <c r="D264" i="15" l="1"/>
  <c r="E264" i="15" s="1"/>
  <c r="F264" i="15" s="1"/>
  <c r="B265" i="15" s="1"/>
  <c r="D265" i="15" l="1"/>
  <c r="E265" i="15" s="1"/>
  <c r="F265" i="15" s="1"/>
  <c r="B266" i="15" s="1"/>
  <c r="D266" i="15" l="1"/>
  <c r="E266" i="15" s="1"/>
  <c r="F266" i="15" s="1"/>
  <c r="B267" i="15" s="1"/>
  <c r="D267" i="15" l="1"/>
  <c r="E267" i="15" s="1"/>
  <c r="F267" i="15" s="1"/>
  <c r="B268" i="15" s="1"/>
  <c r="D268" i="15" l="1"/>
  <c r="E268" i="15" s="1"/>
  <c r="F268" i="15" s="1"/>
  <c r="B269" i="15" s="1"/>
  <c r="D269" i="15" l="1"/>
  <c r="E269" i="15" s="1"/>
  <c r="F269" i="15" s="1"/>
  <c r="B270" i="15" s="1"/>
  <c r="D270" i="15" l="1"/>
  <c r="E270" i="15" s="1"/>
  <c r="F270" i="15" s="1"/>
  <c r="B271" i="15" s="1"/>
  <c r="D271" i="15" l="1"/>
  <c r="E271" i="15" s="1"/>
  <c r="F271" i="15" s="1"/>
  <c r="B272" i="15" s="1"/>
  <c r="D272" i="15" l="1"/>
  <c r="E272" i="15" s="1"/>
  <c r="F272" i="15" s="1"/>
  <c r="B273" i="15" s="1"/>
  <c r="D273" i="15" l="1"/>
  <c r="E273" i="15" s="1"/>
  <c r="F273" i="15" s="1"/>
  <c r="B274" i="15" s="1"/>
  <c r="D274" i="15" l="1"/>
  <c r="E274" i="15" s="1"/>
  <c r="F274" i="15" s="1"/>
  <c r="B275" i="15" s="1"/>
  <c r="D275" i="15" l="1"/>
  <c r="E275" i="15" s="1"/>
  <c r="F275" i="15" s="1"/>
  <c r="B276" i="15" s="1"/>
  <c r="D276" i="15" l="1"/>
  <c r="E276" i="15" s="1"/>
  <c r="F276" i="15" s="1"/>
  <c r="B277" i="15" s="1"/>
  <c r="D277" i="15" l="1"/>
  <c r="E277" i="15" s="1"/>
  <c r="F277" i="15" s="1"/>
  <c r="B278" i="15" s="1"/>
  <c r="D278" i="15" l="1"/>
  <c r="E278" i="15" s="1"/>
  <c r="F278" i="15" s="1"/>
  <c r="B279" i="15" s="1"/>
  <c r="D279" i="15" l="1"/>
  <c r="E279" i="15" s="1"/>
  <c r="F279" i="15" s="1"/>
  <c r="B280" i="15" s="1"/>
  <c r="D280" i="15" l="1"/>
  <c r="E280" i="15" s="1"/>
  <c r="F280" i="15" s="1"/>
  <c r="B281" i="15" s="1"/>
  <c r="D281" i="15" l="1"/>
  <c r="E281" i="15" s="1"/>
  <c r="F281" i="15" s="1"/>
  <c r="B282" i="15" s="1"/>
  <c r="D282" i="15" l="1"/>
  <c r="E282" i="15" s="1"/>
  <c r="F282" i="15" s="1"/>
  <c r="B283" i="15" s="1"/>
  <c r="D283" i="15" l="1"/>
  <c r="E283" i="15" s="1"/>
  <c r="F283" i="15" s="1"/>
  <c r="B284" i="15" s="1"/>
  <c r="D284" i="15" l="1"/>
  <c r="E284" i="15" s="1"/>
  <c r="F284" i="15" s="1"/>
  <c r="B285" i="15" s="1"/>
  <c r="D285" i="15" l="1"/>
  <c r="E285" i="15" s="1"/>
  <c r="F285" i="15" s="1"/>
  <c r="B286" i="15" s="1"/>
  <c r="D286" i="15" l="1"/>
  <c r="E286" i="15" s="1"/>
  <c r="F286" i="15" s="1"/>
  <c r="B287" i="15" s="1"/>
  <c r="D287" i="15" l="1"/>
  <c r="E287" i="15" s="1"/>
  <c r="F287" i="15" s="1"/>
  <c r="B288" i="15" s="1"/>
  <c r="D288" i="15" l="1"/>
  <c r="E288" i="15" s="1"/>
  <c r="F288" i="15" s="1"/>
  <c r="B289" i="15" s="1"/>
  <c r="D289" i="15" l="1"/>
  <c r="E289" i="15" s="1"/>
  <c r="F289" i="15" s="1"/>
  <c r="B290" i="15" s="1"/>
  <c r="D290" i="15" l="1"/>
  <c r="E290" i="15" s="1"/>
  <c r="F290" i="15" s="1"/>
  <c r="B291" i="15" s="1"/>
  <c r="D291" i="15" l="1"/>
  <c r="E291" i="15" s="1"/>
  <c r="F291" i="15" s="1"/>
  <c r="B292" i="15" s="1"/>
  <c r="D292" i="15" l="1"/>
  <c r="E292" i="15" s="1"/>
  <c r="F292" i="15" s="1"/>
  <c r="B293" i="15" s="1"/>
  <c r="D293" i="15" l="1"/>
  <c r="E293" i="15" s="1"/>
  <c r="F293" i="15" s="1"/>
  <c r="B294" i="15" s="1"/>
  <c r="D294" i="15" l="1"/>
  <c r="E294" i="15" s="1"/>
  <c r="F294" i="15" s="1"/>
  <c r="B295" i="15" s="1"/>
  <c r="D295" i="15" l="1"/>
  <c r="E295" i="15" s="1"/>
  <c r="F295" i="15" s="1"/>
  <c r="B296" i="15" s="1"/>
  <c r="D296" i="15" l="1"/>
  <c r="E296" i="15" s="1"/>
  <c r="F296" i="15" s="1"/>
  <c r="B297" i="15" s="1"/>
  <c r="D297" i="15" l="1"/>
  <c r="E297" i="15" s="1"/>
  <c r="F297" i="15" s="1"/>
  <c r="B298" i="15" s="1"/>
  <c r="D298" i="15" l="1"/>
  <c r="E298" i="15" s="1"/>
  <c r="F298" i="15" s="1"/>
  <c r="B299" i="15" s="1"/>
  <c r="D299" i="15" l="1"/>
  <c r="E299" i="15" s="1"/>
  <c r="F299" i="15" s="1"/>
  <c r="B300" i="15" s="1"/>
  <c r="D300" i="15" l="1"/>
  <c r="E300" i="15" s="1"/>
  <c r="F300" i="15" s="1"/>
  <c r="B301" i="15" s="1"/>
  <c r="D301" i="15" l="1"/>
  <c r="E301" i="15" s="1"/>
  <c r="F301" i="15" s="1"/>
  <c r="B302" i="15" s="1"/>
  <c r="D302" i="15" l="1"/>
  <c r="E302" i="15" s="1"/>
  <c r="F302" i="15" s="1"/>
  <c r="B303" i="15" s="1"/>
  <c r="D303" i="15" l="1"/>
  <c r="E303" i="15" s="1"/>
  <c r="F303" i="15" s="1"/>
  <c r="B304" i="15" s="1"/>
  <c r="D304" i="15" l="1"/>
  <c r="E304" i="15" s="1"/>
  <c r="F304" i="15" s="1"/>
  <c r="B305" i="15" s="1"/>
  <c r="D305" i="15" l="1"/>
  <c r="E305" i="15" s="1"/>
  <c r="F305" i="15" s="1"/>
  <c r="B306" i="15" s="1"/>
  <c r="D306" i="15" l="1"/>
  <c r="E306" i="15" s="1"/>
  <c r="F306" i="15" s="1"/>
  <c r="B307" i="15" s="1"/>
  <c r="D307" i="15" l="1"/>
  <c r="E307" i="15" s="1"/>
  <c r="F307" i="15" s="1"/>
  <c r="B308" i="15" s="1"/>
  <c r="D308" i="15" l="1"/>
  <c r="E308" i="15" s="1"/>
  <c r="F308" i="15" s="1"/>
  <c r="B309" i="15" s="1"/>
  <c r="D309" i="15" l="1"/>
  <c r="E309" i="15" s="1"/>
  <c r="F309" i="15" s="1"/>
  <c r="B310" i="15" s="1"/>
  <c r="D310" i="15" l="1"/>
  <c r="E310" i="15" s="1"/>
  <c r="F310" i="15" s="1"/>
  <c r="B311" i="15" s="1"/>
  <c r="D311" i="15" l="1"/>
  <c r="E311" i="15" s="1"/>
  <c r="F311" i="15" s="1"/>
  <c r="B312" i="15" s="1"/>
  <c r="D312" i="15" l="1"/>
  <c r="E312" i="15" s="1"/>
  <c r="F312" i="15" s="1"/>
  <c r="B313" i="15" s="1"/>
  <c r="D313" i="15" l="1"/>
  <c r="E313" i="15" s="1"/>
  <c r="F313" i="15" s="1"/>
  <c r="B314" i="15" s="1"/>
  <c r="D314" i="15" l="1"/>
  <c r="E314" i="15" s="1"/>
  <c r="F314" i="15" s="1"/>
  <c r="B315" i="15" s="1"/>
  <c r="D315" i="15" l="1"/>
  <c r="E315" i="15" s="1"/>
  <c r="F315" i="15" s="1"/>
  <c r="B316" i="15" s="1"/>
  <c r="D316" i="15" l="1"/>
  <c r="E316" i="15" s="1"/>
  <c r="F316" i="15" s="1"/>
  <c r="B317" i="15" s="1"/>
  <c r="D317" i="15" l="1"/>
  <c r="E317" i="15" s="1"/>
  <c r="F317" i="15" s="1"/>
  <c r="B318" i="15" s="1"/>
  <c r="D318" i="15" l="1"/>
  <c r="E318" i="15" s="1"/>
  <c r="F318" i="15" s="1"/>
  <c r="B319" i="15" s="1"/>
  <c r="D319" i="15" l="1"/>
  <c r="E319" i="15" s="1"/>
  <c r="F319" i="15" s="1"/>
  <c r="B320" i="15" s="1"/>
  <c r="D320" i="15" l="1"/>
  <c r="E320" i="15" s="1"/>
  <c r="F320" i="15" s="1"/>
  <c r="B321" i="15" s="1"/>
  <c r="D321" i="15" l="1"/>
  <c r="E321" i="15" s="1"/>
  <c r="F321" i="15" s="1"/>
  <c r="B322" i="15" s="1"/>
  <c r="D322" i="15" l="1"/>
  <c r="E322" i="15" s="1"/>
  <c r="F322" i="15" s="1"/>
  <c r="B323" i="15" s="1"/>
  <c r="D323" i="15" l="1"/>
  <c r="E323" i="15" s="1"/>
  <c r="F323" i="15" s="1"/>
  <c r="B324" i="15" s="1"/>
  <c r="D324" i="15" l="1"/>
  <c r="E324" i="15" s="1"/>
  <c r="F324" i="15" s="1"/>
  <c r="B325" i="15" s="1"/>
  <c r="D325" i="15" l="1"/>
  <c r="E325" i="15" s="1"/>
  <c r="F325" i="15" s="1"/>
  <c r="B326" i="15" s="1"/>
  <c r="D326" i="15" l="1"/>
  <c r="E326" i="15" s="1"/>
  <c r="F326" i="15" s="1"/>
  <c r="B327" i="15" s="1"/>
  <c r="D327" i="15" l="1"/>
  <c r="E327" i="15" s="1"/>
  <c r="F327" i="15" s="1"/>
  <c r="B328" i="15" s="1"/>
  <c r="D328" i="15" l="1"/>
  <c r="E328" i="15" s="1"/>
  <c r="F328" i="15" s="1"/>
  <c r="B329" i="15" s="1"/>
  <c r="D329" i="15" l="1"/>
  <c r="E329" i="15" s="1"/>
  <c r="F329" i="15" s="1"/>
  <c r="B330" i="15" s="1"/>
  <c r="D330" i="15" l="1"/>
  <c r="E330" i="15" s="1"/>
  <c r="F330" i="15" s="1"/>
  <c r="B331" i="15" s="1"/>
  <c r="D331" i="15" l="1"/>
  <c r="E331" i="15" s="1"/>
  <c r="F331" i="15" s="1"/>
  <c r="B332" i="15" s="1"/>
  <c r="D332" i="15" l="1"/>
  <c r="E332" i="15" s="1"/>
  <c r="F332" i="15" s="1"/>
  <c r="B333" i="15" s="1"/>
  <c r="D333" i="15" l="1"/>
  <c r="E333" i="15" s="1"/>
  <c r="F333" i="15" s="1"/>
  <c r="B334" i="15" s="1"/>
  <c r="D334" i="15" l="1"/>
  <c r="E334" i="15" s="1"/>
  <c r="F334" i="15" s="1"/>
  <c r="B335" i="15" s="1"/>
  <c r="D335" i="15" l="1"/>
  <c r="E335" i="15" s="1"/>
  <c r="F335" i="15" s="1"/>
  <c r="B336" i="15" s="1"/>
  <c r="D336" i="15" l="1"/>
  <c r="E336" i="15" s="1"/>
  <c r="F336" i="15" s="1"/>
  <c r="B337" i="15" s="1"/>
  <c r="D337" i="15" l="1"/>
  <c r="E337" i="15" s="1"/>
  <c r="F337" i="15" s="1"/>
  <c r="B338" i="15" s="1"/>
  <c r="D338" i="15" l="1"/>
  <c r="E338" i="15" s="1"/>
  <c r="F338" i="15" s="1"/>
  <c r="B339" i="15" s="1"/>
  <c r="D339" i="15" l="1"/>
  <c r="E339" i="15" s="1"/>
  <c r="F339" i="15" s="1"/>
  <c r="B340" i="15" s="1"/>
  <c r="D340" i="15" l="1"/>
  <c r="E340" i="15" s="1"/>
  <c r="F340" i="15" s="1"/>
  <c r="B341" i="15" s="1"/>
  <c r="D341" i="15" l="1"/>
  <c r="E341" i="15" s="1"/>
  <c r="F341" i="15" s="1"/>
  <c r="B342" i="15" s="1"/>
  <c r="D342" i="15" l="1"/>
  <c r="E342" i="15" s="1"/>
  <c r="F342" i="15" s="1"/>
  <c r="B343" i="15" s="1"/>
  <c r="D343" i="15" l="1"/>
  <c r="E343" i="15" s="1"/>
  <c r="F343" i="15" s="1"/>
  <c r="B344" i="15" s="1"/>
  <c r="D344" i="15" l="1"/>
  <c r="E344" i="15" s="1"/>
  <c r="F344" i="15" s="1"/>
  <c r="B345" i="15" s="1"/>
  <c r="D345" i="15" l="1"/>
  <c r="E345" i="15" s="1"/>
  <c r="F345" i="15" s="1"/>
  <c r="B346" i="15" s="1"/>
  <c r="D346" i="15" l="1"/>
  <c r="E346" i="15" s="1"/>
  <c r="F346" i="15" s="1"/>
  <c r="B347" i="15" s="1"/>
  <c r="D347" i="15" l="1"/>
  <c r="E347" i="15" s="1"/>
  <c r="F347" i="15" s="1"/>
  <c r="B348" i="15" s="1"/>
  <c r="D348" i="15" l="1"/>
  <c r="E348" i="15" s="1"/>
  <c r="F348" i="15" s="1"/>
  <c r="B349" i="15" s="1"/>
  <c r="D349" i="15" l="1"/>
  <c r="E349" i="15" s="1"/>
  <c r="F349" i="15" s="1"/>
  <c r="B350" i="15" s="1"/>
  <c r="D350" i="15" l="1"/>
  <c r="E350" i="15" s="1"/>
  <c r="F350" i="15" s="1"/>
  <c r="B351" i="15" s="1"/>
  <c r="D351" i="15" l="1"/>
  <c r="E351" i="15" s="1"/>
  <c r="F351" i="15" s="1"/>
  <c r="B352" i="15" s="1"/>
  <c r="D352" i="15" l="1"/>
  <c r="E352" i="15" s="1"/>
  <c r="F352" i="15" s="1"/>
  <c r="B353" i="15" s="1"/>
  <c r="D353" i="15" l="1"/>
  <c r="E353" i="15" s="1"/>
  <c r="F353" i="15" s="1"/>
  <c r="B354" i="15" s="1"/>
  <c r="D354" i="15" l="1"/>
  <c r="E354" i="15" s="1"/>
  <c r="F354" i="15" s="1"/>
  <c r="B355" i="15" s="1"/>
  <c r="D355" i="15" l="1"/>
  <c r="E355" i="15" s="1"/>
  <c r="F355" i="15" s="1"/>
  <c r="B356" i="15" s="1"/>
  <c r="D356" i="15" l="1"/>
  <c r="E356" i="15" s="1"/>
  <c r="F356" i="15" s="1"/>
  <c r="B357" i="15" s="1"/>
  <c r="D357" i="15" l="1"/>
  <c r="E357" i="15" s="1"/>
  <c r="F357" i="15" s="1"/>
  <c r="B358" i="15" s="1"/>
  <c r="D358" i="15" l="1"/>
  <c r="E358" i="15" s="1"/>
  <c r="F358" i="15" s="1"/>
  <c r="B359" i="15" s="1"/>
  <c r="D359" i="15" l="1"/>
  <c r="E359" i="15" s="1"/>
  <c r="F359" i="15" s="1"/>
  <c r="B360" i="15" s="1"/>
  <c r="D360" i="15" l="1"/>
  <c r="E360" i="15" s="1"/>
  <c r="F360" i="15" s="1"/>
  <c r="B361" i="15" s="1"/>
  <c r="D361" i="15" l="1"/>
  <c r="E361" i="15" s="1"/>
  <c r="F361" i="15" s="1"/>
  <c r="B362" i="15" s="1"/>
  <c r="D362" i="15" l="1"/>
  <c r="E362" i="15" s="1"/>
  <c r="F362" i="15" s="1"/>
  <c r="B363" i="15" s="1"/>
  <c r="D363" i="15" l="1"/>
  <c r="E363" i="15" s="1"/>
  <c r="F363" i="15" s="1"/>
  <c r="B364" i="15" s="1"/>
  <c r="D364" i="15" l="1"/>
  <c r="E364" i="15" s="1"/>
  <c r="F364" i="15" s="1"/>
  <c r="B365" i="15" s="1"/>
  <c r="D365" i="15" l="1"/>
  <c r="E365" i="15" s="1"/>
  <c r="F365" i="15" s="1"/>
  <c r="B366" i="15" s="1"/>
  <c r="D366" i="15" l="1"/>
  <c r="E366" i="15" s="1"/>
  <c r="F366" i="15" s="1"/>
  <c r="B367" i="15" s="1"/>
  <c r="D367" i="15" l="1"/>
  <c r="E367" i="15" s="1"/>
  <c r="F367" i="15" s="1"/>
  <c r="B368" i="15" s="1"/>
  <c r="D368" i="15" l="1"/>
  <c r="E368" i="15" s="1"/>
  <c r="F368" i="15" s="1"/>
  <c r="B369" i="15" s="1"/>
  <c r="D369" i="15" l="1"/>
  <c r="E369" i="15" s="1"/>
  <c r="F369" i="15" s="1"/>
  <c r="B370" i="15" s="1"/>
  <c r="D370" i="15" l="1"/>
  <c r="E370" i="15" s="1"/>
  <c r="F370" i="15" s="1"/>
  <c r="B371" i="15" s="1"/>
  <c r="D371" i="15" l="1"/>
  <c r="E371" i="15" s="1"/>
  <c r="F371" i="15" s="1"/>
  <c r="B372" i="15" s="1"/>
  <c r="D372" i="15" l="1"/>
  <c r="E372" i="15" s="1"/>
  <c r="F372" i="15" s="1"/>
  <c r="B373" i="15" s="1"/>
  <c r="D373" i="15" l="1"/>
  <c r="E373" i="15" s="1"/>
  <c r="F373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Omer</author>
  </authors>
  <commentList>
    <comment ref="C75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Omer: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<sst xmlns="http://schemas.openxmlformats.org/spreadsheetml/2006/main" count="303" uniqueCount="253">
  <si>
    <t>Financial Measurements</t>
  </si>
  <si>
    <t>Total Cost</t>
  </si>
  <si>
    <t xml:space="preserve">$ Amount of Debt </t>
  </si>
  <si>
    <t>$ Amount of Equity</t>
  </si>
  <si>
    <t>Assumptions</t>
  </si>
  <si>
    <t>Total Revenues</t>
  </si>
  <si>
    <t>Expenses</t>
  </si>
  <si>
    <t>Administrative Expenses</t>
  </si>
  <si>
    <t>Real Estate Taxes</t>
  </si>
  <si>
    <t>Property Insurance</t>
  </si>
  <si>
    <t>Marketing Services</t>
  </si>
  <si>
    <t>Total Administrative</t>
  </si>
  <si>
    <t>Payroll &amp; Benefits</t>
  </si>
  <si>
    <t>Total Payroll &amp; Benefits</t>
  </si>
  <si>
    <t>Utilities</t>
  </si>
  <si>
    <t>Total Utilities</t>
  </si>
  <si>
    <t>Repairs &amp; Maintenance/Services</t>
  </si>
  <si>
    <t xml:space="preserve">Supplies </t>
  </si>
  <si>
    <t>Laundry/Linens</t>
  </si>
  <si>
    <t>Trash Disposal</t>
  </si>
  <si>
    <t>Total R&amp;M/Services</t>
  </si>
  <si>
    <t>Management</t>
  </si>
  <si>
    <t>Reserves &amp; Replacements</t>
  </si>
  <si>
    <t>Total Expenses</t>
  </si>
  <si>
    <t>Net Operating Income</t>
  </si>
  <si>
    <t xml:space="preserve"> Op Year 1</t>
  </si>
  <si>
    <t xml:space="preserve"> Op Year 2</t>
  </si>
  <si>
    <t>Op Year 3</t>
  </si>
  <si>
    <t>Op Year 4</t>
  </si>
  <si>
    <t>Debt Service - Principal</t>
  </si>
  <si>
    <t>Debt Coverage Ratio</t>
  </si>
  <si>
    <t>Sales Price</t>
  </si>
  <si>
    <t>Remaining Mortgage Balance</t>
  </si>
  <si>
    <t>Sales Costs</t>
  </si>
  <si>
    <t>Net Sales Proceeds</t>
  </si>
  <si>
    <t xml:space="preserve">Investor Returns </t>
  </si>
  <si>
    <t>Year 0</t>
  </si>
  <si>
    <t>Construction</t>
  </si>
  <si>
    <t>Op Year 2</t>
  </si>
  <si>
    <t>IRR</t>
  </si>
  <si>
    <t>Equity Multiple</t>
  </si>
  <si>
    <t>Initial Investment</t>
  </si>
  <si>
    <t>Subtotal</t>
  </si>
  <si>
    <t>Less: Promote</t>
  </si>
  <si>
    <t>Cash Flow</t>
  </si>
  <si>
    <t>Cash on Cash Return</t>
  </si>
  <si>
    <t>Land Costs</t>
  </si>
  <si>
    <t>Construction Costs</t>
  </si>
  <si>
    <t>Total Construction Costs</t>
  </si>
  <si>
    <t>Project Budget</t>
  </si>
  <si>
    <t>Unit Mix</t>
  </si>
  <si>
    <t>Unit Type</t>
  </si>
  <si>
    <t>No. of Units</t>
  </si>
  <si>
    <t>No. of Beds</t>
  </si>
  <si>
    <t>Total / Average</t>
  </si>
  <si>
    <t>Exit Cap Rate</t>
  </si>
  <si>
    <t>Sales Costs (% of Sales Price)</t>
  </si>
  <si>
    <t>AMORTIZATION</t>
  </si>
  <si>
    <t>Loan Term is 60 months</t>
  </si>
  <si>
    <t>Loan:</t>
  </si>
  <si>
    <t>Rate:</t>
  </si>
  <si>
    <t>Amort:</t>
  </si>
  <si>
    <t>Payment:</t>
  </si>
  <si>
    <t>Beg.</t>
  </si>
  <si>
    <t>Pmt.</t>
  </si>
  <si>
    <t>Int.</t>
  </si>
  <si>
    <t>Princ.</t>
  </si>
  <si>
    <t>End</t>
  </si>
  <si>
    <t xml:space="preserve"> </t>
  </si>
  <si>
    <t>Op Year 5</t>
  </si>
  <si>
    <t>Transaction Fee</t>
  </si>
  <si>
    <t>Total Capitalization</t>
  </si>
  <si>
    <t>Property purchase</t>
  </si>
  <si>
    <r>
      <t xml:space="preserve">Legal </t>
    </r>
    <r>
      <rPr>
        <sz val="10"/>
        <color indexed="8"/>
        <rFont val="Arial"/>
        <family val="2"/>
      </rPr>
      <t>Costs/ Due Diligence</t>
    </r>
  </si>
  <si>
    <t>Unit improvements</t>
  </si>
  <si>
    <t>additional Units construction</t>
  </si>
  <si>
    <t>Facade renovation</t>
  </si>
  <si>
    <t>interior renovation</t>
  </si>
  <si>
    <t>Closing Costs</t>
  </si>
  <si>
    <t>Broker Fee</t>
  </si>
  <si>
    <t>Total Closing Costs</t>
  </si>
  <si>
    <t>Total Property Costs</t>
  </si>
  <si>
    <t>Contingency</t>
  </si>
  <si>
    <t>5% of costs</t>
  </si>
  <si>
    <t xml:space="preserve">Number of Existing Units </t>
  </si>
  <si>
    <t>New Units</t>
  </si>
  <si>
    <t>Total Number of Units</t>
  </si>
  <si>
    <t>Price Per Door - Purchars</t>
  </si>
  <si>
    <t>Price Per Door - renovated</t>
  </si>
  <si>
    <t>LTC</t>
  </si>
  <si>
    <t>Schonbrunn</t>
  </si>
  <si>
    <t>Gross Project Square Meters</t>
  </si>
  <si>
    <t xml:space="preserve">Average Income Per Door Per Month </t>
  </si>
  <si>
    <t>12,000 per Unit</t>
  </si>
  <si>
    <t>55,000 per Unit</t>
  </si>
  <si>
    <t>Planning</t>
  </si>
  <si>
    <r>
      <t>Municipal</t>
    </r>
    <r>
      <rPr>
        <sz val="10"/>
        <rFont val="Arial"/>
        <family val="2"/>
      </rPr>
      <t xml:space="preserve"> </t>
    </r>
    <r>
      <rPr>
        <sz val="10"/>
        <color indexed="8"/>
        <rFont val="Arial"/>
        <family val="2"/>
      </rPr>
      <t>Costs (permits)</t>
    </r>
  </si>
  <si>
    <t>Studio Classic</t>
  </si>
  <si>
    <t>Premium</t>
  </si>
  <si>
    <t>Premium with terrace</t>
  </si>
  <si>
    <t>Suite</t>
  </si>
  <si>
    <t>Premium Suite</t>
  </si>
  <si>
    <t>Appartment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</si>
  <si>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</si>
  <si>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</si>
  <si>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</si>
  <si>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</si>
  <si>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</si>
  <si>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</si>
  <si>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</si>
  <si>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</si>
  <si>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</si>
  <si>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</si>
  <si>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</si>
  <si>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</si>
  <si>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Number of Days</t>
  </si>
  <si>
    <t>Avg. Occupancy</t>
  </si>
  <si>
    <t>Revenues</t>
  </si>
  <si>
    <t>Rooms</t>
  </si>
  <si>
    <t xml:space="preserve">Parking </t>
  </si>
  <si>
    <t>Ancilary</t>
  </si>
  <si>
    <t>Conference</t>
  </si>
  <si>
    <t>Parking</t>
  </si>
  <si>
    <t>Occupied Days per Month</t>
  </si>
  <si>
    <t>Pricing (Net of Marketing Fees)</t>
  </si>
  <si>
    <t>Category/Scenario</t>
  </si>
  <si>
    <t>Note</t>
  </si>
  <si>
    <t>Parameters used in Calculations</t>
  </si>
  <si>
    <t>Amount</t>
  </si>
  <si>
    <t>Inflation</t>
  </si>
  <si>
    <t>Ancilary Revenue</t>
  </si>
  <si>
    <t>of Rooms Revenue (airport transfers, additional services commision on breakfast operator)</t>
  </si>
  <si>
    <t>Cost of Ancilary Revenues</t>
  </si>
  <si>
    <t>of ancilary revenue</t>
  </si>
  <si>
    <t xml:space="preserve">Management  Fee </t>
  </si>
  <si>
    <t>of total revenue</t>
  </si>
  <si>
    <t>Reserved for Replacement %</t>
  </si>
  <si>
    <t>of Rooms Revenue</t>
  </si>
  <si>
    <t>Miscellaneous expenses %</t>
  </si>
  <si>
    <t>of Rooms Revenue (including HK Products)</t>
  </si>
  <si>
    <t>Loan-to-Value (LTV) Ratio of Bank Loan</t>
  </si>
  <si>
    <t>of total project cost</t>
  </si>
  <si>
    <t>Based on Industry Standards (HVS)</t>
  </si>
  <si>
    <t>Discount Factor</t>
  </si>
  <si>
    <t>Industry average return for city hotels</t>
  </si>
  <si>
    <t>Annual Interes rate</t>
  </si>
  <si>
    <t>Utilities cost</t>
  </si>
  <si>
    <t>of total Revenue. Industry Standard</t>
  </si>
  <si>
    <t>F&amp;B Revenues</t>
  </si>
  <si>
    <t>of rooms revenue. Based on industry standard</t>
  </si>
  <si>
    <t>Cost of F&amp;B Revenues</t>
  </si>
  <si>
    <t>Project Assumptions</t>
  </si>
  <si>
    <t xml:space="preserve">Based on the country inflation </t>
  </si>
  <si>
    <t>Salaries Reception</t>
  </si>
  <si>
    <t>Salaries GM</t>
  </si>
  <si>
    <t>Utilities and Internet</t>
  </si>
  <si>
    <t>Gardening and Lift</t>
  </si>
  <si>
    <t>Ancilary Expences</t>
  </si>
  <si>
    <t>Misc. Expenses</t>
  </si>
  <si>
    <t>Salaries Houskeeping+ Maitenance</t>
  </si>
  <si>
    <t>Loan Payments</t>
  </si>
  <si>
    <t>Operator's Share of NOI</t>
  </si>
  <si>
    <t>Investor Returnes</t>
  </si>
  <si>
    <t>Net Cash Flow Before Tax</t>
  </si>
  <si>
    <t>Investor's GP Promote</t>
  </si>
  <si>
    <t>Over 7% Preffered with Full Catch Up</t>
  </si>
  <si>
    <t>Cash On Cash</t>
  </si>
  <si>
    <t xml:space="preserve">Cash Flow </t>
  </si>
  <si>
    <t>Return On Equity</t>
  </si>
  <si>
    <t xml:space="preserve">Debt Service - Interest </t>
  </si>
  <si>
    <t>Total 1</t>
  </si>
  <si>
    <t>Total 2</t>
  </si>
  <si>
    <t>Total 3</t>
  </si>
  <si>
    <t>Total 4</t>
  </si>
  <si>
    <t>Total 5</t>
  </si>
  <si>
    <t>Asset Management Fee (1.5% of Equity)</t>
  </si>
  <si>
    <t>Investor's GP Asset Management Fee</t>
  </si>
  <si>
    <t>Stabilized Net Operating Income (Op Yr 5)</t>
  </si>
  <si>
    <t xml:space="preserve">Exit Cap Rate </t>
  </si>
  <si>
    <t>Gross Cash Flow</t>
  </si>
  <si>
    <t>Net Cash Flow</t>
  </si>
  <si>
    <t xml:space="preserve">Asset Management Fees </t>
  </si>
  <si>
    <t>Cash on Cash - Project</t>
  </si>
  <si>
    <t>Return on Equity- Project</t>
  </si>
  <si>
    <t>Return on Equity (Op Yr 5)</t>
  </si>
  <si>
    <t>Cash On Cash (Op Yr 5)</t>
  </si>
  <si>
    <t>Reserve</t>
  </si>
  <si>
    <t>Total Occupied Days w/o Parking</t>
  </si>
  <si>
    <t xml:space="preserve">   Rooms</t>
  </si>
  <si>
    <t xml:space="preserve">   Parking </t>
  </si>
  <si>
    <t xml:space="preserve">   Ancilary</t>
  </si>
  <si>
    <t xml:space="preserve">   Conference</t>
  </si>
  <si>
    <t xml:space="preserve">   Operator</t>
  </si>
  <si>
    <t xml:space="preserve">   Owner</t>
  </si>
  <si>
    <t xml:space="preserve">   Interest</t>
  </si>
  <si>
    <t xml:space="preserve">   Principal</t>
  </si>
  <si>
    <t>Returns</t>
  </si>
  <si>
    <t>Investor's Avg COC</t>
  </si>
  <si>
    <t>Investor's IRR</t>
  </si>
  <si>
    <t>Investor's Avg. ROE</t>
  </si>
  <si>
    <t>Owner's Share of Cash Flow</t>
  </si>
  <si>
    <t>SQM / Unit</t>
  </si>
  <si>
    <t>Total Net SQM</t>
  </si>
  <si>
    <t xml:space="preserve">Yearly Cash Flow </t>
  </si>
  <si>
    <r>
      <t>Investor Returns (6 Year Hold)</t>
    </r>
    <r>
      <rPr>
        <b/>
        <sz val="12"/>
        <color indexed="9"/>
        <rFont val="Arial"/>
        <family val="2"/>
      </rPr>
      <t xml:space="preserve">
</t>
    </r>
  </si>
  <si>
    <t>Annual - Y1</t>
  </si>
  <si>
    <t>Property Management</t>
  </si>
  <si>
    <t>Investment Summary</t>
  </si>
  <si>
    <t>Total Project Value (Equity &amp; Finance)</t>
  </si>
  <si>
    <t>Legal</t>
  </si>
  <si>
    <t>Total Equity For The Project</t>
  </si>
  <si>
    <t>Broker</t>
  </si>
  <si>
    <t>TS Equity Invested In The Project</t>
  </si>
  <si>
    <t>D.D</t>
  </si>
  <si>
    <t>TS Share Of The Project</t>
  </si>
  <si>
    <t>Bank Acount</t>
  </si>
  <si>
    <t>Initiation Expenses (Inc. VAT)</t>
  </si>
  <si>
    <t>Esscrow</t>
  </si>
  <si>
    <t>Total Equity Raised By TS Investors</t>
  </si>
  <si>
    <t>Tax Memo</t>
  </si>
  <si>
    <t>Annual Expenses (Inc. VAT)</t>
  </si>
  <si>
    <t>Est. expenses</t>
  </si>
  <si>
    <t>Prefered Ongoing Distribution</t>
  </si>
  <si>
    <t>Under wrighting</t>
  </si>
  <si>
    <t>Split Above Preferred</t>
  </si>
  <si>
    <t>Total</t>
  </si>
  <si>
    <t>Exit Cap assumption</t>
  </si>
  <si>
    <t>Investment Period (years)</t>
  </si>
  <si>
    <t>Free Cash Flow</t>
  </si>
  <si>
    <t>Year</t>
  </si>
  <si>
    <t>Equity</t>
  </si>
  <si>
    <t>Equity Repatriation / Sales Proceeds</t>
  </si>
  <si>
    <t>Ongoing CF</t>
  </si>
  <si>
    <t>Annual Expenses</t>
  </si>
  <si>
    <t>Total CF</t>
  </si>
  <si>
    <t>COC</t>
  </si>
  <si>
    <t xml:space="preserve">ROE </t>
  </si>
  <si>
    <t>ROE Per Annum</t>
  </si>
  <si>
    <t xml:space="preserve">IRR </t>
  </si>
  <si>
    <t>The Service Success Fee (15%)</t>
  </si>
  <si>
    <t>Return of Equity &amp; Profit From Sale</t>
  </si>
  <si>
    <t>Profit</t>
  </si>
  <si>
    <t xml:space="preserve">TS Success Fee </t>
  </si>
  <si>
    <t>Sales proceeds</t>
  </si>
  <si>
    <t>IL GP Mnagement Fee</t>
  </si>
  <si>
    <t>IL GP success fee</t>
  </si>
  <si>
    <t>Investment</t>
  </si>
  <si>
    <t>Stabilized Value (Op Yr 5 @ 5.5%)</t>
  </si>
  <si>
    <t>Management Fee</t>
  </si>
  <si>
    <t>Initiation Cost - IL</t>
  </si>
  <si>
    <t>Accumulated ROE</t>
  </si>
  <si>
    <t>Avg. COC</t>
  </si>
  <si>
    <t xml:space="preserve">Operator/ Owner Split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</si>
</sst>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164" formatCode="&quot;$&quot;#,##0_);[Red]\(&quot;$&quot;#,##0\)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&quot;$&quot;#,##0.00;[Red]\-&quot;$&quot;#,##0.00"/>
    <numFmt numFmtId="169" formatCode="&quot;$&quot;#,##0"/>
    <numFmt numFmtId="170" formatCode="0.0%"/>
    <numFmt numFmtId="171" formatCode="0.0"/>
    <numFmt numFmtId="172" formatCode="#,##0.0"/>
    <numFmt numFmtId="173" formatCode="[$$-409]#,##0_ ;[Red]\-[$$-409]#,##0\ "/>
    <numFmt numFmtId="174" formatCode="[$$-409]#,##0.00_);[Red]\([$$-409]#,##0.00\)"/>
    <numFmt numFmtId="175" formatCode="_-[$$-409]* #,##0.00_ ;_-[$$-409]* \-#,##0.00\ ;_-[$$-409]* &quot;-&quot;??_ ;_-@_ "/>
    <numFmt numFmtId="176" formatCode="[$€-2]\ #,##0;[Red][$€-2]\ #,##0"/>
    <numFmt numFmtId="177" formatCode="[$€-2]\ #,##0;[Red][$€-2]\ \-#,##0"/>
    <numFmt numFmtId="178" formatCode="[$€-2]\ #,##0"/>
    <numFmt numFmtId="179" formatCode="&quot;$&quot;#,##0.0_);[Red]\(&quot;$&quot;#,##0.0\)"/>
    <numFmt numFmtId="180" formatCode="_-[$$-409]* #,##0_ ;_-[$$-409]* \-#,##0\ ;_-[$$-409]* &quot;-&quot;??_ ;_-@_ "/>
    <numFmt numFmtId="181" formatCode="_ * #,##0_ ;_ * \-#,##0_ ;_ * &quot;-&quot;??_ ;_ @_ "/>
    <numFmt numFmtId="182" formatCode="_(* #,##0_);_(* \(#,##0\);_(* &quot;-&quot;??_);_(@_)"/>
    <numFmt numFmtId="183" formatCode="_ * #,##0.0_ ;_ * \-#,##0.0_ ;_ * &quot;-&quot;??_ ;_ @_ "/>
    <numFmt numFmtId="184" formatCode="_ [$€-2]\ * #,##0.0_ ;_ [$€-2]\ * \-#,##0.0_ ;_ [$€-2]\ * &quot;-&quot;??_ ;_ @_ "/>
    <numFmt numFmtId="185" formatCode="_ [$€-2]\ * #,##0_ ;_ [$€-2]\ * \-#,##0_ ;_ [$€-2]\ * &quot;-&quot;??_ ;_ @_ "/>
    <numFmt numFmtId="186" formatCode="[$€-2]\ #,##0.00;[Red][$€-2]\ #,##0.00"/>
  </numFmts>
  <fonts count="3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color indexed="10"/>
      <name val="Arial"/>
      <family val="2"/>
    </font>
    <font>
      <b/>
      <sz val="12"/>
      <color indexed="9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2"/>
      <color theme="1"/>
      <name val="Arial"/>
      <family val="2"/>
      <charset val="204"/>
      <scheme val="minor"/>
    </font>
    <font>
      <sz val="12"/>
      <color theme="1"/>
      <name val="Arial"/>
      <family val="2"/>
      <scheme val="minor"/>
    </font>
    <font>
      <sz val="16"/>
      <color theme="0"/>
      <name val="Arial"/>
      <family val="2"/>
    </font>
    <font>
      <sz val="8"/>
      <color theme="0"/>
      <name val="Arial"/>
      <family val="2"/>
    </font>
    <font>
      <b/>
      <sz val="8"/>
      <color theme="0"/>
      <name val="Arial"/>
      <family val="2"/>
    </font>
    <font>
      <b/>
      <sz val="14"/>
      <color theme="0"/>
      <name val="Arial"/>
      <family val="2"/>
    </font>
    <font>
      <b/>
      <sz val="10"/>
      <color theme="0"/>
      <name val="Arial"/>
      <family val="2"/>
    </font>
    <font>
      <sz val="9"/>
      <color rgb="FF000000"/>
      <name val="Arial"/>
      <family val="2"/>
    </font>
    <font>
      <b/>
      <sz val="9"/>
      <color theme="0"/>
      <name val="Arial"/>
      <family val="2"/>
    </font>
    <font>
      <i/>
      <sz val="10"/>
      <name val="Arial"/>
      <family val="2"/>
    </font>
    <font>
      <sz val="9"/>
      <color rgb="FFFF0000"/>
      <name val="Arial"/>
      <family val="2"/>
    </font>
    <font>
      <sz val="10"/>
      <color indexed="8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b/>
      <sz val="10"/>
      <color rgb="FF000000"/>
      <name val="Arial"/>
      <family val="2"/>
    </font>
    <font>
      <sz val="9"/>
      <color theme="0"/>
      <name val="Arial"/>
      <family val="2"/>
    </font>
    <font>
      <i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OE August Pro Light"/>
    </font>
    <font>
      <b/>
      <sz val="10"/>
      <color theme="0"/>
      <name val="OE August Pro Light"/>
    </font>
    <font>
      <sz val="10"/>
      <color theme="0"/>
      <name val="OE August Pro Light"/>
    </font>
    <font>
      <b/>
      <sz val="10"/>
      <color theme="1"/>
      <name val="OE August Pro Light"/>
    </font>
    <font>
      <b/>
      <u/>
      <sz val="10"/>
      <color theme="1"/>
      <name val="OE August Pro Light"/>
    </font>
  </fonts>
  <fills count="17">
    <fill>
      <patternFill patternType="none"/>
    </fill>
    <fill>
      <patternFill patternType="gray125"/>
    </fill>
    <fill>
      <patternFill patternType="lightGray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lightGray"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7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167" fontId="1" fillId="0" borderId="0" applyFont="0" applyFill="0" applyBorder="0" applyAlignment="0" applyProtection="0"/>
    <xf numFmtId="167" fontId="1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</cellStyleXfs>
  <cellXfs count="562">
    <xf numFmtId="0" fontId="0" fillId="0" borderId="0" xfId="0"/>
    <xf numFmtId="165" fontId="0" fillId="0" borderId="0" xfId="0" applyNumberFormat="1"/>
    <xf numFmtId="164" fontId="0" fillId="0" borderId="0" xfId="0" applyNumberFormat="1"/>
    <xf numFmtId="0" fontId="5" fillId="0" borderId="0" xfId="0" applyFont="1"/>
    <xf numFmtId="169" fontId="5" fillId="0" borderId="0" xfId="3" applyNumberFormat="1" applyFont="1"/>
    <xf numFmtId="169" fontId="1" fillId="0" borderId="0" xfId="3" applyNumberFormat="1"/>
    <xf numFmtId="164" fontId="1" fillId="0" borderId="0" xfId="3" applyNumberFormat="1"/>
    <xf numFmtId="0" fontId="2" fillId="3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164" fontId="13" fillId="4" borderId="4" xfId="0" applyNumberFormat="1" applyFont="1" applyFill="1" applyBorder="1" applyAlignment="1">
      <alignment horizontal="centerContinuous" vertical="center"/>
    </xf>
    <xf numFmtId="164" fontId="13" fillId="4" borderId="5" xfId="0" applyNumberFormat="1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vertical="center" wrapText="1"/>
    </xf>
    <xf numFmtId="0" fontId="3" fillId="3" borderId="0" xfId="0" applyFont="1" applyFill="1"/>
    <xf numFmtId="0" fontId="14" fillId="7" borderId="21" xfId="0" applyFont="1" applyFill="1" applyBorder="1" applyAlignment="1">
      <alignment vertical="center"/>
    </xf>
    <xf numFmtId="164" fontId="15" fillId="4" borderId="4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/>
    </xf>
    <xf numFmtId="0" fontId="7" fillId="3" borderId="2" xfId="0" applyFont="1" applyFill="1" applyBorder="1" applyAlignment="1">
      <alignment vertical="center"/>
    </xf>
    <xf numFmtId="0" fontId="7" fillId="3" borderId="6" xfId="0" applyFont="1" applyFill="1" applyBorder="1" applyAlignment="1">
      <alignment vertical="center"/>
    </xf>
    <xf numFmtId="164" fontId="15" fillId="4" borderId="32" xfId="0" applyNumberFormat="1" applyFont="1" applyFill="1" applyBorder="1" applyAlignment="1">
      <alignment horizontal="center" vertical="center"/>
    </xf>
    <xf numFmtId="0" fontId="7" fillId="3" borderId="3" xfId="0" applyFont="1" applyFill="1" applyBorder="1" applyAlignment="1">
      <alignment vertical="center" wrapText="1"/>
    </xf>
    <xf numFmtId="0" fontId="16" fillId="4" borderId="22" xfId="0" applyFont="1" applyFill="1" applyBorder="1" applyAlignment="1">
      <alignment horizontal="centerContinuous" vertical="top" wrapText="1"/>
    </xf>
    <xf numFmtId="0" fontId="16" fillId="4" borderId="32" xfId="0" applyFont="1" applyFill="1" applyBorder="1" applyAlignment="1">
      <alignment horizontal="centerContinuous" vertical="center" wrapText="1"/>
    </xf>
    <xf numFmtId="164" fontId="13" fillId="4" borderId="36" xfId="0" applyNumberFormat="1" applyFont="1" applyFill="1" applyBorder="1" applyAlignment="1">
      <alignment horizontal="centerContinuous" vertical="center"/>
    </xf>
    <xf numFmtId="0" fontId="17" fillId="4" borderId="22" xfId="0" applyFont="1" applyFill="1" applyBorder="1" applyAlignment="1">
      <alignment wrapText="1"/>
    </xf>
    <xf numFmtId="0" fontId="17" fillId="4" borderId="21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vertical="center"/>
    </xf>
    <xf numFmtId="0" fontId="4" fillId="3" borderId="0" xfId="0" applyFont="1" applyFill="1"/>
    <xf numFmtId="0" fontId="10" fillId="0" borderId="0" xfId="0" applyFont="1"/>
    <xf numFmtId="0" fontId="19" fillId="4" borderId="27" xfId="0" applyFont="1" applyFill="1" applyBorder="1" applyAlignment="1">
      <alignment horizontal="center" vertical="center" wrapText="1"/>
    </xf>
    <xf numFmtId="164" fontId="10" fillId="0" borderId="0" xfId="0" applyNumberFormat="1" applyFont="1"/>
    <xf numFmtId="0" fontId="7" fillId="3" borderId="0" xfId="0" applyFont="1" applyFill="1"/>
    <xf numFmtId="164" fontId="15" fillId="4" borderId="21" xfId="0" applyNumberFormat="1" applyFont="1" applyFill="1" applyBorder="1" applyAlignment="1">
      <alignment horizontal="center" vertical="center"/>
    </xf>
    <xf numFmtId="0" fontId="0" fillId="9" borderId="0" xfId="0" applyFill="1"/>
    <xf numFmtId="169" fontId="1" fillId="9" borderId="0" xfId="3" applyNumberFormat="1" applyFill="1"/>
    <xf numFmtId="0" fontId="0" fillId="10" borderId="0" xfId="0" applyFill="1"/>
    <xf numFmtId="169" fontId="1" fillId="10" borderId="0" xfId="3" applyNumberFormat="1" applyFill="1"/>
    <xf numFmtId="0" fontId="0" fillId="11" borderId="0" xfId="0" applyFill="1"/>
    <xf numFmtId="169" fontId="1" fillId="11" borderId="0" xfId="3" applyNumberFormat="1" applyFill="1"/>
    <xf numFmtId="0" fontId="0" fillId="12" borderId="0" xfId="0" applyFill="1"/>
    <xf numFmtId="169" fontId="1" fillId="12" borderId="0" xfId="3" applyNumberFormat="1" applyFill="1"/>
    <xf numFmtId="0" fontId="0" fillId="13" borderId="0" xfId="0" applyFill="1"/>
    <xf numFmtId="169" fontId="1" fillId="13" borderId="0" xfId="3" applyNumberFormat="1" applyFill="1"/>
    <xf numFmtId="0" fontId="7" fillId="3" borderId="1" xfId="0" applyFont="1" applyFill="1" applyBorder="1" applyAlignment="1">
      <alignment horizontal="left" vertical="center"/>
    </xf>
    <xf numFmtId="0" fontId="7" fillId="3" borderId="11" xfId="0" applyFont="1" applyFill="1" applyBorder="1"/>
    <xf numFmtId="0" fontId="7" fillId="3" borderId="12" xfId="0" applyFont="1" applyFill="1" applyBorder="1"/>
    <xf numFmtId="0" fontId="4" fillId="3" borderId="8" xfId="0" applyFont="1" applyFill="1" applyBorder="1"/>
    <xf numFmtId="0" fontId="4" fillId="3" borderId="9" xfId="0" applyFont="1" applyFill="1" applyBorder="1"/>
    <xf numFmtId="0" fontId="4" fillId="3" borderId="10" xfId="0" applyFont="1" applyFill="1" applyBorder="1"/>
    <xf numFmtId="0" fontId="4" fillId="3" borderId="11" xfId="0" applyFont="1" applyFill="1" applyBorder="1"/>
    <xf numFmtId="0" fontId="4" fillId="3" borderId="12" xfId="0" applyFont="1" applyFill="1" applyBorder="1"/>
    <xf numFmtId="0" fontId="4" fillId="3" borderId="25" xfId="0" applyFont="1" applyFill="1" applyBorder="1" applyAlignment="1">
      <alignment vertical="center"/>
    </xf>
    <xf numFmtId="164" fontId="4" fillId="2" borderId="19" xfId="0" applyNumberFormat="1" applyFont="1" applyFill="1" applyBorder="1" applyAlignment="1">
      <alignment horizontal="center" vertical="center"/>
    </xf>
    <xf numFmtId="164" fontId="4" fillId="2" borderId="16" xfId="0" applyNumberFormat="1" applyFont="1" applyFill="1" applyBorder="1" applyAlignment="1">
      <alignment horizontal="center" vertical="center"/>
    </xf>
    <xf numFmtId="0" fontId="4" fillId="3" borderId="13" xfId="0" applyFont="1" applyFill="1" applyBorder="1"/>
    <xf numFmtId="0" fontId="4" fillId="3" borderId="14" xfId="0" applyFont="1" applyFill="1" applyBorder="1" applyAlignment="1">
      <alignment vertical="center"/>
    </xf>
    <xf numFmtId="0" fontId="4" fillId="3" borderId="15" xfId="0" applyFont="1" applyFill="1" applyBorder="1"/>
    <xf numFmtId="0" fontId="4" fillId="3" borderId="0" xfId="0" applyFont="1" applyFill="1" applyAlignment="1">
      <alignment vertical="center"/>
    </xf>
    <xf numFmtId="0" fontId="7" fillId="3" borderId="25" xfId="0" applyFont="1" applyFill="1" applyBorder="1" applyAlignment="1">
      <alignment vertical="center"/>
    </xf>
    <xf numFmtId="0" fontId="4" fillId="0" borderId="1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/>
    </xf>
    <xf numFmtId="3" fontId="10" fillId="0" borderId="0" xfId="0" applyNumberFormat="1" applyFont="1"/>
    <xf numFmtId="0" fontId="7" fillId="3" borderId="6" xfId="0" applyFont="1" applyFill="1" applyBorder="1" applyAlignment="1">
      <alignment vertical="center" wrapText="1"/>
    </xf>
    <xf numFmtId="166" fontId="10" fillId="0" borderId="0" xfId="3" applyFont="1"/>
    <xf numFmtId="10" fontId="1" fillId="15" borderId="0" xfId="7" applyNumberFormat="1" applyFill="1"/>
    <xf numFmtId="0" fontId="0" fillId="15" borderId="0" xfId="0" applyFill="1"/>
    <xf numFmtId="169" fontId="0" fillId="0" borderId="0" xfId="0" applyNumberFormat="1"/>
    <xf numFmtId="0" fontId="1" fillId="3" borderId="0" xfId="0" applyFont="1" applyFill="1"/>
    <xf numFmtId="9" fontId="10" fillId="0" borderId="0" xfId="0" applyNumberFormat="1" applyFont="1"/>
    <xf numFmtId="168" fontId="10" fillId="0" borderId="0" xfId="0" applyNumberFormat="1" applyFont="1"/>
    <xf numFmtId="0" fontId="1" fillId="3" borderId="8" xfId="0" applyFont="1" applyFill="1" applyBorder="1"/>
    <xf numFmtId="0" fontId="1" fillId="3" borderId="9" xfId="0" applyFont="1" applyFill="1" applyBorder="1"/>
    <xf numFmtId="0" fontId="1" fillId="3" borderId="10" xfId="0" applyFont="1" applyFill="1" applyBorder="1"/>
    <xf numFmtId="0" fontId="1" fillId="3" borderId="11" xfId="0" applyFont="1" applyFill="1" applyBorder="1"/>
    <xf numFmtId="0" fontId="1" fillId="3" borderId="12" xfId="0" applyFont="1" applyFill="1" applyBorder="1"/>
    <xf numFmtId="0" fontId="1" fillId="3" borderId="13" xfId="0" applyFont="1" applyFill="1" applyBorder="1"/>
    <xf numFmtId="0" fontId="1" fillId="3" borderId="14" xfId="0" applyFont="1" applyFill="1" applyBorder="1"/>
    <xf numFmtId="0" fontId="1" fillId="3" borderId="15" xfId="0" applyFont="1" applyFill="1" applyBorder="1"/>
    <xf numFmtId="164" fontId="1" fillId="3" borderId="16" xfId="0" applyNumberFormat="1" applyFont="1" applyFill="1" applyBorder="1" applyAlignment="1">
      <alignment horizontal="center" vertical="center"/>
    </xf>
    <xf numFmtId="164" fontId="1" fillId="5" borderId="16" xfId="0" applyNumberFormat="1" applyFont="1" applyFill="1" applyBorder="1" applyAlignment="1">
      <alignment horizontal="center" vertical="center"/>
    </xf>
    <xf numFmtId="164" fontId="1" fillId="6" borderId="17" xfId="0" applyNumberFormat="1" applyFont="1" applyFill="1" applyBorder="1" applyAlignment="1">
      <alignment horizontal="center" vertical="center"/>
    </xf>
    <xf numFmtId="164" fontId="1" fillId="5" borderId="18" xfId="0" applyNumberFormat="1" applyFont="1" applyFill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164" fontId="1" fillId="3" borderId="18" xfId="0" applyNumberFormat="1" applyFont="1" applyFill="1" applyBorder="1" applyAlignment="1">
      <alignment horizontal="center" vertical="center"/>
    </xf>
    <xf numFmtId="10" fontId="1" fillId="3" borderId="0" xfId="0" applyNumberFormat="1" applyFont="1" applyFill="1"/>
    <xf numFmtId="10" fontId="1" fillId="3" borderId="19" xfId="0" applyNumberFormat="1" applyFont="1" applyFill="1" applyBorder="1" applyAlignment="1">
      <alignment horizontal="center" vertical="center"/>
    </xf>
    <xf numFmtId="164" fontId="1" fillId="6" borderId="20" xfId="0" applyNumberFormat="1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/>
    <xf numFmtId="9" fontId="4" fillId="3" borderId="0" xfId="7" applyFont="1" applyFill="1"/>
    <xf numFmtId="169" fontId="18" fillId="0" borderId="0" xfId="0" applyNumberFormat="1" applyFont="1" applyFill="1" applyBorder="1" applyAlignment="1">
      <alignment horizontal="right" vertical="top"/>
    </xf>
    <xf numFmtId="164" fontId="15" fillId="4" borderId="60" xfId="0" applyNumberFormat="1" applyFont="1" applyFill="1" applyBorder="1" applyAlignment="1">
      <alignment horizontal="center" vertical="center"/>
    </xf>
    <xf numFmtId="0" fontId="9" fillId="3" borderId="62" xfId="0" applyFont="1" applyFill="1" applyBorder="1" applyAlignment="1">
      <alignment vertical="center" wrapText="1"/>
    </xf>
    <xf numFmtId="0" fontId="9" fillId="3" borderId="53" xfId="0" applyFont="1" applyFill="1" applyBorder="1" applyAlignment="1">
      <alignment vertical="center" wrapText="1"/>
    </xf>
    <xf numFmtId="37" fontId="10" fillId="0" borderId="46" xfId="0" applyNumberFormat="1" applyFont="1" applyBorder="1" applyAlignment="1">
      <alignment horizontal="center" vertical="center"/>
    </xf>
    <xf numFmtId="37" fontId="10" fillId="0" borderId="49" xfId="0" applyNumberFormat="1" applyFont="1" applyBorder="1" applyAlignment="1">
      <alignment horizontal="center" vertical="center"/>
    </xf>
    <xf numFmtId="0" fontId="9" fillId="3" borderId="63" xfId="0" applyFont="1" applyFill="1" applyBorder="1" applyAlignment="1">
      <alignment vertical="center"/>
    </xf>
    <xf numFmtId="164" fontId="10" fillId="0" borderId="59" xfId="0" applyNumberFormat="1" applyFont="1" applyBorder="1" applyAlignment="1">
      <alignment horizontal="center" vertical="center"/>
    </xf>
    <xf numFmtId="10" fontId="10" fillId="0" borderId="48" xfId="7" applyNumberFormat="1" applyFont="1" applyFill="1" applyBorder="1" applyAlignment="1">
      <alignment horizontal="center" vertical="center"/>
    </xf>
    <xf numFmtId="10" fontId="10" fillId="0" borderId="50" xfId="7" applyNumberFormat="1" applyFont="1" applyFill="1" applyBorder="1" applyAlignment="1">
      <alignment horizontal="center" vertical="center"/>
    </xf>
    <xf numFmtId="165" fontId="3" fillId="3" borderId="0" xfId="0" applyNumberFormat="1" applyFont="1" applyFill="1"/>
    <xf numFmtId="0" fontId="10" fillId="0" borderId="0" xfId="0" applyFont="1" applyBorder="1"/>
    <xf numFmtId="0" fontId="9" fillId="3" borderId="0" xfId="0" applyFont="1" applyFill="1" applyBorder="1" applyAlignment="1">
      <alignment horizontal="left" vertical="center"/>
    </xf>
    <xf numFmtId="170" fontId="10" fillId="0" borderId="0" xfId="0" applyNumberFormat="1" applyFont="1" applyBorder="1" applyAlignment="1">
      <alignment horizontal="center" vertical="center"/>
    </xf>
    <xf numFmtId="0" fontId="10" fillId="3" borderId="62" xfId="0" applyFont="1" applyFill="1" applyBorder="1" applyAlignment="1">
      <alignment horizontal="left" vertical="center"/>
    </xf>
    <xf numFmtId="0" fontId="10" fillId="3" borderId="52" xfId="0" applyFont="1" applyFill="1" applyBorder="1" applyAlignment="1">
      <alignment horizontal="left" vertical="center"/>
    </xf>
    <xf numFmtId="0" fontId="10" fillId="3" borderId="34" xfId="0" applyFont="1" applyFill="1" applyBorder="1" applyAlignment="1">
      <alignment horizontal="left" vertical="center"/>
    </xf>
    <xf numFmtId="0" fontId="10" fillId="3" borderId="63" xfId="0" applyFont="1" applyFill="1" applyBorder="1" applyAlignment="1">
      <alignment horizontal="left" vertical="center"/>
    </xf>
    <xf numFmtId="0" fontId="10" fillId="3" borderId="53" xfId="0" applyFont="1" applyFill="1" applyBorder="1" applyAlignment="1">
      <alignment horizontal="left" vertical="center"/>
    </xf>
    <xf numFmtId="0" fontId="19" fillId="4" borderId="21" xfId="0" applyFont="1" applyFill="1" applyBorder="1" applyAlignment="1">
      <alignment horizontal="center" vertical="center" wrapText="1"/>
    </xf>
    <xf numFmtId="9" fontId="10" fillId="0" borderId="0" xfId="7" applyFont="1" applyBorder="1" applyAlignment="1">
      <alignment horizontal="center"/>
    </xf>
    <xf numFmtId="3" fontId="10" fillId="0" borderId="49" xfId="0" applyNumberFormat="1" applyFont="1" applyFill="1" applyBorder="1" applyAlignment="1">
      <alignment horizontal="center" vertical="center"/>
    </xf>
    <xf numFmtId="0" fontId="21" fillId="0" borderId="0" xfId="0" applyFont="1" applyBorder="1"/>
    <xf numFmtId="164" fontId="4" fillId="3" borderId="0" xfId="3" applyNumberFormat="1" applyFont="1" applyFill="1"/>
    <xf numFmtId="0" fontId="20" fillId="0" borderId="0" xfId="0" applyFont="1"/>
    <xf numFmtId="0" fontId="10" fillId="0" borderId="0" xfId="0" applyFont="1" applyFill="1" applyBorder="1"/>
    <xf numFmtId="0" fontId="10" fillId="0" borderId="0" xfId="0" applyFont="1" applyFill="1"/>
    <xf numFmtId="0" fontId="10" fillId="0" borderId="52" xfId="0" applyFont="1" applyFill="1" applyBorder="1" applyAlignment="1">
      <alignment horizontal="left" vertical="center"/>
    </xf>
    <xf numFmtId="165" fontId="10" fillId="0" borderId="0" xfId="0" applyNumberFormat="1" applyFont="1" applyBorder="1"/>
    <xf numFmtId="0" fontId="9" fillId="3" borderId="3" xfId="0" applyFont="1" applyFill="1" applyBorder="1" applyAlignment="1">
      <alignment vertical="center" wrapText="1"/>
    </xf>
    <xf numFmtId="0" fontId="9" fillId="3" borderId="2" xfId="0" applyFont="1" applyFill="1" applyBorder="1" applyAlignment="1">
      <alignment vertical="center" wrapText="1"/>
    </xf>
    <xf numFmtId="175" fontId="10" fillId="0" borderId="0" xfId="0" applyNumberFormat="1" applyFont="1" applyFill="1" applyAlignment="1">
      <alignment horizontal="center"/>
    </xf>
    <xf numFmtId="175" fontId="9" fillId="0" borderId="0" xfId="0" applyNumberFormat="1" applyFont="1" applyFill="1" applyAlignment="1">
      <alignment horizontal="center"/>
    </xf>
    <xf numFmtId="0" fontId="21" fillId="0" borderId="0" xfId="0" applyFont="1" applyFill="1"/>
    <xf numFmtId="174" fontId="10" fillId="0" borderId="0" xfId="0" applyNumberFormat="1" applyFont="1" applyFill="1"/>
    <xf numFmtId="174" fontId="21" fillId="0" borderId="0" xfId="0" applyNumberFormat="1" applyFont="1" applyFill="1"/>
    <xf numFmtId="169" fontId="18" fillId="0" borderId="0" xfId="0" applyNumberFormat="1" applyFont="1" applyFill="1" applyBorder="1" applyAlignment="1">
      <alignment horizontal="left" vertical="top"/>
    </xf>
    <xf numFmtId="173" fontId="10" fillId="0" borderId="0" xfId="0" applyNumberFormat="1" applyFont="1" applyFill="1"/>
    <xf numFmtId="175" fontId="10" fillId="0" borderId="0" xfId="3" applyNumberFormat="1" applyFont="1" applyFill="1" applyAlignment="1">
      <alignment horizontal="center"/>
    </xf>
    <xf numFmtId="3" fontId="10" fillId="0" borderId="0" xfId="0" applyNumberFormat="1" applyFont="1" applyFill="1"/>
    <xf numFmtId="9" fontId="9" fillId="0" borderId="0" xfId="7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2" fillId="3" borderId="0" xfId="0" applyFont="1" applyFill="1"/>
    <xf numFmtId="0" fontId="2" fillId="0" borderId="0" xfId="0" applyFont="1" applyFill="1"/>
    <xf numFmtId="173" fontId="1" fillId="0" borderId="0" xfId="0" applyNumberFormat="1" applyFont="1" applyFill="1" applyAlignment="1">
      <alignment horizontal="right"/>
    </xf>
    <xf numFmtId="0" fontId="2" fillId="8" borderId="33" xfId="0" applyFont="1" applyFill="1" applyBorder="1"/>
    <xf numFmtId="173" fontId="1" fillId="8" borderId="33" xfId="0" applyNumberFormat="1" applyFont="1" applyFill="1" applyBorder="1" applyAlignment="1">
      <alignment horizontal="right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173" fontId="1" fillId="0" borderId="0" xfId="0" applyNumberFormat="1" applyFont="1" applyFill="1" applyAlignment="1">
      <alignment horizontal="right" vertical="center"/>
    </xf>
    <xf numFmtId="0" fontId="2" fillId="8" borderId="33" xfId="0" applyFont="1" applyFill="1" applyBorder="1" applyAlignment="1">
      <alignment vertical="center" wrapText="1"/>
    </xf>
    <xf numFmtId="173" fontId="1" fillId="8" borderId="33" xfId="0" applyNumberFormat="1" applyFont="1" applyFill="1" applyBorder="1" applyAlignment="1">
      <alignment horizontal="right" vertical="center"/>
    </xf>
    <xf numFmtId="0" fontId="1" fillId="0" borderId="0" xfId="0" applyFont="1" applyFill="1"/>
    <xf numFmtId="0" fontId="23" fillId="0" borderId="0" xfId="0" applyFont="1" applyFill="1" applyAlignment="1">
      <alignment horizontal="left" vertical="top"/>
    </xf>
    <xf numFmtId="0" fontId="23" fillId="0" borderId="0" xfId="0" applyFont="1" applyFill="1" applyBorder="1" applyAlignment="1">
      <alignment horizontal="left" vertical="top"/>
    </xf>
    <xf numFmtId="0" fontId="2" fillId="0" borderId="0" xfId="0" applyFont="1" applyFill="1" applyAlignment="1">
      <alignment horizontal="left"/>
    </xf>
    <xf numFmtId="0" fontId="2" fillId="8" borderId="40" xfId="0" applyFont="1" applyFill="1" applyBorder="1"/>
    <xf numFmtId="0" fontId="2" fillId="8" borderId="60" xfId="0" applyFont="1" applyFill="1" applyBorder="1"/>
    <xf numFmtId="10" fontId="1" fillId="0" borderId="0" xfId="0" applyNumberFormat="1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9" fontId="23" fillId="0" borderId="0" xfId="0" applyNumberFormat="1" applyFont="1" applyFill="1" applyBorder="1" applyAlignment="1">
      <alignment horizontal="left" vertical="top"/>
    </xf>
    <xf numFmtId="176" fontId="10" fillId="0" borderId="47" xfId="0" applyNumberFormat="1" applyFont="1" applyBorder="1" applyAlignment="1">
      <alignment horizontal="center" vertical="center"/>
    </xf>
    <xf numFmtId="176" fontId="1" fillId="0" borderId="0" xfId="0" applyNumberFormat="1" applyFont="1" applyBorder="1" applyAlignment="1">
      <alignment horizontal="right" vertical="center"/>
    </xf>
    <xf numFmtId="176" fontId="2" fillId="0" borderId="0" xfId="0" applyNumberFormat="1" applyFont="1" applyBorder="1" applyAlignment="1">
      <alignment horizontal="right" vertical="center"/>
    </xf>
    <xf numFmtId="177" fontId="2" fillId="8" borderId="36" xfId="0" applyNumberFormat="1" applyFont="1" applyFill="1" applyBorder="1" applyAlignment="1">
      <alignment horizontal="right"/>
    </xf>
    <xf numFmtId="0" fontId="24" fillId="3" borderId="0" xfId="0" applyFont="1" applyFill="1"/>
    <xf numFmtId="0" fontId="2" fillId="8" borderId="6" xfId="0" applyFont="1" applyFill="1" applyBorder="1"/>
    <xf numFmtId="0" fontId="2" fillId="8" borderId="16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left" vertical="top"/>
    </xf>
    <xf numFmtId="37" fontId="1" fillId="3" borderId="18" xfId="1" applyNumberFormat="1" applyFont="1" applyFill="1" applyBorder="1" applyAlignment="1">
      <alignment horizontal="center" vertical="center"/>
    </xf>
    <xf numFmtId="3" fontId="1" fillId="3" borderId="18" xfId="0" applyNumberFormat="1" applyFont="1" applyFill="1" applyBorder="1" applyAlignment="1">
      <alignment horizontal="center"/>
    </xf>
    <xf numFmtId="0" fontId="23" fillId="3" borderId="61" xfId="0" applyFont="1" applyFill="1" applyBorder="1" applyAlignment="1">
      <alignment horizontal="left" vertical="top"/>
    </xf>
    <xf numFmtId="37" fontId="1" fillId="3" borderId="64" xfId="1" applyNumberFormat="1" applyFont="1" applyFill="1" applyBorder="1" applyAlignment="1">
      <alignment horizontal="center" vertical="center"/>
    </xf>
    <xf numFmtId="0" fontId="1" fillId="3" borderId="64" xfId="0" applyFont="1" applyFill="1" applyBorder="1" applyAlignment="1">
      <alignment horizontal="center"/>
    </xf>
    <xf numFmtId="3" fontId="1" fillId="3" borderId="64" xfId="0" applyNumberFormat="1" applyFont="1" applyFill="1" applyBorder="1" applyAlignment="1">
      <alignment horizontal="center"/>
    </xf>
    <xf numFmtId="0" fontId="25" fillId="3" borderId="22" xfId="0" applyFont="1" applyFill="1" applyBorder="1" applyAlignment="1">
      <alignment horizontal="left" vertical="top"/>
    </xf>
    <xf numFmtId="37" fontId="2" fillId="0" borderId="4" xfId="1" applyNumberFormat="1" applyFont="1" applyBorder="1" applyAlignment="1">
      <alignment horizontal="center" vertical="center"/>
    </xf>
    <xf numFmtId="3" fontId="2" fillId="3" borderId="4" xfId="0" applyNumberFormat="1" applyFont="1" applyFill="1" applyBorder="1" applyAlignment="1">
      <alignment horizontal="center"/>
    </xf>
    <xf numFmtId="0" fontId="25" fillId="3" borderId="0" xfId="0" applyFont="1" applyFill="1" applyAlignment="1">
      <alignment horizontal="left" vertical="top"/>
    </xf>
    <xf numFmtId="37" fontId="2" fillId="3" borderId="0" xfId="1" applyNumberFormat="1" applyFont="1" applyFill="1" applyAlignment="1">
      <alignment horizontal="center" vertical="center"/>
    </xf>
    <xf numFmtId="1" fontId="2" fillId="3" borderId="0" xfId="0" applyNumberFormat="1" applyFont="1" applyFill="1" applyAlignment="1">
      <alignment horizontal="center"/>
    </xf>
    <xf numFmtId="3" fontId="1" fillId="3" borderId="0" xfId="0" applyNumberFormat="1" applyFont="1" applyFill="1" applyAlignment="1">
      <alignment horizontal="center"/>
    </xf>
    <xf numFmtId="0" fontId="1" fillId="3" borderId="0" xfId="0" applyFont="1" applyFill="1" applyBorder="1" applyAlignment="1">
      <alignment horizontal="right"/>
    </xf>
    <xf numFmtId="0" fontId="1" fillId="3" borderId="0" xfId="0" applyFont="1" applyFill="1" applyBorder="1"/>
    <xf numFmtId="0" fontId="1" fillId="3" borderId="0" xfId="0" applyFont="1" applyFill="1" applyBorder="1" applyAlignment="1">
      <alignment horizontal="center"/>
    </xf>
    <xf numFmtId="37" fontId="1" fillId="3" borderId="0" xfId="0" applyNumberFormat="1" applyFont="1" applyFill="1" applyBorder="1" applyAlignment="1">
      <alignment horizontal="center"/>
    </xf>
    <xf numFmtId="166" fontId="1" fillId="3" borderId="0" xfId="3" applyFont="1" applyFill="1"/>
    <xf numFmtId="37" fontId="1" fillId="3" borderId="0" xfId="0" applyNumberFormat="1" applyFont="1" applyFill="1" applyAlignment="1">
      <alignment horizontal="center"/>
    </xf>
    <xf numFmtId="171" fontId="2" fillId="3" borderId="4" xfId="0" applyNumberFormat="1" applyFont="1" applyFill="1" applyBorder="1" applyAlignment="1">
      <alignment horizontal="center"/>
    </xf>
    <xf numFmtId="0" fontId="10" fillId="3" borderId="11" xfId="0" applyFont="1" applyFill="1" applyBorder="1"/>
    <xf numFmtId="0" fontId="26" fillId="7" borderId="21" xfId="0" applyFont="1" applyFill="1" applyBorder="1" applyAlignment="1">
      <alignment vertical="center"/>
    </xf>
    <xf numFmtId="164" fontId="19" fillId="4" borderId="22" xfId="0" applyNumberFormat="1" applyFont="1" applyFill="1" applyBorder="1" applyAlignment="1">
      <alignment horizontal="center" vertical="center"/>
    </xf>
    <xf numFmtId="164" fontId="19" fillId="4" borderId="4" xfId="0" applyNumberFormat="1" applyFont="1" applyFill="1" applyBorder="1" applyAlignment="1">
      <alignment horizontal="center" vertical="center"/>
    </xf>
    <xf numFmtId="164" fontId="19" fillId="4" borderId="21" xfId="0" applyNumberFormat="1" applyFont="1" applyFill="1" applyBorder="1" applyAlignment="1">
      <alignment horizontal="center" vertical="center"/>
    </xf>
    <xf numFmtId="0" fontId="10" fillId="3" borderId="0" xfId="0" applyFont="1" applyFill="1"/>
    <xf numFmtId="0" fontId="9" fillId="3" borderId="3" xfId="0" applyFont="1" applyFill="1" applyBorder="1" applyAlignment="1">
      <alignment vertical="center"/>
    </xf>
    <xf numFmtId="164" fontId="10" fillId="5" borderId="23" xfId="0" applyNumberFormat="1" applyFont="1" applyFill="1" applyBorder="1" applyAlignment="1">
      <alignment horizontal="center" vertical="center"/>
    </xf>
    <xf numFmtId="164" fontId="10" fillId="5" borderId="46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 indent="1"/>
    </xf>
    <xf numFmtId="1" fontId="10" fillId="3" borderId="18" xfId="0" applyNumberFormat="1" applyFont="1" applyFill="1" applyBorder="1" applyAlignment="1">
      <alignment horizontal="center"/>
    </xf>
    <xf numFmtId="0" fontId="10" fillId="3" borderId="2" xfId="0" applyFont="1" applyFill="1" applyBorder="1" applyAlignment="1">
      <alignment horizontal="left" vertical="center" indent="1"/>
    </xf>
    <xf numFmtId="9" fontId="10" fillId="0" borderId="19" xfId="0" applyNumberFormat="1" applyFont="1" applyFill="1" applyBorder="1" applyAlignment="1">
      <alignment horizontal="center"/>
    </xf>
    <xf numFmtId="0" fontId="10" fillId="3" borderId="35" xfId="0" applyFont="1" applyFill="1" applyBorder="1"/>
    <xf numFmtId="0" fontId="10" fillId="0" borderId="11" xfId="0" applyFont="1" applyBorder="1"/>
    <xf numFmtId="0" fontId="9" fillId="3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 indent="1"/>
    </xf>
    <xf numFmtId="0" fontId="9" fillId="0" borderId="11" xfId="0" applyFont="1" applyBorder="1"/>
    <xf numFmtId="0" fontId="9" fillId="0" borderId="0" xfId="0" applyFont="1"/>
    <xf numFmtId="0" fontId="9" fillId="0" borderId="1" xfId="0" applyFont="1" applyBorder="1" applyAlignment="1">
      <alignment horizontal="left" vertical="center"/>
    </xf>
    <xf numFmtId="0" fontId="9" fillId="3" borderId="11" xfId="0" applyFont="1" applyFill="1" applyBorder="1"/>
    <xf numFmtId="0" fontId="9" fillId="3" borderId="0" xfId="0" applyFont="1" applyFill="1"/>
    <xf numFmtId="0" fontId="10" fillId="3" borderId="25" xfId="0" applyFont="1" applyFill="1" applyBorder="1" applyAlignment="1">
      <alignment vertical="center"/>
    </xf>
    <xf numFmtId="0" fontId="10" fillId="3" borderId="0" xfId="0" applyFont="1" applyFill="1" applyAlignment="1">
      <alignment vertical="center"/>
    </xf>
    <xf numFmtId="176" fontId="10" fillId="0" borderId="24" xfId="0" applyNumberFormat="1" applyFont="1" applyBorder="1" applyAlignment="1">
      <alignment horizontal="center" vertical="center"/>
    </xf>
    <xf numFmtId="176" fontId="10" fillId="3" borderId="47" xfId="0" applyNumberFormat="1" applyFont="1" applyFill="1" applyBorder="1" applyAlignment="1">
      <alignment horizontal="center" vertical="center"/>
    </xf>
    <xf numFmtId="176" fontId="10" fillId="0" borderId="45" xfId="0" applyNumberFormat="1" applyFont="1" applyBorder="1" applyAlignment="1">
      <alignment horizontal="center" vertical="center"/>
    </xf>
    <xf numFmtId="0" fontId="10" fillId="3" borderId="61" xfId="0" applyFont="1" applyFill="1" applyBorder="1" applyAlignment="1">
      <alignment horizontal="left" vertical="center" indent="1"/>
    </xf>
    <xf numFmtId="9" fontId="10" fillId="0" borderId="0" xfId="0" applyNumberFormat="1" applyFont="1" applyFill="1" applyBorder="1" applyAlignment="1">
      <alignment horizontal="center"/>
    </xf>
    <xf numFmtId="164" fontId="9" fillId="5" borderId="23" xfId="0" applyNumberFormat="1" applyFont="1" applyFill="1" applyBorder="1" applyAlignment="1">
      <alignment horizontal="center" vertical="center"/>
    </xf>
    <xf numFmtId="0" fontId="10" fillId="3" borderId="63" xfId="0" applyFont="1" applyFill="1" applyBorder="1" applyAlignment="1">
      <alignment vertical="center"/>
    </xf>
    <xf numFmtId="3" fontId="10" fillId="3" borderId="18" xfId="0" applyNumberFormat="1" applyFont="1" applyFill="1" applyBorder="1" applyAlignment="1">
      <alignment horizontal="center" vertical="center"/>
    </xf>
    <xf numFmtId="176" fontId="10" fillId="0" borderId="50" xfId="0" applyNumberFormat="1" applyFont="1" applyBorder="1" applyAlignment="1">
      <alignment horizontal="center" vertical="center"/>
    </xf>
    <xf numFmtId="3" fontId="10" fillId="3" borderId="24" xfId="0" applyNumberFormat="1" applyFont="1" applyFill="1" applyBorder="1" applyAlignment="1">
      <alignment horizontal="center" vertical="center"/>
    </xf>
    <xf numFmtId="0" fontId="10" fillId="3" borderId="17" xfId="0" applyFont="1" applyFill="1" applyBorder="1"/>
    <xf numFmtId="3" fontId="10" fillId="3" borderId="41" xfId="0" applyNumberFormat="1" applyFont="1" applyFill="1" applyBorder="1" applyAlignment="1">
      <alignment horizontal="center"/>
    </xf>
    <xf numFmtId="3" fontId="10" fillId="3" borderId="48" xfId="0" applyNumberFormat="1" applyFont="1" applyFill="1" applyBorder="1" applyAlignment="1">
      <alignment horizontal="center"/>
    </xf>
    <xf numFmtId="164" fontId="9" fillId="3" borderId="0" xfId="0" applyNumberFormat="1" applyFont="1" applyFill="1" applyBorder="1" applyAlignment="1">
      <alignment horizontal="center" vertical="center"/>
    </xf>
    <xf numFmtId="176" fontId="9" fillId="3" borderId="22" xfId="0" applyNumberFormat="1" applyFont="1" applyFill="1" applyBorder="1" applyAlignment="1">
      <alignment horizontal="center" vertical="center"/>
    </xf>
    <xf numFmtId="176" fontId="9" fillId="3" borderId="4" xfId="0" applyNumberFormat="1" applyFont="1" applyFill="1" applyBorder="1" applyAlignment="1">
      <alignment horizontal="center" vertical="center"/>
    </xf>
    <xf numFmtId="176" fontId="9" fillId="3" borderId="5" xfId="0" applyNumberFormat="1" applyFont="1" applyFill="1" applyBorder="1" applyAlignment="1">
      <alignment horizontal="center" vertical="center"/>
    </xf>
    <xf numFmtId="176" fontId="9" fillId="3" borderId="21" xfId="0" applyNumberFormat="1" applyFont="1" applyFill="1" applyBorder="1" applyAlignment="1">
      <alignment horizontal="center" vertical="center"/>
    </xf>
    <xf numFmtId="0" fontId="10" fillId="3" borderId="25" xfId="0" applyFont="1" applyFill="1" applyBorder="1" applyAlignment="1">
      <alignment horizontal="left" vertical="center" indent="1"/>
    </xf>
    <xf numFmtId="0" fontId="9" fillId="3" borderId="55" xfId="0" applyFont="1" applyFill="1" applyBorder="1" applyAlignment="1">
      <alignment vertical="center"/>
    </xf>
    <xf numFmtId="0" fontId="10" fillId="3" borderId="53" xfId="0" applyFont="1" applyFill="1" applyBorder="1" applyAlignment="1">
      <alignment horizontal="left" vertical="center" indent="1"/>
    </xf>
    <xf numFmtId="0" fontId="9" fillId="3" borderId="25" xfId="0" applyFont="1" applyFill="1" applyBorder="1" applyAlignment="1">
      <alignment vertical="center"/>
    </xf>
    <xf numFmtId="164" fontId="27" fillId="3" borderId="0" xfId="0" applyNumberFormat="1" applyFont="1" applyFill="1" applyBorder="1" applyAlignment="1">
      <alignment horizontal="center" vertical="center"/>
    </xf>
    <xf numFmtId="0" fontId="10" fillId="3" borderId="0" xfId="0" applyFont="1" applyFill="1" applyBorder="1"/>
    <xf numFmtId="176" fontId="10" fillId="0" borderId="19" xfId="0" applyNumberFormat="1" applyFont="1" applyBorder="1" applyAlignment="1">
      <alignment horizontal="center" vertical="center"/>
    </xf>
    <xf numFmtId="176" fontId="10" fillId="0" borderId="31" xfId="0" applyNumberFormat="1" applyFont="1" applyBorder="1" applyAlignment="1">
      <alignment horizontal="center" vertical="center"/>
    </xf>
    <xf numFmtId="3" fontId="10" fillId="3" borderId="0" xfId="0" applyNumberFormat="1" applyFont="1" applyFill="1" applyBorder="1" applyAlignment="1">
      <alignment horizontal="center" vertical="center"/>
    </xf>
    <xf numFmtId="0" fontId="9" fillId="3" borderId="65" xfId="0" applyFont="1" applyFill="1" applyBorder="1" applyAlignment="1">
      <alignment vertical="center"/>
    </xf>
    <xf numFmtId="0" fontId="1" fillId="0" borderId="0" xfId="0" applyFont="1" applyFill="1" applyAlignment="1">
      <alignment vertical="top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left" vertical="center" wrapText="1"/>
    </xf>
    <xf numFmtId="173" fontId="2" fillId="8" borderId="33" xfId="0" applyNumberFormat="1" applyFont="1" applyFill="1" applyBorder="1" applyAlignment="1">
      <alignment horizontal="left"/>
    </xf>
    <xf numFmtId="0" fontId="9" fillId="3" borderId="21" xfId="0" applyFont="1" applyFill="1" applyBorder="1" applyAlignment="1">
      <alignment vertical="center"/>
    </xf>
    <xf numFmtId="0" fontId="9" fillId="8" borderId="22" xfId="0" applyFont="1" applyFill="1" applyBorder="1" applyAlignment="1">
      <alignment vertical="center"/>
    </xf>
    <xf numFmtId="170" fontId="1" fillId="0" borderId="0" xfId="0" applyNumberFormat="1" applyFont="1" applyFill="1" applyAlignment="1">
      <alignment horizontal="center" vertical="center" wrapText="1"/>
    </xf>
    <xf numFmtId="0" fontId="4" fillId="3" borderId="63" xfId="0" applyFont="1" applyFill="1" applyBorder="1" applyAlignment="1">
      <alignment vertical="center"/>
    </xf>
    <xf numFmtId="0" fontId="7" fillId="8" borderId="2" xfId="0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178" fontId="10" fillId="3" borderId="0" xfId="0" applyNumberFormat="1" applyFont="1" applyFill="1" applyAlignment="1">
      <alignment vertical="center"/>
    </xf>
    <xf numFmtId="178" fontId="10" fillId="5" borderId="23" xfId="7" applyNumberFormat="1" applyFont="1" applyFill="1" applyBorder="1" applyAlignment="1">
      <alignment horizontal="center" vertical="center"/>
    </xf>
    <xf numFmtId="176" fontId="10" fillId="0" borderId="46" xfId="0" applyNumberFormat="1" applyFont="1" applyBorder="1" applyAlignment="1">
      <alignment horizontal="center" vertical="center"/>
    </xf>
    <xf numFmtId="176" fontId="10" fillId="0" borderId="48" xfId="0" applyNumberFormat="1" applyFont="1" applyBorder="1" applyAlignment="1">
      <alignment horizontal="center" vertical="center"/>
    </xf>
    <xf numFmtId="176" fontId="10" fillId="3" borderId="26" xfId="0" applyNumberFormat="1" applyFont="1" applyFill="1" applyBorder="1" applyAlignment="1">
      <alignment vertical="center"/>
    </xf>
    <xf numFmtId="176" fontId="10" fillId="3" borderId="26" xfId="0" applyNumberFormat="1" applyFont="1" applyFill="1" applyBorder="1"/>
    <xf numFmtId="176" fontId="10" fillId="3" borderId="48" xfId="0" applyNumberFormat="1" applyFont="1" applyFill="1" applyBorder="1"/>
    <xf numFmtId="176" fontId="10" fillId="5" borderId="23" xfId="7" applyNumberFormat="1" applyFont="1" applyFill="1" applyBorder="1" applyAlignment="1">
      <alignment horizontal="center" vertical="center"/>
    </xf>
    <xf numFmtId="176" fontId="10" fillId="5" borderId="21" xfId="7" applyNumberFormat="1" applyFont="1" applyFill="1" applyBorder="1" applyAlignment="1">
      <alignment horizontal="center" vertical="center"/>
    </xf>
    <xf numFmtId="176" fontId="10" fillId="14" borderId="18" xfId="0" applyNumberFormat="1" applyFont="1" applyFill="1" applyBorder="1" applyAlignment="1">
      <alignment horizontal="center"/>
    </xf>
    <xf numFmtId="176" fontId="10" fillId="14" borderId="24" xfId="0" applyNumberFormat="1" applyFont="1" applyFill="1" applyBorder="1" applyAlignment="1">
      <alignment horizontal="center"/>
    </xf>
    <xf numFmtId="176" fontId="10" fillId="14" borderId="49" xfId="0" applyNumberFormat="1" applyFont="1" applyFill="1" applyBorder="1" applyAlignment="1">
      <alignment horizontal="center"/>
    </xf>
    <xf numFmtId="176" fontId="10" fillId="3" borderId="24" xfId="0" applyNumberFormat="1" applyFont="1" applyFill="1" applyBorder="1" applyAlignment="1">
      <alignment horizontal="center" vertical="center"/>
    </xf>
    <xf numFmtId="176" fontId="10" fillId="0" borderId="47" xfId="0" applyNumberFormat="1" applyFont="1" applyBorder="1" applyAlignment="1">
      <alignment horizontal="center"/>
    </xf>
    <xf numFmtId="176" fontId="10" fillId="0" borderId="18" xfId="0" applyNumberFormat="1" applyFont="1" applyBorder="1" applyAlignment="1">
      <alignment horizontal="center"/>
    </xf>
    <xf numFmtId="176" fontId="9" fillId="0" borderId="18" xfId="0" applyNumberFormat="1" applyFont="1" applyBorder="1" applyAlignment="1">
      <alignment horizontal="center"/>
    </xf>
    <xf numFmtId="176" fontId="9" fillId="3" borderId="47" xfId="0" applyNumberFormat="1" applyFont="1" applyFill="1" applyBorder="1" applyAlignment="1">
      <alignment horizontal="center" vertical="center"/>
    </xf>
    <xf numFmtId="176" fontId="10" fillId="0" borderId="24" xfId="0" applyNumberFormat="1" applyFont="1" applyBorder="1" applyAlignment="1">
      <alignment horizontal="center"/>
    </xf>
    <xf numFmtId="176" fontId="9" fillId="0" borderId="24" xfId="0" applyNumberFormat="1" applyFont="1" applyBorder="1" applyAlignment="1">
      <alignment horizontal="center"/>
    </xf>
    <xf numFmtId="176" fontId="9" fillId="0" borderId="24" xfId="0" applyNumberFormat="1" applyFont="1" applyBorder="1" applyAlignment="1">
      <alignment horizontal="center" vertical="center"/>
    </xf>
    <xf numFmtId="176" fontId="9" fillId="0" borderId="24" xfId="0" applyNumberFormat="1" applyFont="1" applyFill="1" applyBorder="1" applyAlignment="1">
      <alignment horizontal="center" vertical="center"/>
    </xf>
    <xf numFmtId="176" fontId="10" fillId="3" borderId="0" xfId="0" applyNumberFormat="1" applyFont="1" applyFill="1" applyBorder="1" applyAlignment="1">
      <alignment vertical="center"/>
    </xf>
    <xf numFmtId="176" fontId="10" fillId="3" borderId="17" xfId="0" applyNumberFormat="1" applyFont="1" applyFill="1" applyBorder="1" applyAlignment="1">
      <alignment vertical="center"/>
    </xf>
    <xf numFmtId="176" fontId="9" fillId="8" borderId="4" xfId="0" applyNumberFormat="1" applyFont="1" applyFill="1" applyBorder="1" applyAlignment="1">
      <alignment horizontal="center" vertical="center"/>
    </xf>
    <xf numFmtId="176" fontId="9" fillId="8" borderId="21" xfId="0" applyNumberFormat="1" applyFont="1" applyFill="1" applyBorder="1" applyAlignment="1">
      <alignment horizontal="center" vertical="center"/>
    </xf>
    <xf numFmtId="0" fontId="9" fillId="3" borderId="3" xfId="0" applyFont="1" applyFill="1" applyBorder="1"/>
    <xf numFmtId="0" fontId="10" fillId="3" borderId="1" xfId="0" applyFont="1" applyFill="1" applyBorder="1"/>
    <xf numFmtId="0" fontId="10" fillId="3" borderId="2" xfId="0" applyFont="1" applyFill="1" applyBorder="1"/>
    <xf numFmtId="0" fontId="9" fillId="8" borderId="2" xfId="0" applyFont="1" applyFill="1" applyBorder="1" applyAlignment="1">
      <alignment vertical="center"/>
    </xf>
    <xf numFmtId="0" fontId="9" fillId="3" borderId="0" xfId="0" applyFont="1" applyFill="1" applyBorder="1"/>
    <xf numFmtId="178" fontId="9" fillId="3" borderId="0" xfId="0" applyNumberFormat="1" applyFont="1" applyFill="1" applyBorder="1" applyAlignment="1">
      <alignment vertical="center"/>
    </xf>
    <xf numFmtId="0" fontId="9" fillId="3" borderId="22" xfId="0" applyFont="1" applyFill="1" applyBorder="1"/>
    <xf numFmtId="0" fontId="9" fillId="3" borderId="61" xfId="0" applyFont="1" applyFill="1" applyBorder="1"/>
    <xf numFmtId="178" fontId="10" fillId="3" borderId="18" xfId="0" applyNumberFormat="1" applyFont="1" applyFill="1" applyBorder="1" applyAlignment="1">
      <alignment horizontal="center" vertical="center"/>
    </xf>
    <xf numFmtId="178" fontId="9" fillId="8" borderId="19" xfId="0" applyNumberFormat="1" applyFont="1" applyFill="1" applyBorder="1" applyAlignment="1">
      <alignment horizontal="center" vertical="center"/>
    </xf>
    <xf numFmtId="178" fontId="9" fillId="3" borderId="0" xfId="0" applyNumberFormat="1" applyFont="1" applyFill="1" applyAlignment="1">
      <alignment horizontal="center" vertical="center"/>
    </xf>
    <xf numFmtId="178" fontId="10" fillId="3" borderId="38" xfId="0" applyNumberFormat="1" applyFont="1" applyFill="1" applyBorder="1" applyAlignment="1">
      <alignment horizontal="center" vertical="center"/>
    </xf>
    <xf numFmtId="178" fontId="10" fillId="3" borderId="19" xfId="0" applyNumberFormat="1" applyFont="1" applyFill="1" applyBorder="1" applyAlignment="1">
      <alignment horizontal="center" vertical="center"/>
    </xf>
    <xf numFmtId="178" fontId="10" fillId="3" borderId="0" xfId="0" applyNumberFormat="1" applyFont="1" applyFill="1" applyBorder="1" applyAlignment="1">
      <alignment horizontal="center" vertical="center"/>
    </xf>
    <xf numFmtId="178" fontId="10" fillId="3" borderId="44" xfId="0" applyNumberFormat="1" applyFont="1" applyFill="1" applyBorder="1" applyAlignment="1">
      <alignment horizontal="center" vertical="center"/>
    </xf>
    <xf numFmtId="178" fontId="9" fillId="3" borderId="4" xfId="0" applyNumberFormat="1" applyFont="1" applyFill="1" applyBorder="1" applyAlignment="1">
      <alignment horizontal="center" vertical="center"/>
    </xf>
    <xf numFmtId="178" fontId="9" fillId="3" borderId="0" xfId="0" applyNumberFormat="1" applyFont="1" applyFill="1" applyBorder="1" applyAlignment="1">
      <alignment horizontal="center" vertical="center"/>
    </xf>
    <xf numFmtId="0" fontId="9" fillId="3" borderId="62" xfId="0" applyFont="1" applyFill="1" applyBorder="1"/>
    <xf numFmtId="178" fontId="9" fillId="3" borderId="38" xfId="0" applyNumberFormat="1" applyFont="1" applyFill="1" applyBorder="1" applyAlignment="1">
      <alignment horizontal="center" vertical="center"/>
    </xf>
    <xf numFmtId="0" fontId="9" fillId="3" borderId="53" xfId="0" applyFont="1" applyFill="1" applyBorder="1"/>
    <xf numFmtId="178" fontId="9" fillId="3" borderId="19" xfId="0" applyNumberFormat="1" applyFont="1" applyFill="1" applyBorder="1" applyAlignment="1">
      <alignment horizontal="center" vertical="center"/>
    </xf>
    <xf numFmtId="10" fontId="10" fillId="3" borderId="18" xfId="0" applyNumberFormat="1" applyFont="1" applyFill="1" applyBorder="1" applyAlignment="1">
      <alignment horizontal="center" vertical="center"/>
    </xf>
    <xf numFmtId="178" fontId="9" fillId="3" borderId="66" xfId="0" applyNumberFormat="1" applyFont="1" applyFill="1" applyBorder="1" applyAlignment="1">
      <alignment horizontal="center" vertical="center"/>
    </xf>
    <xf numFmtId="0" fontId="9" fillId="3" borderId="1" xfId="0" applyFont="1" applyFill="1" applyBorder="1"/>
    <xf numFmtId="0" fontId="9" fillId="3" borderId="2" xfId="0" applyFont="1" applyFill="1" applyBorder="1"/>
    <xf numFmtId="178" fontId="10" fillId="3" borderId="24" xfId="0" applyNumberFormat="1" applyFont="1" applyFill="1" applyBorder="1" applyAlignment="1">
      <alignment horizontal="center" vertical="center"/>
    </xf>
    <xf numFmtId="178" fontId="9" fillId="8" borderId="31" xfId="0" applyNumberFormat="1" applyFont="1" applyFill="1" applyBorder="1" applyAlignment="1">
      <alignment horizontal="center" vertical="center"/>
    </xf>
    <xf numFmtId="178" fontId="10" fillId="5" borderId="56" xfId="7" applyNumberFormat="1" applyFont="1" applyFill="1" applyBorder="1" applyAlignment="1">
      <alignment horizontal="center" vertical="center"/>
    </xf>
    <xf numFmtId="178" fontId="10" fillId="3" borderId="46" xfId="0" applyNumberFormat="1" applyFont="1" applyFill="1" applyBorder="1" applyAlignment="1">
      <alignment horizontal="center" vertical="center"/>
    </xf>
    <xf numFmtId="178" fontId="9" fillId="8" borderId="50" xfId="0" applyNumberFormat="1" applyFont="1" applyFill="1" applyBorder="1" applyAlignment="1">
      <alignment horizontal="center" vertical="center"/>
    </xf>
    <xf numFmtId="178" fontId="10" fillId="3" borderId="39" xfId="0" applyNumberFormat="1" applyFont="1" applyFill="1" applyBorder="1" applyAlignment="1">
      <alignment horizontal="center" vertical="center"/>
    </xf>
    <xf numFmtId="178" fontId="10" fillId="3" borderId="31" xfId="0" applyNumberFormat="1" applyFont="1" applyFill="1" applyBorder="1" applyAlignment="1">
      <alignment horizontal="center" vertical="center"/>
    </xf>
    <xf numFmtId="178" fontId="10" fillId="3" borderId="47" xfId="0" applyNumberFormat="1" applyFont="1" applyFill="1" applyBorder="1" applyAlignment="1">
      <alignment horizontal="center" vertical="center"/>
    </xf>
    <xf numFmtId="178" fontId="10" fillId="3" borderId="50" xfId="0" applyNumberFormat="1" applyFont="1" applyFill="1" applyBorder="1" applyAlignment="1">
      <alignment horizontal="center" vertical="center"/>
    </xf>
    <xf numFmtId="178" fontId="9" fillId="3" borderId="5" xfId="0" applyNumberFormat="1" applyFont="1" applyFill="1" applyBorder="1" applyAlignment="1">
      <alignment horizontal="center" vertical="center"/>
    </xf>
    <xf numFmtId="178" fontId="9" fillId="3" borderId="21" xfId="0" applyNumberFormat="1" applyFont="1" applyFill="1" applyBorder="1" applyAlignment="1">
      <alignment horizontal="center" vertical="center"/>
    </xf>
    <xf numFmtId="178" fontId="9" fillId="3" borderId="39" xfId="0" applyNumberFormat="1" applyFont="1" applyFill="1" applyBorder="1" applyAlignment="1">
      <alignment horizontal="center" vertical="center"/>
    </xf>
    <xf numFmtId="178" fontId="9" fillId="3" borderId="31" xfId="0" applyNumberFormat="1" applyFont="1" applyFill="1" applyBorder="1" applyAlignment="1">
      <alignment horizontal="center" vertical="center"/>
    </xf>
    <xf numFmtId="178" fontId="9" fillId="3" borderId="46" xfId="0" applyNumberFormat="1" applyFont="1" applyFill="1" applyBorder="1" applyAlignment="1">
      <alignment horizontal="center" vertical="center"/>
    </xf>
    <xf numFmtId="10" fontId="10" fillId="3" borderId="24" xfId="0" applyNumberFormat="1" applyFont="1" applyFill="1" applyBorder="1" applyAlignment="1">
      <alignment horizontal="center" vertical="center"/>
    </xf>
    <xf numFmtId="1" fontId="10" fillId="3" borderId="24" xfId="0" applyNumberFormat="1" applyFont="1" applyFill="1" applyBorder="1" applyAlignment="1">
      <alignment horizontal="center"/>
    </xf>
    <xf numFmtId="9" fontId="10" fillId="0" borderId="31" xfId="0" applyNumberFormat="1" applyFont="1" applyFill="1" applyBorder="1" applyAlignment="1">
      <alignment horizontal="center"/>
    </xf>
    <xf numFmtId="164" fontId="10" fillId="5" borderId="37" xfId="0" applyNumberFormat="1" applyFont="1" applyFill="1" applyBorder="1" applyAlignment="1">
      <alignment horizontal="center" vertical="center"/>
    </xf>
    <xf numFmtId="9" fontId="10" fillId="0" borderId="49" xfId="0" applyNumberFormat="1" applyFont="1" applyFill="1" applyBorder="1" applyAlignment="1">
      <alignment horizontal="center" vertical="center"/>
    </xf>
    <xf numFmtId="1" fontId="9" fillId="0" borderId="47" xfId="0" applyNumberFormat="1" applyFont="1" applyFill="1" applyBorder="1" applyAlignment="1">
      <alignment horizontal="center" vertical="center"/>
    </xf>
    <xf numFmtId="170" fontId="9" fillId="0" borderId="50" xfId="0" applyNumberFormat="1" applyFont="1" applyFill="1" applyBorder="1" applyAlignment="1">
      <alignment horizontal="center" vertical="center"/>
    </xf>
    <xf numFmtId="169" fontId="2" fillId="9" borderId="0" xfId="3" applyNumberFormat="1" applyFont="1" applyFill="1"/>
    <xf numFmtId="0" fontId="2" fillId="9" borderId="0" xfId="0" applyFont="1" applyFill="1"/>
    <xf numFmtId="0" fontId="2" fillId="12" borderId="0" xfId="0" applyFont="1" applyFill="1"/>
    <xf numFmtId="169" fontId="2" fillId="12" borderId="0" xfId="3" applyNumberFormat="1" applyFont="1" applyFill="1"/>
    <xf numFmtId="0" fontId="2" fillId="0" borderId="0" xfId="0" applyFont="1"/>
    <xf numFmtId="0" fontId="2" fillId="11" borderId="0" xfId="0" applyFont="1" applyFill="1"/>
    <xf numFmtId="169" fontId="2" fillId="11" borderId="0" xfId="3" applyNumberFormat="1" applyFont="1" applyFill="1"/>
    <xf numFmtId="0" fontId="2" fillId="10" borderId="0" xfId="0" applyFont="1" applyFill="1"/>
    <xf numFmtId="169" fontId="2" fillId="10" borderId="0" xfId="3" applyNumberFormat="1" applyFont="1" applyFill="1"/>
    <xf numFmtId="0" fontId="2" fillId="13" borderId="0" xfId="0" applyFont="1" applyFill="1"/>
    <xf numFmtId="169" fontId="2" fillId="13" borderId="0" xfId="3" applyNumberFormat="1" applyFont="1" applyFill="1"/>
    <xf numFmtId="176" fontId="7" fillId="3" borderId="0" xfId="0" applyNumberFormat="1" applyFont="1" applyFill="1" applyBorder="1" applyAlignment="1">
      <alignment horizontal="center" vertical="center"/>
    </xf>
    <xf numFmtId="176" fontId="7" fillId="3" borderId="41" xfId="0" applyNumberFormat="1" applyFont="1" applyFill="1" applyBorder="1" applyAlignment="1">
      <alignment horizontal="center" vertical="center"/>
    </xf>
    <xf numFmtId="176" fontId="4" fillId="3" borderId="38" xfId="0" applyNumberFormat="1" applyFont="1" applyFill="1" applyBorder="1" applyAlignment="1">
      <alignment horizontal="center" vertical="center"/>
    </xf>
    <xf numFmtId="176" fontId="4" fillId="0" borderId="38" xfId="0" applyNumberFormat="1" applyFont="1" applyBorder="1" applyAlignment="1">
      <alignment horizontal="center" vertical="center"/>
    </xf>
    <xf numFmtId="176" fontId="4" fillId="0" borderId="39" xfId="0" applyNumberFormat="1" applyFont="1" applyBorder="1" applyAlignment="1">
      <alignment horizontal="center" vertical="center"/>
    </xf>
    <xf numFmtId="176" fontId="4" fillId="3" borderId="16" xfId="0" applyNumberFormat="1" applyFont="1" applyFill="1" applyBorder="1" applyAlignment="1">
      <alignment horizontal="center" vertical="center"/>
    </xf>
    <xf numFmtId="176" fontId="4" fillId="0" borderId="16" xfId="0" applyNumberFormat="1" applyFont="1" applyBorder="1" applyAlignment="1">
      <alignment horizontal="center" vertical="center"/>
    </xf>
    <xf numFmtId="176" fontId="4" fillId="0" borderId="51" xfId="0" applyNumberFormat="1" applyFont="1" applyBorder="1" applyAlignment="1">
      <alignment horizontal="center" vertical="center"/>
    </xf>
    <xf numFmtId="176" fontId="4" fillId="0" borderId="16" xfId="0" applyNumberFormat="1" applyFont="1" applyFill="1" applyBorder="1" applyAlignment="1">
      <alignment horizontal="center" vertical="center"/>
    </xf>
    <xf numFmtId="176" fontId="4" fillId="0" borderId="42" xfId="0" applyNumberFormat="1" applyFont="1" applyFill="1" applyBorder="1" applyAlignment="1">
      <alignment horizontal="center" vertical="center"/>
    </xf>
    <xf numFmtId="176" fontId="4" fillId="0" borderId="43" xfId="0" applyNumberFormat="1" applyFont="1" applyFill="1" applyBorder="1" applyAlignment="1">
      <alignment horizontal="center" vertical="center"/>
    </xf>
    <xf numFmtId="10" fontId="4" fillId="3" borderId="29" xfId="0" applyNumberFormat="1" applyFont="1" applyFill="1" applyBorder="1" applyAlignment="1">
      <alignment horizontal="center"/>
    </xf>
    <xf numFmtId="0" fontId="7" fillId="0" borderId="65" xfId="0" applyFont="1" applyBorder="1" applyAlignment="1">
      <alignment vertical="center"/>
    </xf>
    <xf numFmtId="0" fontId="7" fillId="3" borderId="65" xfId="0" applyFont="1" applyFill="1" applyBorder="1" applyAlignment="1">
      <alignment vertical="center"/>
    </xf>
    <xf numFmtId="176" fontId="7" fillId="3" borderId="67" xfId="0" applyNumberFormat="1" applyFont="1" applyFill="1" applyBorder="1" applyAlignment="1">
      <alignment horizontal="center" vertical="center"/>
    </xf>
    <xf numFmtId="176" fontId="7" fillId="3" borderId="69" xfId="0" applyNumberFormat="1" applyFont="1" applyFill="1" applyBorder="1" applyAlignment="1">
      <alignment horizontal="center" vertical="center"/>
    </xf>
    <xf numFmtId="176" fontId="4" fillId="3" borderId="19" xfId="0" applyNumberFormat="1" applyFont="1" applyFill="1" applyBorder="1" applyAlignment="1">
      <alignment horizontal="center" vertical="center"/>
    </xf>
    <xf numFmtId="0" fontId="7" fillId="0" borderId="25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178" fontId="4" fillId="3" borderId="24" xfId="0" applyNumberFormat="1" applyFont="1" applyFill="1" applyBorder="1" applyAlignment="1">
      <alignment horizontal="center" vertical="center"/>
    </xf>
    <xf numFmtId="178" fontId="4" fillId="0" borderId="24" xfId="0" applyNumberFormat="1" applyFont="1" applyBorder="1" applyAlignment="1">
      <alignment horizontal="center" vertical="center"/>
    </xf>
    <xf numFmtId="178" fontId="4" fillId="0" borderId="18" xfId="0" applyNumberFormat="1" applyFont="1" applyBorder="1" applyAlignment="1">
      <alignment horizontal="center" vertical="center"/>
    </xf>
    <xf numFmtId="178" fontId="4" fillId="0" borderId="58" xfId="0" applyNumberFormat="1" applyFont="1" applyBorder="1" applyAlignment="1">
      <alignment horizontal="center" vertical="center"/>
    </xf>
    <xf numFmtId="178" fontId="7" fillId="3" borderId="31" xfId="0" applyNumberFormat="1" applyFont="1" applyFill="1" applyBorder="1" applyAlignment="1">
      <alignment horizontal="center" vertical="center"/>
    </xf>
    <xf numFmtId="178" fontId="7" fillId="0" borderId="31" xfId="0" applyNumberFormat="1" applyFont="1" applyBorder="1" applyAlignment="1">
      <alignment horizontal="center" vertical="center"/>
    </xf>
    <xf numFmtId="178" fontId="7" fillId="0" borderId="19" xfId="0" applyNumberFormat="1" applyFont="1" applyBorder="1" applyAlignment="1">
      <alignment horizontal="center" vertical="center"/>
    </xf>
    <xf numFmtId="178" fontId="7" fillId="0" borderId="70" xfId="0" applyNumberFormat="1" applyFont="1" applyBorder="1" applyAlignment="1">
      <alignment horizontal="center" vertical="center"/>
    </xf>
    <xf numFmtId="178" fontId="4" fillId="3" borderId="54" xfId="0" applyNumberFormat="1" applyFont="1" applyFill="1" applyBorder="1" applyAlignment="1">
      <alignment horizontal="center" vertical="center"/>
    </xf>
    <xf numFmtId="178" fontId="8" fillId="0" borderId="0" xfId="0" applyNumberFormat="1" applyFont="1" applyBorder="1" applyAlignment="1">
      <alignment horizontal="center" vertical="center"/>
    </xf>
    <xf numFmtId="178" fontId="4" fillId="0" borderId="41" xfId="0" applyNumberFormat="1" applyFont="1" applyBorder="1"/>
    <xf numFmtId="178" fontId="4" fillId="5" borderId="23" xfId="3" applyNumberFormat="1" applyFont="1" applyFill="1" applyBorder="1" applyAlignment="1">
      <alignment horizontal="center" vertical="center"/>
    </xf>
    <xf numFmtId="178" fontId="4" fillId="5" borderId="57" xfId="3" applyNumberFormat="1" applyFont="1" applyFill="1" applyBorder="1" applyAlignment="1">
      <alignment horizontal="center" vertical="center"/>
    </xf>
    <xf numFmtId="178" fontId="4" fillId="3" borderId="18" xfId="0" applyNumberFormat="1" applyFont="1" applyFill="1" applyBorder="1" applyAlignment="1">
      <alignment horizontal="center"/>
    </xf>
    <xf numFmtId="178" fontId="4" fillId="3" borderId="24" xfId="0" applyNumberFormat="1" applyFont="1" applyFill="1" applyBorder="1" applyAlignment="1">
      <alignment horizontal="center"/>
    </xf>
    <xf numFmtId="178" fontId="4" fillId="3" borderId="28" xfId="0" applyNumberFormat="1" applyFont="1" applyFill="1" applyBorder="1" applyAlignment="1">
      <alignment horizontal="center"/>
    </xf>
    <xf numFmtId="178" fontId="4" fillId="0" borderId="47" xfId="0" applyNumberFormat="1" applyFont="1" applyBorder="1" applyAlignment="1">
      <alignment horizontal="center"/>
    </xf>
    <xf numFmtId="178" fontId="4" fillId="0" borderId="18" xfId="0" applyNumberFormat="1" applyFont="1" applyBorder="1" applyAlignment="1">
      <alignment horizontal="center"/>
    </xf>
    <xf numFmtId="178" fontId="4" fillId="0" borderId="24" xfId="0" applyNumberFormat="1" applyFont="1" applyBorder="1" applyAlignment="1">
      <alignment horizontal="center"/>
    </xf>
    <xf numFmtId="178" fontId="4" fillId="0" borderId="28" xfId="0" applyNumberFormat="1" applyFont="1" applyBorder="1" applyAlignment="1">
      <alignment horizontal="center"/>
    </xf>
    <xf numFmtId="178" fontId="7" fillId="0" borderId="47" xfId="0" applyNumberFormat="1" applyFont="1" applyBorder="1" applyAlignment="1">
      <alignment horizontal="center"/>
    </xf>
    <xf numFmtId="178" fontId="7" fillId="3" borderId="24" xfId="0" applyNumberFormat="1" applyFont="1" applyFill="1" applyBorder="1" applyAlignment="1">
      <alignment horizontal="center" vertical="center"/>
    </xf>
    <xf numFmtId="178" fontId="7" fillId="0" borderId="18" xfId="0" applyNumberFormat="1" applyFont="1" applyBorder="1" applyAlignment="1">
      <alignment horizontal="center"/>
    </xf>
    <xf numFmtId="178" fontId="7" fillId="0" borderId="24" xfId="0" applyNumberFormat="1" applyFont="1" applyBorder="1" applyAlignment="1">
      <alignment horizontal="center"/>
    </xf>
    <xf numFmtId="178" fontId="7" fillId="0" borderId="28" xfId="0" applyNumberFormat="1" applyFont="1" applyBorder="1" applyAlignment="1">
      <alignment horizontal="center"/>
    </xf>
    <xf numFmtId="178" fontId="4" fillId="3" borderId="28" xfId="0" applyNumberFormat="1" applyFont="1" applyFill="1" applyBorder="1" applyAlignment="1">
      <alignment horizontal="center" vertical="center"/>
    </xf>
    <xf numFmtId="178" fontId="7" fillId="3" borderId="28" xfId="0" applyNumberFormat="1" applyFont="1" applyFill="1" applyBorder="1" applyAlignment="1">
      <alignment horizontal="center" vertical="center"/>
    </xf>
    <xf numFmtId="178" fontId="7" fillId="0" borderId="50" xfId="0" applyNumberFormat="1" applyFont="1" applyBorder="1" applyAlignment="1">
      <alignment horizontal="center"/>
    </xf>
    <xf numFmtId="178" fontId="7" fillId="3" borderId="29" xfId="0" applyNumberFormat="1" applyFont="1" applyFill="1" applyBorder="1" applyAlignment="1">
      <alignment horizontal="center" vertical="center"/>
    </xf>
    <xf numFmtId="178" fontId="4" fillId="0" borderId="51" xfId="0" applyNumberFormat="1" applyFont="1" applyFill="1" applyBorder="1" applyAlignment="1">
      <alignment horizontal="center" vertical="center"/>
    </xf>
    <xf numFmtId="178" fontId="4" fillId="0" borderId="0" xfId="0" applyNumberFormat="1" applyFont="1" applyFill="1" applyBorder="1" applyAlignment="1">
      <alignment vertical="center"/>
    </xf>
    <xf numFmtId="178" fontId="4" fillId="0" borderId="41" xfId="0" applyNumberFormat="1" applyFont="1" applyFill="1" applyBorder="1" applyAlignment="1">
      <alignment vertical="center"/>
    </xf>
    <xf numFmtId="178" fontId="7" fillId="8" borderId="31" xfId="0" applyNumberFormat="1" applyFont="1" applyFill="1" applyBorder="1" applyAlignment="1">
      <alignment horizontal="center" vertical="center"/>
    </xf>
    <xf numFmtId="178" fontId="4" fillId="0" borderId="67" xfId="0" applyNumberFormat="1" applyFont="1" applyFill="1" applyBorder="1" applyAlignment="1">
      <alignment horizontal="center" vertical="center"/>
    </xf>
    <xf numFmtId="178" fontId="4" fillId="0" borderId="68" xfId="0" applyNumberFormat="1" applyFont="1" applyFill="1" applyBorder="1" applyAlignment="1">
      <alignment horizontal="center" vertical="center"/>
    </xf>
    <xf numFmtId="178" fontId="4" fillId="0" borderId="69" xfId="0" applyNumberFormat="1" applyFont="1" applyFill="1" applyBorder="1" applyAlignment="1">
      <alignment horizontal="center" vertical="center"/>
    </xf>
    <xf numFmtId="176" fontId="4" fillId="3" borderId="43" xfId="0" applyNumberFormat="1" applyFont="1" applyFill="1" applyBorder="1" applyAlignment="1">
      <alignment horizontal="center" vertical="center"/>
    </xf>
    <xf numFmtId="176" fontId="4" fillId="0" borderId="43" xfId="0" applyNumberFormat="1" applyFont="1" applyBorder="1" applyAlignment="1">
      <alignment horizontal="center" vertical="center"/>
    </xf>
    <xf numFmtId="176" fontId="7" fillId="3" borderId="29" xfId="0" applyNumberFormat="1" applyFont="1" applyFill="1" applyBorder="1" applyAlignment="1">
      <alignment horizontal="center"/>
    </xf>
    <xf numFmtId="10" fontId="9" fillId="8" borderId="46" xfId="0" applyNumberFormat="1" applyFont="1" applyFill="1" applyBorder="1" applyAlignment="1">
      <alignment horizontal="center" vertical="center"/>
    </xf>
    <xf numFmtId="10" fontId="9" fillId="8" borderId="50" xfId="0" applyNumberFormat="1" applyFont="1" applyFill="1" applyBorder="1" applyAlignment="1">
      <alignment horizontal="center" vertical="center"/>
    </xf>
    <xf numFmtId="172" fontId="2" fillId="6" borderId="17" xfId="0" applyNumberFormat="1" applyFont="1" applyFill="1" applyBorder="1" applyAlignment="1">
      <alignment horizontal="center" vertical="center"/>
    </xf>
    <xf numFmtId="0" fontId="10" fillId="3" borderId="63" xfId="0" applyFont="1" applyFill="1" applyBorder="1" applyAlignment="1">
      <alignment horizontal="left" vertical="center" indent="1"/>
    </xf>
    <xf numFmtId="3" fontId="10" fillId="3" borderId="30" xfId="0" applyNumberFormat="1" applyFont="1" applyFill="1" applyBorder="1" applyAlignment="1">
      <alignment horizontal="center" vertical="center"/>
    </xf>
    <xf numFmtId="3" fontId="10" fillId="3" borderId="45" xfId="0" applyNumberFormat="1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left" vertical="center" indent="1"/>
    </xf>
    <xf numFmtId="3" fontId="9" fillId="3" borderId="19" xfId="0" applyNumberFormat="1" applyFont="1" applyFill="1" applyBorder="1" applyAlignment="1">
      <alignment horizontal="center" vertical="center"/>
    </xf>
    <xf numFmtId="3" fontId="9" fillId="3" borderId="31" xfId="0" applyNumberFormat="1" applyFont="1" applyFill="1" applyBorder="1" applyAlignment="1">
      <alignment horizontal="center" vertical="center"/>
    </xf>
    <xf numFmtId="164" fontId="10" fillId="5" borderId="56" xfId="0" applyNumberFormat="1" applyFont="1" applyFill="1" applyBorder="1" applyAlignment="1">
      <alignment horizontal="center" vertical="center"/>
    </xf>
    <xf numFmtId="3" fontId="10" fillId="3" borderId="37" xfId="0" applyNumberFormat="1" applyFont="1" applyFill="1" applyBorder="1" applyAlignment="1">
      <alignment horizontal="center"/>
    </xf>
    <xf numFmtId="3" fontId="9" fillId="3" borderId="50" xfId="0" applyNumberFormat="1" applyFont="1" applyFill="1" applyBorder="1" applyAlignment="1">
      <alignment horizontal="center" vertical="center"/>
    </xf>
    <xf numFmtId="10" fontId="10" fillId="3" borderId="19" xfId="0" applyNumberFormat="1" applyFont="1" applyFill="1" applyBorder="1" applyAlignment="1">
      <alignment horizontal="center" vertical="center"/>
    </xf>
    <xf numFmtId="10" fontId="10" fillId="3" borderId="31" xfId="0" applyNumberFormat="1" applyFont="1" applyFill="1" applyBorder="1" applyAlignment="1">
      <alignment horizontal="center" vertical="center"/>
    </xf>
    <xf numFmtId="178" fontId="7" fillId="3" borderId="28" xfId="0" applyNumberFormat="1" applyFont="1" applyFill="1" applyBorder="1" applyAlignment="1">
      <alignment horizontal="center"/>
    </xf>
    <xf numFmtId="0" fontId="1" fillId="3" borderId="1" xfId="0" applyFont="1" applyFill="1" applyBorder="1"/>
    <xf numFmtId="170" fontId="2" fillId="3" borderId="28" xfId="0" applyNumberFormat="1" applyFont="1" applyFill="1" applyBorder="1" applyAlignment="1">
      <alignment horizontal="center"/>
    </xf>
    <xf numFmtId="0" fontId="1" fillId="3" borderId="2" xfId="0" applyFont="1" applyFill="1" applyBorder="1"/>
    <xf numFmtId="170" fontId="2" fillId="3" borderId="29" xfId="0" applyNumberFormat="1" applyFont="1" applyFill="1" applyBorder="1" applyAlignment="1">
      <alignment horizontal="center"/>
    </xf>
    <xf numFmtId="0" fontId="7" fillId="3" borderId="71" xfId="0" applyFont="1" applyFill="1" applyBorder="1" applyAlignment="1">
      <alignment vertical="center"/>
    </xf>
    <xf numFmtId="164" fontId="7" fillId="3" borderId="64" xfId="0" applyNumberFormat="1" applyFont="1" applyFill="1" applyBorder="1" applyAlignment="1">
      <alignment horizontal="center" vertical="center"/>
    </xf>
    <xf numFmtId="164" fontId="7" fillId="3" borderId="54" xfId="0" applyNumberFormat="1" applyFont="1" applyFill="1" applyBorder="1" applyAlignment="1">
      <alignment horizontal="center" vertical="center"/>
    </xf>
    <xf numFmtId="164" fontId="4" fillId="2" borderId="38" xfId="0" applyNumberFormat="1" applyFont="1" applyFill="1" applyBorder="1" applyAlignment="1">
      <alignment horizontal="center" vertical="center"/>
    </xf>
    <xf numFmtId="10" fontId="4" fillId="3" borderId="42" xfId="7" applyNumberFormat="1" applyFont="1" applyFill="1" applyBorder="1" applyAlignment="1">
      <alignment horizontal="center"/>
    </xf>
    <xf numFmtId="171" fontId="4" fillId="0" borderId="19" xfId="0" applyNumberFormat="1" applyFont="1" applyFill="1" applyBorder="1" applyAlignment="1">
      <alignment horizontal="center" vertical="center"/>
    </xf>
    <xf numFmtId="171" fontId="4" fillId="0" borderId="29" xfId="0" applyNumberFormat="1" applyFont="1" applyFill="1" applyBorder="1" applyAlignment="1">
      <alignment horizontal="center" vertical="center"/>
    </xf>
    <xf numFmtId="0" fontId="7" fillId="3" borderId="64" xfId="0" applyFont="1" applyFill="1" applyBorder="1" applyAlignment="1">
      <alignment vertical="center"/>
    </xf>
    <xf numFmtId="170" fontId="7" fillId="3" borderId="38" xfId="0" applyNumberFormat="1" applyFont="1" applyFill="1" applyBorder="1" applyAlignment="1">
      <alignment horizontal="center" vertical="center"/>
    </xf>
    <xf numFmtId="170" fontId="7" fillId="3" borderId="42" xfId="0" applyNumberFormat="1" applyFont="1" applyFill="1" applyBorder="1" applyAlignment="1">
      <alignment horizontal="center" vertical="center"/>
    </xf>
    <xf numFmtId="170" fontId="7" fillId="3" borderId="19" xfId="0" applyNumberFormat="1" applyFont="1" applyFill="1" applyBorder="1" applyAlignment="1">
      <alignment horizontal="center" vertical="center"/>
    </xf>
    <xf numFmtId="170" fontId="7" fillId="3" borderId="29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vertical="center"/>
    </xf>
    <xf numFmtId="176" fontId="7" fillId="8" borderId="18" xfId="0" applyNumberFormat="1" applyFont="1" applyFill="1" applyBorder="1" applyAlignment="1">
      <alignment horizontal="center" vertical="center"/>
    </xf>
    <xf numFmtId="176" fontId="7" fillId="8" borderId="28" xfId="0" applyNumberFormat="1" applyFont="1" applyFill="1" applyBorder="1" applyAlignment="1">
      <alignment horizontal="center" vertical="center"/>
    </xf>
    <xf numFmtId="178" fontId="7" fillId="8" borderId="29" xfId="0" applyNumberFormat="1" applyFont="1" applyFill="1" applyBorder="1" applyAlignment="1">
      <alignment horizontal="center" vertical="center"/>
    </xf>
    <xf numFmtId="179" fontId="1" fillId="6" borderId="17" xfId="0" applyNumberFormat="1" applyFont="1" applyFill="1" applyBorder="1" applyAlignment="1">
      <alignment horizontal="center" vertical="center"/>
    </xf>
    <xf numFmtId="170" fontId="2" fillId="6" borderId="17" xfId="0" applyNumberFormat="1" applyFont="1" applyFill="1" applyBorder="1" applyAlignment="1">
      <alignment horizontal="center" vertical="center"/>
    </xf>
    <xf numFmtId="170" fontId="1" fillId="3" borderId="19" xfId="0" applyNumberFormat="1" applyFont="1" applyFill="1" applyBorder="1" applyAlignment="1">
      <alignment horizontal="center" vertical="center"/>
    </xf>
    <xf numFmtId="170" fontId="1" fillId="0" borderId="0" xfId="0" applyNumberFormat="1" applyFont="1" applyFill="1" applyAlignment="1">
      <alignment horizontal="center" vertical="top" wrapText="1"/>
    </xf>
    <xf numFmtId="0" fontId="9" fillId="3" borderId="7" xfId="0" applyFont="1" applyFill="1" applyBorder="1" applyAlignment="1">
      <alignment horizontal="left" vertical="center"/>
    </xf>
    <xf numFmtId="176" fontId="9" fillId="3" borderId="45" xfId="0" applyNumberFormat="1" applyFont="1" applyFill="1" applyBorder="1" applyAlignment="1">
      <alignment horizontal="center" vertical="center"/>
    </xf>
    <xf numFmtId="176" fontId="9" fillId="3" borderId="48" xfId="0" applyNumberFormat="1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vertical="center"/>
    </xf>
    <xf numFmtId="176" fontId="9" fillId="0" borderId="4" xfId="0" applyNumberFormat="1" applyFont="1" applyBorder="1" applyAlignment="1">
      <alignment horizontal="center" vertical="center"/>
    </xf>
    <xf numFmtId="9" fontId="4" fillId="5" borderId="23" xfId="7" applyFont="1" applyFill="1" applyBorder="1" applyAlignment="1">
      <alignment horizontal="center" vertical="center"/>
    </xf>
    <xf numFmtId="170" fontId="4" fillId="5" borderId="23" xfId="7" applyNumberFormat="1" applyFont="1" applyFill="1" applyBorder="1" applyAlignment="1">
      <alignment horizontal="center" vertical="center"/>
    </xf>
    <xf numFmtId="0" fontId="30" fillId="0" borderId="0" xfId="0" applyFont="1" applyProtection="1">
      <protection locked="0"/>
    </xf>
    <xf numFmtId="0" fontId="31" fillId="16" borderId="55" xfId="0" applyFont="1" applyFill="1" applyBorder="1" applyAlignment="1" applyProtection="1">
      <alignment horizontal="left"/>
      <protection locked="0"/>
    </xf>
    <xf numFmtId="0" fontId="31" fillId="16" borderId="66" xfId="0" applyFont="1" applyFill="1" applyBorder="1" applyAlignment="1" applyProtection="1">
      <alignment horizontal="left"/>
      <protection locked="0"/>
    </xf>
    <xf numFmtId="0" fontId="32" fillId="16" borderId="56" xfId="0" applyFont="1" applyFill="1" applyBorder="1" applyAlignment="1" applyProtection="1">
      <alignment horizontal="left"/>
      <protection locked="0"/>
    </xf>
    <xf numFmtId="0" fontId="30" fillId="0" borderId="25" xfId="0" applyFont="1" applyBorder="1" applyProtection="1">
      <protection locked="0"/>
    </xf>
    <xf numFmtId="0" fontId="30" fillId="0" borderId="0" xfId="0" applyFont="1" applyBorder="1" applyProtection="1">
      <protection locked="0"/>
    </xf>
    <xf numFmtId="170" fontId="30" fillId="0" borderId="0" xfId="0" applyNumberFormat="1" applyFont="1" applyBorder="1" applyProtection="1">
      <protection locked="0"/>
    </xf>
    <xf numFmtId="10" fontId="30" fillId="0" borderId="0" xfId="8" applyNumberFormat="1" applyFont="1" applyBorder="1" applyProtection="1">
      <protection locked="0"/>
    </xf>
    <xf numFmtId="10" fontId="30" fillId="0" borderId="0" xfId="0" applyNumberFormat="1" applyFont="1" applyBorder="1" applyProtection="1">
      <protection locked="0"/>
    </xf>
    <xf numFmtId="9" fontId="30" fillId="0" borderId="0" xfId="8" applyFont="1" applyProtection="1">
      <protection locked="0"/>
    </xf>
    <xf numFmtId="181" fontId="31" fillId="16" borderId="74" xfId="1" applyNumberFormat="1" applyFont="1" applyFill="1" applyBorder="1" applyProtection="1"/>
    <xf numFmtId="9" fontId="30" fillId="0" borderId="0" xfId="0" applyNumberFormat="1" applyFont="1" applyProtection="1">
      <protection locked="0"/>
    </xf>
    <xf numFmtId="0" fontId="30" fillId="0" borderId="0" xfId="0" applyFont="1" applyAlignment="1" applyProtection="1">
      <alignment horizontal="left"/>
      <protection locked="0"/>
    </xf>
    <xf numFmtId="9" fontId="30" fillId="0" borderId="0" xfId="0" applyNumberFormat="1" applyFont="1" applyAlignment="1" applyProtection="1">
      <alignment horizontal="right"/>
      <protection locked="0"/>
    </xf>
    <xf numFmtId="0" fontId="30" fillId="0" borderId="0" xfId="0" applyFont="1" applyAlignment="1" applyProtection="1">
      <alignment horizontal="right"/>
      <protection locked="0"/>
    </xf>
    <xf numFmtId="0" fontId="31" fillId="0" borderId="0" xfId="0" applyFont="1" applyFill="1" applyBorder="1" applyAlignment="1" applyProtection="1">
      <protection locked="0"/>
    </xf>
    <xf numFmtId="0" fontId="30" fillId="0" borderId="0" xfId="0" applyFont="1" applyFill="1" applyBorder="1" applyProtection="1">
      <protection locked="0"/>
    </xf>
    <xf numFmtId="14" fontId="33" fillId="0" borderId="0" xfId="0" applyNumberFormat="1" applyFont="1" applyBorder="1" applyAlignment="1" applyProtection="1">
      <alignment horizontal="center"/>
      <protection locked="0"/>
    </xf>
    <xf numFmtId="14" fontId="33" fillId="0" borderId="0" xfId="0" applyNumberFormat="1" applyFont="1" applyFill="1" applyBorder="1" applyAlignment="1" applyProtection="1">
      <protection locked="0"/>
    </xf>
    <xf numFmtId="0" fontId="33" fillId="0" borderId="0" xfId="0" applyFont="1" applyFill="1" applyBorder="1" applyAlignment="1" applyProtection="1">
      <protection locked="0"/>
    </xf>
    <xf numFmtId="181" fontId="30" fillId="0" borderId="0" xfId="1" applyNumberFormat="1" applyFont="1" applyBorder="1" applyAlignment="1" applyProtection="1"/>
    <xf numFmtId="0" fontId="34" fillId="0" borderId="0" xfId="0" applyFont="1" applyBorder="1" applyAlignment="1"/>
    <xf numFmtId="0" fontId="30" fillId="0" borderId="0" xfId="0" applyFont="1" applyBorder="1" applyAlignment="1">
      <alignment horizontal="center"/>
    </xf>
    <xf numFmtId="0" fontId="30" fillId="0" borderId="0" xfId="0" applyFont="1" applyFill="1" applyBorder="1" applyAlignment="1" applyProtection="1">
      <protection locked="0"/>
    </xf>
    <xf numFmtId="167" fontId="30" fillId="0" borderId="0" xfId="1" applyFont="1" applyBorder="1" applyProtection="1"/>
    <xf numFmtId="181" fontId="30" fillId="0" borderId="0" xfId="1" applyNumberFormat="1" applyFont="1" applyBorder="1" applyProtection="1"/>
    <xf numFmtId="167" fontId="30" fillId="0" borderId="0" xfId="1" applyFont="1" applyFill="1" applyBorder="1" applyProtection="1"/>
    <xf numFmtId="182" fontId="30" fillId="0" borderId="0" xfId="1" applyNumberFormat="1" applyFont="1" applyBorder="1" applyAlignment="1">
      <alignment horizontal="center"/>
    </xf>
    <xf numFmtId="167" fontId="30" fillId="0" borderId="0" xfId="1" applyFont="1" applyFill="1" applyBorder="1" applyProtection="1">
      <protection locked="0"/>
    </xf>
    <xf numFmtId="181" fontId="30" fillId="0" borderId="0" xfId="1" applyNumberFormat="1" applyFont="1" applyFill="1" applyBorder="1" applyProtection="1">
      <protection locked="0"/>
    </xf>
    <xf numFmtId="182" fontId="30" fillId="0" borderId="0" xfId="1" applyNumberFormat="1" applyFont="1" applyBorder="1" applyProtection="1"/>
    <xf numFmtId="182" fontId="30" fillId="0" borderId="0" xfId="1" applyNumberFormat="1" applyFont="1" applyFill="1" applyBorder="1" applyAlignment="1" applyProtection="1">
      <alignment horizontal="center"/>
    </xf>
    <xf numFmtId="182" fontId="30" fillId="0" borderId="0" xfId="1" applyNumberFormat="1" applyFont="1" applyBorder="1" applyAlignment="1"/>
    <xf numFmtId="0" fontId="30" fillId="0" borderId="0" xfId="0" applyFont="1" applyBorder="1" applyAlignment="1"/>
    <xf numFmtId="9" fontId="30" fillId="0" borderId="0" xfId="1" applyNumberFormat="1" applyFont="1" applyFill="1" applyBorder="1" applyAlignment="1" applyProtection="1">
      <alignment horizontal="center" vertical="center"/>
      <protection locked="0"/>
    </xf>
    <xf numFmtId="14" fontId="33" fillId="0" borderId="0" xfId="0" applyNumberFormat="1" applyFont="1" applyFill="1" applyBorder="1" applyAlignment="1" applyProtection="1">
      <alignment horizontal="center"/>
      <protection locked="0"/>
    </xf>
    <xf numFmtId="181" fontId="30" fillId="0" borderId="0" xfId="0" applyNumberFormat="1" applyFont="1" applyFill="1" applyBorder="1" applyAlignment="1" applyProtection="1">
      <alignment horizontal="center"/>
      <protection locked="0"/>
    </xf>
    <xf numFmtId="182" fontId="30" fillId="0" borderId="0" xfId="1" applyNumberFormat="1" applyFont="1" applyFill="1" applyBorder="1" applyProtection="1"/>
    <xf numFmtId="9" fontId="30" fillId="0" borderId="0" xfId="0" applyNumberFormat="1" applyFont="1" applyFill="1" applyBorder="1" applyAlignment="1" applyProtection="1">
      <alignment horizontal="center" vertical="center"/>
      <protection locked="0"/>
    </xf>
    <xf numFmtId="0" fontId="30" fillId="0" borderId="0" xfId="0" applyFont="1" applyBorder="1" applyAlignment="1">
      <alignment horizontal="left"/>
    </xf>
    <xf numFmtId="170" fontId="33" fillId="0" borderId="0" xfId="8" applyNumberFormat="1" applyFont="1" applyBorder="1" applyAlignment="1" applyProtection="1"/>
    <xf numFmtId="170" fontId="33" fillId="0" borderId="0" xfId="8" applyNumberFormat="1" applyFont="1" applyFill="1" applyBorder="1" applyAlignment="1" applyProtection="1">
      <protection locked="0"/>
    </xf>
    <xf numFmtId="170" fontId="33" fillId="0" borderId="0" xfId="8" applyNumberFormat="1" applyFont="1" applyBorder="1" applyAlignment="1" applyProtection="1">
      <alignment horizontal="center"/>
      <protection locked="0"/>
    </xf>
    <xf numFmtId="181" fontId="30" fillId="0" borderId="0" xfId="1" applyNumberFormat="1" applyFont="1" applyFill="1" applyBorder="1" applyAlignment="1" applyProtection="1">
      <protection locked="0"/>
    </xf>
    <xf numFmtId="170" fontId="30" fillId="0" borderId="0" xfId="8" applyNumberFormat="1" applyFont="1" applyFill="1" applyBorder="1" applyAlignment="1" applyProtection="1">
      <alignment horizontal="center" vertical="center"/>
      <protection locked="0"/>
    </xf>
    <xf numFmtId="167" fontId="30" fillId="0" borderId="0" xfId="1" applyFont="1" applyBorder="1" applyProtection="1">
      <protection locked="0"/>
    </xf>
    <xf numFmtId="181" fontId="30" fillId="0" borderId="0" xfId="1" applyNumberFormat="1" applyFont="1" applyBorder="1" applyAlignment="1" applyProtection="1">
      <alignment horizontal="center"/>
      <protection locked="0"/>
    </xf>
    <xf numFmtId="167" fontId="30" fillId="0" borderId="0" xfId="1" applyFont="1" applyProtection="1">
      <protection locked="0"/>
    </xf>
    <xf numFmtId="170" fontId="30" fillId="0" borderId="0" xfId="8" applyNumberFormat="1" applyFont="1" applyBorder="1" applyAlignment="1" applyProtection="1">
      <protection locked="0"/>
    </xf>
    <xf numFmtId="170" fontId="30" fillId="0" borderId="0" xfId="8" applyNumberFormat="1" applyFont="1" applyBorder="1" applyAlignment="1" applyProtection="1">
      <alignment horizontal="center"/>
      <protection locked="0"/>
    </xf>
    <xf numFmtId="167" fontId="30" fillId="0" borderId="0" xfId="1" applyFont="1" applyBorder="1" applyAlignment="1" applyProtection="1">
      <alignment horizontal="center"/>
      <protection locked="0"/>
    </xf>
    <xf numFmtId="167" fontId="33" fillId="0" borderId="0" xfId="1" applyFont="1" applyBorder="1" applyProtection="1">
      <protection locked="0"/>
    </xf>
    <xf numFmtId="0" fontId="30" fillId="0" borderId="0" xfId="0" applyFont="1" applyBorder="1" applyProtection="1"/>
    <xf numFmtId="167" fontId="30" fillId="0" borderId="0" xfId="1" applyFont="1" applyBorder="1" applyAlignment="1" applyProtection="1">
      <protection locked="0"/>
    </xf>
    <xf numFmtId="181" fontId="30" fillId="0" borderId="0" xfId="1" applyNumberFormat="1" applyFont="1" applyBorder="1" applyProtection="1">
      <protection locked="0"/>
    </xf>
    <xf numFmtId="183" fontId="33" fillId="0" borderId="0" xfId="1" applyNumberFormat="1" applyFont="1" applyBorder="1" applyProtection="1">
      <protection locked="0"/>
    </xf>
    <xf numFmtId="181" fontId="33" fillId="0" borderId="0" xfId="0" applyNumberFormat="1" applyFont="1" applyBorder="1" applyProtection="1">
      <protection locked="0"/>
    </xf>
    <xf numFmtId="171" fontId="33" fillId="0" borderId="0" xfId="0" applyNumberFormat="1" applyFont="1" applyBorder="1" applyProtection="1">
      <protection locked="0"/>
    </xf>
    <xf numFmtId="0" fontId="30" fillId="0" borderId="0" xfId="0" applyFont="1" applyBorder="1" applyAlignment="1" applyProtection="1">
      <alignment horizontal="left"/>
      <protection locked="0"/>
    </xf>
    <xf numFmtId="0" fontId="30" fillId="0" borderId="73" xfId="0" applyFont="1" applyBorder="1" applyAlignment="1" applyProtection="1">
      <alignment horizontal="left"/>
      <protection locked="0"/>
    </xf>
    <xf numFmtId="170" fontId="30" fillId="15" borderId="41" xfId="8" applyNumberFormat="1" applyFont="1" applyFill="1" applyBorder="1" applyAlignment="1" applyProtection="1"/>
    <xf numFmtId="170" fontId="33" fillId="15" borderId="41" xfId="8" applyNumberFormat="1" applyFont="1" applyFill="1" applyBorder="1" applyAlignment="1" applyProtection="1"/>
    <xf numFmtId="9" fontId="30" fillId="15" borderId="41" xfId="8" applyFont="1" applyFill="1" applyBorder="1" applyProtection="1"/>
    <xf numFmtId="0" fontId="30" fillId="0" borderId="73" xfId="0" applyFont="1" applyBorder="1" applyProtection="1">
      <protection locked="0"/>
    </xf>
    <xf numFmtId="0" fontId="30" fillId="15" borderId="72" xfId="0" applyFont="1" applyFill="1" applyBorder="1" applyProtection="1">
      <protection locked="0"/>
    </xf>
    <xf numFmtId="0" fontId="30" fillId="15" borderId="73" xfId="0" applyFont="1" applyFill="1" applyBorder="1" applyProtection="1">
      <protection locked="0"/>
    </xf>
    <xf numFmtId="9" fontId="30" fillId="0" borderId="0" xfId="0" applyNumberFormat="1" applyFont="1" applyFill="1" applyBorder="1" applyProtection="1">
      <protection locked="0"/>
    </xf>
    <xf numFmtId="182" fontId="30" fillId="0" borderId="41" xfId="1" applyNumberFormat="1" applyFont="1" applyBorder="1" applyProtection="1"/>
    <xf numFmtId="0" fontId="31" fillId="16" borderId="56" xfId="0" applyFont="1" applyFill="1" applyBorder="1" applyAlignment="1" applyProtection="1">
      <protection locked="0"/>
    </xf>
    <xf numFmtId="14" fontId="33" fillId="0" borderId="41" xfId="0" applyNumberFormat="1" applyFont="1" applyBorder="1" applyAlignment="1" applyProtection="1">
      <alignment horizontal="center"/>
      <protection locked="0"/>
    </xf>
    <xf numFmtId="181" fontId="30" fillId="0" borderId="41" xfId="1" applyNumberFormat="1" applyFont="1" applyBorder="1" applyAlignment="1" applyProtection="1"/>
    <xf numFmtId="181" fontId="30" fillId="0" borderId="41" xfId="1" applyNumberFormat="1" applyFont="1" applyBorder="1" applyProtection="1"/>
    <xf numFmtId="170" fontId="33" fillId="0" borderId="41" xfId="8" applyNumberFormat="1" applyFont="1" applyBorder="1" applyAlignment="1" applyProtection="1"/>
    <xf numFmtId="170" fontId="33" fillId="0" borderId="73" xfId="8" applyNumberFormat="1" applyFont="1" applyBorder="1" applyAlignment="1" applyProtection="1"/>
    <xf numFmtId="170" fontId="33" fillId="0" borderId="74" xfId="8" applyNumberFormat="1" applyFont="1" applyBorder="1" applyAlignment="1" applyProtection="1"/>
    <xf numFmtId="184" fontId="30" fillId="0" borderId="41" xfId="1" applyNumberFormat="1" applyFont="1" applyBorder="1" applyProtection="1"/>
    <xf numFmtId="184" fontId="30" fillId="0" borderId="74" xfId="1" applyNumberFormat="1" applyFont="1" applyBorder="1" applyProtection="1"/>
    <xf numFmtId="185" fontId="30" fillId="0" borderId="41" xfId="1" applyNumberFormat="1" applyFont="1" applyBorder="1" applyProtection="1"/>
    <xf numFmtId="185" fontId="30" fillId="0" borderId="41" xfId="0" applyNumberFormat="1" applyFont="1" applyBorder="1" applyProtection="1"/>
    <xf numFmtId="176" fontId="9" fillId="3" borderId="0" xfId="0" applyNumberFormat="1" applyFont="1" applyFill="1"/>
    <xf numFmtId="178" fontId="10" fillId="3" borderId="0" xfId="0" applyNumberFormat="1" applyFont="1" applyFill="1"/>
    <xf numFmtId="178" fontId="10" fillId="3" borderId="0" xfId="0" applyNumberFormat="1" applyFont="1" applyFill="1" applyBorder="1"/>
    <xf numFmtId="182" fontId="30" fillId="11" borderId="0" xfId="1" applyNumberFormat="1" applyFont="1" applyFill="1" applyBorder="1" applyProtection="1"/>
    <xf numFmtId="186" fontId="10" fillId="0" borderId="47" xfId="0" applyNumberFormat="1" applyFont="1" applyBorder="1" applyAlignment="1">
      <alignment horizontal="center" vertical="center"/>
    </xf>
    <xf numFmtId="9" fontId="30" fillId="15" borderId="74" xfId="0" applyNumberFormat="1" applyFont="1" applyFill="1" applyBorder="1" applyProtection="1">
      <protection locked="0"/>
    </xf>
    <xf numFmtId="176" fontId="10" fillId="0" borderId="0" xfId="0" applyNumberFormat="1" applyFont="1" applyFill="1"/>
    <xf numFmtId="0" fontId="30" fillId="0" borderId="25" xfId="0" applyFont="1" applyBorder="1" applyAlignment="1" applyProtection="1">
      <alignment horizontal="left"/>
      <protection locked="0"/>
    </xf>
    <xf numFmtId="0" fontId="30" fillId="0" borderId="0" xfId="0" applyFont="1" applyBorder="1" applyAlignment="1" applyProtection="1">
      <alignment horizontal="left"/>
      <protection locked="0"/>
    </xf>
    <xf numFmtId="185" fontId="30" fillId="0" borderId="0" xfId="1" applyNumberFormat="1" applyFont="1" applyBorder="1" applyAlignment="1" applyProtection="1">
      <alignment horizontal="left"/>
    </xf>
    <xf numFmtId="185" fontId="30" fillId="0" borderId="41" xfId="1" applyNumberFormat="1" applyFont="1" applyBorder="1" applyAlignment="1" applyProtection="1">
      <alignment horizontal="left"/>
    </xf>
    <xf numFmtId="0" fontId="31" fillId="16" borderId="55" xfId="0" applyFont="1" applyFill="1" applyBorder="1" applyAlignment="1" applyProtection="1">
      <alignment horizontal="left"/>
      <protection locked="0"/>
    </xf>
    <xf numFmtId="0" fontId="31" fillId="16" borderId="66" xfId="0" applyFont="1" applyFill="1" applyBorder="1" applyAlignment="1" applyProtection="1">
      <alignment horizontal="left"/>
      <protection locked="0"/>
    </xf>
    <xf numFmtId="0" fontId="31" fillId="16" borderId="56" xfId="0" applyFont="1" applyFill="1" applyBorder="1" applyAlignment="1" applyProtection="1">
      <alignment horizontal="left"/>
      <protection locked="0"/>
    </xf>
    <xf numFmtId="185" fontId="30" fillId="0" borderId="0" xfId="1" applyNumberFormat="1" applyFont="1" applyBorder="1" applyAlignment="1" applyProtection="1">
      <alignment horizontal="left"/>
      <protection locked="0"/>
    </xf>
    <xf numFmtId="185" fontId="30" fillId="0" borderId="41" xfId="1" applyNumberFormat="1" applyFont="1" applyBorder="1" applyAlignment="1" applyProtection="1">
      <alignment horizontal="left"/>
      <protection locked="0"/>
    </xf>
    <xf numFmtId="9" fontId="30" fillId="0" borderId="0" xfId="8" applyFont="1" applyBorder="1" applyAlignment="1" applyProtection="1">
      <alignment horizontal="right"/>
    </xf>
    <xf numFmtId="9" fontId="30" fillId="0" borderId="41" xfId="8" applyFont="1" applyBorder="1" applyAlignment="1" applyProtection="1">
      <alignment horizontal="right"/>
    </xf>
    <xf numFmtId="170" fontId="30" fillId="0" borderId="0" xfId="0" applyNumberFormat="1" applyFont="1" applyBorder="1" applyAlignment="1" applyProtection="1">
      <alignment horizontal="right"/>
      <protection locked="0"/>
    </xf>
    <xf numFmtId="170" fontId="30" fillId="0" borderId="41" xfId="0" applyNumberFormat="1" applyFont="1" applyBorder="1" applyAlignment="1" applyProtection="1">
      <alignment horizontal="right"/>
      <protection locked="0"/>
    </xf>
    <xf numFmtId="185" fontId="30" fillId="0" borderId="0" xfId="1" applyNumberFormat="1" applyFont="1" applyBorder="1" applyAlignment="1" applyProtection="1">
      <alignment horizontal="center"/>
    </xf>
    <xf numFmtId="185" fontId="30" fillId="0" borderId="41" xfId="1" applyNumberFormat="1" applyFont="1" applyBorder="1" applyAlignment="1" applyProtection="1">
      <alignment horizontal="center"/>
    </xf>
    <xf numFmtId="9" fontId="30" fillId="0" borderId="0" xfId="0" applyNumberFormat="1" applyFont="1" applyBorder="1" applyAlignment="1" applyProtection="1">
      <alignment horizontal="right"/>
    </xf>
    <xf numFmtId="0" fontId="30" fillId="0" borderId="41" xfId="0" applyFont="1" applyBorder="1" applyAlignment="1" applyProtection="1">
      <alignment horizontal="right"/>
    </xf>
    <xf numFmtId="0" fontId="31" fillId="16" borderId="72" xfId="0" applyFont="1" applyFill="1" applyBorder="1" applyAlignment="1" applyProtection="1">
      <alignment horizontal="left"/>
      <protection locked="0"/>
    </xf>
    <xf numFmtId="0" fontId="31" fillId="16" borderId="73" xfId="0" applyFont="1" applyFill="1" applyBorder="1" applyAlignment="1" applyProtection="1">
      <alignment horizontal="left"/>
      <protection locked="0"/>
    </xf>
    <xf numFmtId="170" fontId="30" fillId="0" borderId="0" xfId="0" applyNumberFormat="1" applyFont="1" applyBorder="1" applyAlignment="1" applyProtection="1">
      <alignment horizontal="right"/>
    </xf>
    <xf numFmtId="170" fontId="30" fillId="0" borderId="41" xfId="0" applyNumberFormat="1" applyFont="1" applyBorder="1" applyAlignment="1" applyProtection="1">
      <alignment horizontal="right"/>
    </xf>
    <xf numFmtId="0" fontId="30" fillId="0" borderId="0" xfId="0" applyNumberFormat="1" applyFont="1" applyBorder="1" applyAlignment="1" applyProtection="1">
      <alignment horizontal="right"/>
      <protection locked="0"/>
    </xf>
    <xf numFmtId="0" fontId="30" fillId="0" borderId="41" xfId="0" applyNumberFormat="1" applyFont="1" applyBorder="1" applyAlignment="1" applyProtection="1">
      <alignment horizontal="right"/>
      <protection locked="0"/>
    </xf>
    <xf numFmtId="170" fontId="33" fillId="0" borderId="0" xfId="8" applyNumberFormat="1" applyFont="1" applyFill="1" applyBorder="1" applyAlignment="1" applyProtection="1">
      <alignment horizontal="center"/>
      <protection locked="0"/>
    </xf>
    <xf numFmtId="0" fontId="33" fillId="0" borderId="0" xfId="0" applyFont="1" applyFill="1" applyBorder="1" applyAlignment="1" applyProtection="1">
      <alignment horizontal="center"/>
      <protection locked="0"/>
    </xf>
    <xf numFmtId="180" fontId="30" fillId="0" borderId="0" xfId="0" applyNumberFormat="1" applyFont="1" applyFill="1" applyBorder="1" applyAlignment="1" applyProtection="1">
      <alignment horizontal="center"/>
      <protection locked="0"/>
    </xf>
    <xf numFmtId="0" fontId="30" fillId="0" borderId="0" xfId="0" applyFont="1" applyFill="1" applyBorder="1" applyAlignment="1" applyProtection="1">
      <alignment horizontal="center"/>
      <protection locked="0"/>
    </xf>
    <xf numFmtId="0" fontId="33" fillId="0" borderId="72" xfId="0" applyFont="1" applyBorder="1" applyAlignment="1" applyProtection="1">
      <alignment horizontal="left"/>
      <protection locked="0"/>
    </xf>
    <xf numFmtId="0" fontId="33" fillId="0" borderId="73" xfId="0" applyFont="1" applyBorder="1" applyAlignment="1" applyProtection="1">
      <alignment horizontal="left"/>
      <protection locked="0"/>
    </xf>
    <xf numFmtId="0" fontId="30" fillId="0" borderId="72" xfId="0" applyFont="1" applyBorder="1" applyAlignment="1" applyProtection="1">
      <alignment horizontal="left"/>
      <protection locked="0"/>
    </xf>
    <xf numFmtId="0" fontId="30" fillId="0" borderId="73" xfId="0" applyFont="1" applyBorder="1" applyAlignment="1" applyProtection="1">
      <alignment horizontal="left"/>
      <protection locked="0"/>
    </xf>
    <xf numFmtId="0" fontId="30" fillId="15" borderId="25" xfId="0" applyFont="1" applyFill="1" applyBorder="1" applyAlignment="1" applyProtection="1">
      <alignment horizontal="left"/>
      <protection locked="0"/>
    </xf>
    <xf numFmtId="0" fontId="30" fillId="15" borderId="0" xfId="0" applyFont="1" applyFill="1" applyBorder="1" applyAlignment="1" applyProtection="1">
      <alignment horizontal="left"/>
      <protection locked="0"/>
    </xf>
    <xf numFmtId="0" fontId="33" fillId="15" borderId="0" xfId="0" applyFont="1" applyFill="1" applyBorder="1" applyAlignment="1" applyProtection="1">
      <alignment horizontal="left"/>
      <protection locked="0"/>
    </xf>
    <xf numFmtId="0" fontId="33" fillId="15" borderId="25" xfId="0" applyFont="1" applyFill="1" applyBorder="1" applyAlignment="1" applyProtection="1">
      <alignment horizontal="left"/>
      <protection locked="0"/>
    </xf>
    <xf numFmtId="0" fontId="34" fillId="0" borderId="55" xfId="0" applyFont="1" applyBorder="1" applyAlignment="1" applyProtection="1">
      <alignment horizontal="left"/>
      <protection locked="0"/>
    </xf>
    <xf numFmtId="0" fontId="34" fillId="0" borderId="66" xfId="0" applyFont="1" applyBorder="1" applyAlignment="1" applyProtection="1">
      <alignment horizontal="left"/>
      <protection locked="0"/>
    </xf>
    <xf numFmtId="0" fontId="34" fillId="0" borderId="56" xfId="0" applyFont="1" applyBorder="1" applyAlignment="1" applyProtection="1">
      <alignment horizontal="left"/>
      <protection locked="0"/>
    </xf>
    <xf numFmtId="0" fontId="33" fillId="0" borderId="25" xfId="0" applyFont="1" applyBorder="1" applyAlignment="1" applyProtection="1">
      <alignment horizontal="left"/>
      <protection locked="0"/>
    </xf>
    <xf numFmtId="0" fontId="33" fillId="0" borderId="0" xfId="0" applyFont="1" applyBorder="1" applyAlignment="1" applyProtection="1">
      <alignment horizontal="left"/>
      <protection locked="0"/>
    </xf>
    <xf numFmtId="9" fontId="30" fillId="0" borderId="73" xfId="0" applyNumberFormat="1" applyFont="1" applyBorder="1" applyAlignment="1" applyProtection="1">
      <alignment horizontal="right"/>
      <protection locked="0"/>
    </xf>
    <xf numFmtId="9" fontId="30" fillId="0" borderId="74" xfId="0" applyNumberFormat="1" applyFont="1" applyBorder="1" applyAlignment="1" applyProtection="1">
      <alignment horizontal="right"/>
      <protection locked="0"/>
    </xf>
    <xf numFmtId="0" fontId="17" fillId="4" borderId="25" xfId="0" applyFont="1" applyFill="1" applyBorder="1" applyAlignment="1">
      <alignment horizontal="center"/>
    </xf>
    <xf numFmtId="0" fontId="17" fillId="4" borderId="0" xfId="0" applyFont="1" applyFill="1" applyBorder="1" applyAlignment="1">
      <alignment horizontal="center"/>
    </xf>
    <xf numFmtId="0" fontId="2" fillId="3" borderId="62" xfId="0" applyFont="1" applyFill="1" applyBorder="1" applyAlignment="1">
      <alignment horizontal="left"/>
    </xf>
    <xf numFmtId="0" fontId="2" fillId="3" borderId="57" xfId="0" applyFont="1" applyFill="1" applyBorder="1" applyAlignment="1">
      <alignment horizontal="left"/>
    </xf>
  </cellXfs>
  <cellStyles count="9">
    <cellStyle name="Comma" xfId="1" builtinId="3"/>
    <cellStyle name="Comma 2" xfId="2" xr:uid="{00000000-0005-0000-0000-000001000000}"/>
    <cellStyle name="Currency" xfId="3" builtinId="4"/>
    <cellStyle name="Currency 2" xfId="4" xr:uid="{00000000-0005-0000-0000-000003000000}"/>
    <cellStyle name="Currency 3" xfId="5" xr:uid="{00000000-0005-0000-0000-000004000000}"/>
    <cellStyle name="Normal" xfId="0" builtinId="0"/>
    <cellStyle name="Normal 2" xfId="6" xr:uid="{00000000-0005-0000-0000-000006000000}"/>
    <cellStyle name="Percent" xfId="7" builtinId="5"/>
    <cellStyle name="Percent 2" xfId="8" xr:uid="{00000000-0005-0000-0000-000008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showGridLines="0" tabSelected="1" zoomScale="90" zoomScaleNormal="90" workbookViewId="0">
      <selection activeCell="D35" sqref="D35"/>
    </sheetView>
  </sheetViews>
  <sheetFormatPr defaultColWidth="11.453125" defaultRowHeight="12.5" x14ac:dyDescent="0.25"/>
  <cols>
    <col min="1" max="1" width="30.54296875" style="145" customWidth="1"/>
    <col min="2" max="2" width="15.26953125" style="145" customWidth="1"/>
    <col min="3" max="3" width="14" style="137" bestFit="1" customWidth="1"/>
    <col min="4" max="4" width="6.81640625" style="119" customWidth="1"/>
    <col min="5" max="5" width="35.81640625" style="119" customWidth="1"/>
    <col min="6" max="6" width="13.1796875" style="119" customWidth="1"/>
    <col min="7" max="7" width="41.26953125" style="119" customWidth="1"/>
    <col min="8" max="8" width="19" style="124" bestFit="1" customWidth="1"/>
    <col min="9" max="11" width="11.453125" style="119"/>
    <col min="12" max="12" width="12.26953125" style="119" bestFit="1" customWidth="1"/>
    <col min="13" max="14" width="11.453125" style="119"/>
    <col min="15" max="15" width="12" style="119" bestFit="1" customWidth="1"/>
    <col min="16" max="16384" width="11.453125" style="119"/>
  </cols>
  <sheetData>
    <row r="1" spans="1:9" ht="13" x14ac:dyDescent="0.3">
      <c r="A1" s="136" t="s">
        <v>49</v>
      </c>
      <c r="B1" s="136"/>
      <c r="E1" s="136" t="s">
        <v>151</v>
      </c>
    </row>
    <row r="2" spans="1:9" ht="13" x14ac:dyDescent="0.3">
      <c r="A2" s="136"/>
      <c r="B2" s="136"/>
      <c r="H2" s="125"/>
    </row>
    <row r="3" spans="1:9" ht="13" x14ac:dyDescent="0.3">
      <c r="A3" s="138" t="s">
        <v>46</v>
      </c>
      <c r="B3" s="138"/>
      <c r="C3" s="139"/>
      <c r="E3" s="237" t="s">
        <v>127</v>
      </c>
      <c r="F3" s="139"/>
      <c r="G3" s="139"/>
      <c r="I3" s="126"/>
    </row>
    <row r="4" spans="1:9" ht="13" x14ac:dyDescent="0.25">
      <c r="A4" s="140" t="s">
        <v>72</v>
      </c>
      <c r="B4" s="140"/>
      <c r="C4" s="155">
        <v>14000000</v>
      </c>
      <c r="E4" s="141" t="s">
        <v>125</v>
      </c>
      <c r="F4" s="235" t="s">
        <v>128</v>
      </c>
      <c r="G4" s="236" t="s">
        <v>126</v>
      </c>
      <c r="I4" s="126"/>
    </row>
    <row r="5" spans="1:9" ht="13" x14ac:dyDescent="0.25">
      <c r="A5" s="141" t="s">
        <v>81</v>
      </c>
      <c r="B5" s="141"/>
      <c r="C5" s="156">
        <f>SUM(C4:C4)</f>
        <v>14000000</v>
      </c>
      <c r="E5" s="140" t="s">
        <v>129</v>
      </c>
      <c r="F5" s="240">
        <v>0.02</v>
      </c>
      <c r="G5" s="140" t="s">
        <v>152</v>
      </c>
      <c r="I5" s="126"/>
    </row>
    <row r="6" spans="1:9" ht="42" customHeight="1" x14ac:dyDescent="0.25">
      <c r="A6" s="141"/>
      <c r="B6" s="141"/>
      <c r="C6" s="142"/>
      <c r="E6" s="234" t="s">
        <v>130</v>
      </c>
      <c r="F6" s="422">
        <v>0.04</v>
      </c>
      <c r="G6" s="140" t="s">
        <v>131</v>
      </c>
    </row>
    <row r="7" spans="1:9" ht="13" x14ac:dyDescent="0.25">
      <c r="A7" s="143" t="s">
        <v>47</v>
      </c>
      <c r="B7" s="143"/>
      <c r="C7" s="144"/>
      <c r="E7" s="140" t="s">
        <v>132</v>
      </c>
      <c r="F7" s="240">
        <v>0.3</v>
      </c>
      <c r="G7" s="140" t="s">
        <v>133</v>
      </c>
    </row>
    <row r="8" spans="1:9" x14ac:dyDescent="0.25">
      <c r="A8" s="145" t="s">
        <v>74</v>
      </c>
      <c r="B8" s="145" t="s">
        <v>93</v>
      </c>
      <c r="C8" s="155">
        <f>118*12000</f>
        <v>1416000</v>
      </c>
      <c r="D8" s="128"/>
      <c r="E8" s="140" t="s">
        <v>134</v>
      </c>
      <c r="F8" s="240">
        <v>0.12</v>
      </c>
      <c r="G8" s="140" t="s">
        <v>135</v>
      </c>
    </row>
    <row r="9" spans="1:9" x14ac:dyDescent="0.25">
      <c r="A9" s="145" t="s">
        <v>75</v>
      </c>
      <c r="B9" s="145" t="s">
        <v>94</v>
      </c>
      <c r="C9" s="155">
        <f>8*55000</f>
        <v>440000</v>
      </c>
      <c r="D9" s="128"/>
      <c r="E9" s="140" t="s">
        <v>136</v>
      </c>
      <c r="F9" s="240">
        <v>2.5000000000000001E-2</v>
      </c>
      <c r="G9" s="140" t="s">
        <v>137</v>
      </c>
    </row>
    <row r="10" spans="1:9" ht="12.75" customHeight="1" x14ac:dyDescent="0.25">
      <c r="A10" s="145" t="s">
        <v>76</v>
      </c>
      <c r="C10" s="155">
        <v>130000</v>
      </c>
      <c r="D10" s="128"/>
      <c r="E10" s="140" t="s">
        <v>138</v>
      </c>
      <c r="F10" s="240">
        <v>1.4999999999999999E-2</v>
      </c>
      <c r="G10" s="140" t="s">
        <v>139</v>
      </c>
    </row>
    <row r="11" spans="1:9" ht="11.25" customHeight="1" x14ac:dyDescent="0.25">
      <c r="A11" s="145" t="s">
        <v>77</v>
      </c>
      <c r="C11" s="155">
        <v>370000</v>
      </c>
      <c r="D11" s="128"/>
      <c r="E11" s="140" t="s">
        <v>140</v>
      </c>
      <c r="F11" s="240">
        <v>0.5</v>
      </c>
      <c r="G11" s="140" t="s">
        <v>141</v>
      </c>
    </row>
    <row r="12" spans="1:9" x14ac:dyDescent="0.25">
      <c r="A12" s="145" t="s">
        <v>82</v>
      </c>
      <c r="B12" s="145" t="s">
        <v>83</v>
      </c>
      <c r="C12" s="155">
        <v>114000</v>
      </c>
      <c r="D12" s="128"/>
      <c r="E12" s="140" t="s">
        <v>178</v>
      </c>
      <c r="F12" s="240">
        <v>5.5E-2</v>
      </c>
      <c r="G12" s="140" t="s">
        <v>142</v>
      </c>
    </row>
    <row r="13" spans="1:9" ht="13" x14ac:dyDescent="0.25">
      <c r="A13" s="141" t="s">
        <v>48</v>
      </c>
      <c r="B13" s="141"/>
      <c r="C13" s="156">
        <f>SUM(C8:C12)</f>
        <v>2470000</v>
      </c>
      <c r="E13" s="140" t="s">
        <v>143</v>
      </c>
      <c r="F13" s="240">
        <v>0.08</v>
      </c>
      <c r="G13" s="140" t="s">
        <v>144</v>
      </c>
    </row>
    <row r="14" spans="1:9" ht="11.25" customHeight="1" x14ac:dyDescent="0.25">
      <c r="E14" s="140" t="s">
        <v>145</v>
      </c>
      <c r="F14" s="240">
        <v>0.02</v>
      </c>
      <c r="G14" s="140"/>
    </row>
    <row r="15" spans="1:9" ht="13" x14ac:dyDescent="0.3">
      <c r="A15" s="138" t="s">
        <v>78</v>
      </c>
      <c r="B15" s="138"/>
      <c r="C15" s="139"/>
      <c r="E15" s="140" t="s">
        <v>146</v>
      </c>
      <c r="F15" s="240">
        <v>6.5000000000000002E-2</v>
      </c>
      <c r="G15" s="140" t="s">
        <v>147</v>
      </c>
    </row>
    <row r="16" spans="1:9" ht="12.75" customHeight="1" x14ac:dyDescent="0.25">
      <c r="A16" s="140" t="s">
        <v>79</v>
      </c>
      <c r="B16" s="151">
        <v>1.35E-2</v>
      </c>
      <c r="C16" s="155">
        <f>B16*C4</f>
        <v>189000</v>
      </c>
      <c r="D16" s="93"/>
      <c r="E16" s="140" t="s">
        <v>148</v>
      </c>
      <c r="F16" s="240"/>
      <c r="G16" s="140" t="s">
        <v>149</v>
      </c>
    </row>
    <row r="17" spans="1:12" ht="11.25" customHeight="1" x14ac:dyDescent="0.25">
      <c r="A17" s="140" t="s">
        <v>73</v>
      </c>
      <c r="B17" s="151">
        <v>5.0000000000000001E-3</v>
      </c>
      <c r="C17" s="155">
        <f>B17*C4</f>
        <v>70000</v>
      </c>
      <c r="D17" s="93"/>
      <c r="E17" s="140" t="s">
        <v>150</v>
      </c>
      <c r="F17" s="240"/>
      <c r="G17" s="140" t="s">
        <v>142</v>
      </c>
    </row>
    <row r="18" spans="1:12" x14ac:dyDescent="0.25">
      <c r="A18" s="140" t="s">
        <v>95</v>
      </c>
      <c r="B18" s="152"/>
      <c r="C18" s="155">
        <v>60000</v>
      </c>
      <c r="D18" s="93"/>
      <c r="E18" s="140" t="s">
        <v>161</v>
      </c>
      <c r="F18" s="240">
        <v>0.22500000000000001</v>
      </c>
    </row>
    <row r="19" spans="1:12" x14ac:dyDescent="0.25">
      <c r="A19" s="146" t="s">
        <v>96</v>
      </c>
      <c r="B19" s="146"/>
      <c r="C19" s="155">
        <v>40000</v>
      </c>
      <c r="D19" s="93"/>
      <c r="E19" s="140" t="s">
        <v>176</v>
      </c>
      <c r="F19" s="240">
        <v>1.4999999999999999E-2</v>
      </c>
    </row>
    <row r="20" spans="1:12" ht="15" customHeight="1" x14ac:dyDescent="0.25">
      <c r="A20" s="147" t="s">
        <v>70</v>
      </c>
      <c r="B20" s="153">
        <v>0.02</v>
      </c>
      <c r="C20" s="155">
        <f>B20*(C4+C13)</f>
        <v>329400</v>
      </c>
      <c r="D20" s="129"/>
      <c r="E20" s="140" t="s">
        <v>164</v>
      </c>
      <c r="F20" s="240">
        <v>0.2</v>
      </c>
      <c r="G20" s="140" t="s">
        <v>165</v>
      </c>
      <c r="I20" s="130"/>
      <c r="K20" s="127"/>
    </row>
    <row r="21" spans="1:12" ht="13" x14ac:dyDescent="0.3">
      <c r="A21" s="148" t="s">
        <v>80</v>
      </c>
      <c r="B21" s="148"/>
      <c r="C21" s="156">
        <f>SUM(C16:C20)</f>
        <v>688400</v>
      </c>
      <c r="F21" s="240"/>
      <c r="G21" s="140"/>
      <c r="J21" s="127"/>
    </row>
    <row r="22" spans="1:12" x14ac:dyDescent="0.25">
      <c r="A22" s="145" t="s">
        <v>186</v>
      </c>
      <c r="C22" s="155">
        <v>350000</v>
      </c>
      <c r="I22" s="130"/>
    </row>
    <row r="23" spans="1:12" ht="8.25" customHeight="1" thickBot="1" x14ac:dyDescent="0.3">
      <c r="E23" s="127"/>
      <c r="F23" s="127"/>
    </row>
    <row r="24" spans="1:12" ht="13.5" thickBot="1" x14ac:dyDescent="0.35">
      <c r="A24" s="149" t="s">
        <v>49</v>
      </c>
      <c r="B24" s="150"/>
      <c r="C24" s="157">
        <f>C5+C13+C21+C22</f>
        <v>17508400</v>
      </c>
    </row>
    <row r="25" spans="1:12" x14ac:dyDescent="0.25">
      <c r="E25" s="130"/>
    </row>
    <row r="28" spans="1:12" x14ac:dyDescent="0.25">
      <c r="F28" s="119">
        <v>1</v>
      </c>
    </row>
    <row r="29" spans="1:12" x14ac:dyDescent="0.25">
      <c r="H29" s="131"/>
      <c r="L29" s="13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38"/>
  <sheetViews>
    <sheetView workbookViewId="0">
      <selection activeCell="E35" sqref="E35"/>
    </sheetView>
  </sheetViews>
  <sheetFormatPr defaultColWidth="8.1796875" defaultRowHeight="14" x14ac:dyDescent="0.35"/>
  <cols>
    <col min="1" max="1" width="2.453125" style="430" customWidth="1"/>
    <col min="2" max="2" width="14.1796875" style="430" bestFit="1" customWidth="1"/>
    <col min="3" max="3" width="18.7265625" style="430" customWidth="1"/>
    <col min="4" max="4" width="14.453125" style="430" bestFit="1" customWidth="1"/>
    <col min="5" max="5" width="12.26953125" style="430" customWidth="1"/>
    <col min="6" max="6" width="12" style="430" customWidth="1"/>
    <col min="7" max="7" width="12.453125" style="430" bestFit="1" customWidth="1"/>
    <col min="8" max="8" width="12.7265625" style="430" bestFit="1" customWidth="1"/>
    <col min="9" max="9" width="12.54296875" style="430" bestFit="1" customWidth="1"/>
    <col min="10" max="10" width="15.26953125" style="430" customWidth="1"/>
    <col min="11" max="11" width="8.7265625" style="430" customWidth="1"/>
    <col min="12" max="12" width="11.1796875" style="430" bestFit="1" customWidth="1"/>
    <col min="13" max="13" width="13.81640625" style="430" bestFit="1" customWidth="1"/>
    <col min="14" max="14" width="13" style="430" bestFit="1" customWidth="1"/>
    <col min="15" max="15" width="12.54296875" style="430" bestFit="1" customWidth="1"/>
    <col min="16" max="22" width="11" style="430" bestFit="1" customWidth="1"/>
    <col min="23" max="23" width="12.54296875" style="430" bestFit="1" customWidth="1"/>
    <col min="24" max="27" width="9.81640625" style="430" bestFit="1" customWidth="1"/>
    <col min="28" max="16384" width="8.1796875" style="430"/>
  </cols>
  <sheetData>
    <row r="1" spans="2:13" ht="14.5" thickBot="1" x14ac:dyDescent="0.4"/>
    <row r="2" spans="2:13" x14ac:dyDescent="0.35">
      <c r="B2" s="520" t="s">
        <v>207</v>
      </c>
      <c r="C2" s="521"/>
      <c r="D2" s="521"/>
      <c r="E2" s="521"/>
      <c r="F2" s="521"/>
      <c r="G2" s="521"/>
      <c r="H2" s="522"/>
      <c r="J2" s="431" t="s">
        <v>249</v>
      </c>
      <c r="K2" s="432"/>
      <c r="L2" s="433"/>
    </row>
    <row r="3" spans="2:13" x14ac:dyDescent="0.35">
      <c r="B3" s="516" t="s">
        <v>208</v>
      </c>
      <c r="C3" s="517"/>
      <c r="D3" s="517"/>
      <c r="E3" s="517"/>
      <c r="F3" s="517"/>
      <c r="G3" s="523">
        <f>'Project Budget and Assumptions'!C24</f>
        <v>17508400</v>
      </c>
      <c r="H3" s="524"/>
      <c r="J3" s="434" t="s">
        <v>209</v>
      </c>
      <c r="K3" s="435"/>
      <c r="L3" s="507">
        <v>6000</v>
      </c>
    </row>
    <row r="4" spans="2:13" x14ac:dyDescent="0.35">
      <c r="B4" s="516" t="s">
        <v>210</v>
      </c>
      <c r="C4" s="517"/>
      <c r="D4" s="517"/>
      <c r="E4" s="517"/>
      <c r="F4" s="517"/>
      <c r="G4" s="518">
        <f>'Fin Calc'!C7</f>
        <v>8754200</v>
      </c>
      <c r="H4" s="519"/>
      <c r="J4" s="434" t="s">
        <v>211</v>
      </c>
      <c r="K4" s="436"/>
      <c r="L4" s="507">
        <f>G4*0.01</f>
        <v>87542</v>
      </c>
    </row>
    <row r="5" spans="2:13" x14ac:dyDescent="0.35">
      <c r="B5" s="516" t="s">
        <v>212</v>
      </c>
      <c r="C5" s="517"/>
      <c r="D5" s="517"/>
      <c r="E5" s="517"/>
      <c r="F5" s="517"/>
      <c r="G5" s="523">
        <f>'Fin Calc'!C7*TS_Share</f>
        <v>7878780</v>
      </c>
      <c r="H5" s="524"/>
      <c r="J5" s="434" t="s">
        <v>213</v>
      </c>
      <c r="K5" s="435"/>
      <c r="L5" s="507">
        <v>5000</v>
      </c>
    </row>
    <row r="6" spans="2:13" x14ac:dyDescent="0.35">
      <c r="B6" s="516" t="s">
        <v>214</v>
      </c>
      <c r="C6" s="517"/>
      <c r="D6" s="517"/>
      <c r="E6" s="517"/>
      <c r="F6" s="517"/>
      <c r="G6" s="525">
        <v>0.9</v>
      </c>
      <c r="H6" s="526"/>
      <c r="J6" s="434" t="s">
        <v>215</v>
      </c>
      <c r="K6" s="435"/>
      <c r="L6" s="507">
        <v>3000</v>
      </c>
    </row>
    <row r="7" spans="2:13" x14ac:dyDescent="0.35">
      <c r="B7" s="516" t="s">
        <v>216</v>
      </c>
      <c r="C7" s="517"/>
      <c r="D7" s="437">
        <f>G7/(G3*G6)</f>
        <v>2.5535001485001489E-2</v>
      </c>
      <c r="E7" s="517"/>
      <c r="F7" s="517"/>
      <c r="G7" s="518">
        <f>L11</f>
        <v>402369.31800000003</v>
      </c>
      <c r="H7" s="519"/>
      <c r="J7" s="434" t="s">
        <v>217</v>
      </c>
      <c r="K7" s="435"/>
      <c r="L7" s="507"/>
    </row>
    <row r="8" spans="2:13" x14ac:dyDescent="0.35">
      <c r="B8" s="516" t="s">
        <v>218</v>
      </c>
      <c r="C8" s="517"/>
      <c r="D8" s="517"/>
      <c r="E8" s="517"/>
      <c r="F8" s="517"/>
      <c r="G8" s="518">
        <f>G5+G7</f>
        <v>8281149.318</v>
      </c>
      <c r="H8" s="519"/>
      <c r="J8" s="434" t="s">
        <v>219</v>
      </c>
      <c r="K8" s="435"/>
      <c r="L8" s="507">
        <v>6000</v>
      </c>
    </row>
    <row r="9" spans="2:13" x14ac:dyDescent="0.35">
      <c r="B9" s="516" t="s">
        <v>220</v>
      </c>
      <c r="C9" s="517"/>
      <c r="D9" s="517"/>
      <c r="E9" s="517"/>
      <c r="F9" s="517"/>
      <c r="G9" s="529">
        <f>25000*1.17</f>
        <v>29250</v>
      </c>
      <c r="H9" s="530"/>
      <c r="J9" s="434" t="s">
        <v>221</v>
      </c>
      <c r="K9" s="438">
        <v>5.0000000000000001E-3</v>
      </c>
      <c r="L9" s="507">
        <f>G3*TS_Share*K9</f>
        <v>78787.8</v>
      </c>
    </row>
    <row r="10" spans="2:13" x14ac:dyDescent="0.35">
      <c r="B10" s="516" t="s">
        <v>222</v>
      </c>
      <c r="C10" s="517"/>
      <c r="D10" s="517"/>
      <c r="E10" s="517"/>
      <c r="F10" s="517"/>
      <c r="G10" s="531">
        <v>7.0000000000000007E-2</v>
      </c>
      <c r="H10" s="532"/>
      <c r="J10" s="434" t="s">
        <v>223</v>
      </c>
      <c r="K10" s="438">
        <v>0.01</v>
      </c>
      <c r="L10" s="508">
        <f>G3*G6*K10</f>
        <v>157575.6</v>
      </c>
      <c r="M10" s="439"/>
    </row>
    <row r="11" spans="2:13" ht="14.5" thickBot="1" x14ac:dyDescent="0.4">
      <c r="B11" s="516" t="s">
        <v>224</v>
      </c>
      <c r="C11" s="517"/>
      <c r="D11" s="517"/>
      <c r="E11" s="517"/>
      <c r="F11" s="517"/>
      <c r="G11" s="531">
        <v>0.8</v>
      </c>
      <c r="H11" s="532"/>
      <c r="J11" s="533" t="s">
        <v>225</v>
      </c>
      <c r="K11" s="534"/>
      <c r="L11" s="440">
        <f>SUM(L3:L10)*1.17</f>
        <v>402369.31800000003</v>
      </c>
      <c r="M11" s="439"/>
    </row>
    <row r="12" spans="2:13" x14ac:dyDescent="0.35">
      <c r="B12" s="516" t="s">
        <v>226</v>
      </c>
      <c r="C12" s="517"/>
      <c r="D12" s="517"/>
      <c r="E12" s="517"/>
      <c r="F12" s="517"/>
      <c r="G12" s="535">
        <f>'Project Budget and Assumptions'!F12</f>
        <v>5.5E-2</v>
      </c>
      <c r="H12" s="536"/>
    </row>
    <row r="13" spans="2:13" x14ac:dyDescent="0.35">
      <c r="B13" s="516" t="s">
        <v>227</v>
      </c>
      <c r="C13" s="517"/>
      <c r="D13" s="517"/>
      <c r="E13" s="517"/>
      <c r="F13" s="517"/>
      <c r="G13" s="537">
        <v>6</v>
      </c>
      <c r="H13" s="538"/>
      <c r="I13" s="441"/>
    </row>
    <row r="14" spans="2:13" x14ac:dyDescent="0.35">
      <c r="B14" s="516" t="s">
        <v>244</v>
      </c>
      <c r="C14" s="517"/>
      <c r="D14" s="488"/>
      <c r="E14" s="488"/>
      <c r="F14" s="488"/>
      <c r="G14" s="527">
        <v>5.0000000000000001E-3</v>
      </c>
      <c r="H14" s="528"/>
    </row>
    <row r="15" spans="2:13" ht="14.5" thickBot="1" x14ac:dyDescent="0.4">
      <c r="B15" s="545" t="s">
        <v>245</v>
      </c>
      <c r="C15" s="546"/>
      <c r="D15" s="489"/>
      <c r="E15" s="489"/>
      <c r="F15" s="489"/>
      <c r="G15" s="556">
        <v>0.15</v>
      </c>
      <c r="H15" s="557"/>
    </row>
    <row r="16" spans="2:13" ht="14.5" thickBot="1" x14ac:dyDescent="0.4">
      <c r="B16" s="442"/>
      <c r="C16" s="442"/>
      <c r="D16" s="442"/>
      <c r="E16" s="442"/>
      <c r="F16" s="442"/>
      <c r="G16" s="443"/>
      <c r="H16" s="444"/>
    </row>
    <row r="17" spans="2:27" ht="15.65" customHeight="1" x14ac:dyDescent="0.35">
      <c r="B17" s="520" t="s">
        <v>228</v>
      </c>
      <c r="C17" s="521"/>
      <c r="D17" s="521"/>
      <c r="E17" s="521"/>
      <c r="F17" s="521"/>
      <c r="G17" s="521"/>
      <c r="H17" s="521"/>
      <c r="I17" s="521"/>
      <c r="J17" s="498"/>
      <c r="K17" s="445"/>
      <c r="L17" s="445"/>
      <c r="O17" s="445"/>
      <c r="P17" s="445"/>
      <c r="Q17" s="445"/>
      <c r="R17" s="445"/>
      <c r="S17" s="445"/>
      <c r="T17" s="445"/>
      <c r="U17" s="445"/>
      <c r="V17" s="445"/>
      <c r="W17" s="445"/>
      <c r="X17" s="446"/>
      <c r="Y17" s="446"/>
      <c r="Z17" s="446"/>
      <c r="AA17" s="446"/>
    </row>
    <row r="18" spans="2:27" x14ac:dyDescent="0.35">
      <c r="B18" s="516" t="s">
        <v>229</v>
      </c>
      <c r="C18" s="517"/>
      <c r="D18" s="435" t="s">
        <v>246</v>
      </c>
      <c r="E18" s="447" t="str">
        <f>'Investor Returns'!E8</f>
        <v>Construction</v>
      </c>
      <c r="F18" s="447" t="str">
        <f>'Investor Returns'!F8</f>
        <v xml:space="preserve"> Op Year 1</v>
      </c>
      <c r="G18" s="447" t="str">
        <f>'Investor Returns'!G8</f>
        <v>Op Year 2</v>
      </c>
      <c r="H18" s="447" t="str">
        <f>'Investor Returns'!H8</f>
        <v>Op Year 3</v>
      </c>
      <c r="I18" s="447" t="str">
        <f>'Investor Returns'!I8</f>
        <v>Op Year 4</v>
      </c>
      <c r="J18" s="499" t="str">
        <f>'Investor Returns'!J8</f>
        <v>Op Year 5</v>
      </c>
      <c r="K18" s="447"/>
      <c r="L18" s="448"/>
      <c r="M18" s="445"/>
      <c r="N18" s="445"/>
      <c r="O18" s="449"/>
      <c r="P18" s="540"/>
      <c r="Q18" s="540"/>
      <c r="R18" s="540"/>
      <c r="S18" s="540"/>
      <c r="T18" s="540"/>
      <c r="U18" s="540"/>
      <c r="V18" s="540"/>
      <c r="W18" s="540"/>
      <c r="X18" s="446"/>
      <c r="Y18" s="446"/>
      <c r="Z18" s="446"/>
      <c r="AA18" s="446"/>
    </row>
    <row r="19" spans="2:27" x14ac:dyDescent="0.35">
      <c r="B19" s="516" t="s">
        <v>230</v>
      </c>
      <c r="C19" s="517"/>
      <c r="D19" s="450">
        <f t="shared" ref="D19:J19" si="0">-TS_Eq</f>
        <v>-8281149.318</v>
      </c>
      <c r="E19" s="450">
        <f t="shared" si="0"/>
        <v>-8281149.318</v>
      </c>
      <c r="F19" s="450">
        <f t="shared" si="0"/>
        <v>-8281149.318</v>
      </c>
      <c r="G19" s="450">
        <f t="shared" si="0"/>
        <v>-8281149.318</v>
      </c>
      <c r="H19" s="450">
        <f t="shared" si="0"/>
        <v>-8281149.318</v>
      </c>
      <c r="I19" s="450">
        <f t="shared" si="0"/>
        <v>-8281149.318</v>
      </c>
      <c r="J19" s="500">
        <f t="shared" si="0"/>
        <v>-8281149.318</v>
      </c>
      <c r="K19" s="450"/>
      <c r="L19" s="450"/>
      <c r="M19" s="451"/>
      <c r="N19" s="449"/>
      <c r="O19" s="452"/>
      <c r="P19" s="452"/>
      <c r="Q19" s="452"/>
      <c r="R19" s="453"/>
      <c r="S19" s="453"/>
      <c r="T19" s="541"/>
      <c r="U19" s="542"/>
      <c r="V19" s="542"/>
      <c r="W19" s="542"/>
      <c r="X19" s="446"/>
      <c r="Y19" s="446"/>
      <c r="Z19" s="446"/>
      <c r="AA19" s="446"/>
    </row>
    <row r="20" spans="2:27" x14ac:dyDescent="0.35">
      <c r="B20" s="516" t="s">
        <v>231</v>
      </c>
      <c r="C20" s="517"/>
      <c r="D20" s="454"/>
      <c r="E20" s="454"/>
      <c r="F20" s="455">
        <v>0</v>
      </c>
      <c r="G20" s="454">
        <v>0</v>
      </c>
      <c r="H20" s="454">
        <v>0</v>
      </c>
      <c r="I20" s="455"/>
      <c r="J20" s="501">
        <f>D38</f>
        <v>15843619.161766391</v>
      </c>
      <c r="K20" s="456"/>
      <c r="L20" s="457"/>
      <c r="M20" s="452"/>
      <c r="N20" s="452"/>
      <c r="O20" s="435"/>
      <c r="P20" s="458"/>
      <c r="Q20" s="459"/>
      <c r="R20" s="458"/>
      <c r="S20" s="458"/>
      <c r="T20" s="458"/>
      <c r="U20" s="458"/>
      <c r="V20" s="458"/>
      <c r="W20" s="458"/>
      <c r="X20" s="446"/>
      <c r="Y20" s="446"/>
      <c r="Z20" s="446"/>
      <c r="AA20" s="446"/>
    </row>
    <row r="21" spans="2:27" x14ac:dyDescent="0.35">
      <c r="B21" s="516" t="s">
        <v>232</v>
      </c>
      <c r="C21" s="517"/>
      <c r="D21" s="460"/>
      <c r="E21" s="460"/>
      <c r="F21" s="460">
        <f>'Annual Projections (Full)'!D45</f>
        <v>1010501.4901600033</v>
      </c>
      <c r="G21" s="460">
        <f>'Annual Projections (Full)'!E45</f>
        <v>1056404.5269009289</v>
      </c>
      <c r="H21" s="460">
        <f>'Annual Projections (Full)'!F45</f>
        <v>1103684.6547440817</v>
      </c>
      <c r="I21" s="460">
        <f>'Annual Projections (Full)'!G45</f>
        <v>1152383.1864225292</v>
      </c>
      <c r="J21" s="497">
        <f>'Annual Projections (Full)'!H45</f>
        <v>1202542.6740513304</v>
      </c>
      <c r="K21" s="461"/>
      <c r="L21" s="462"/>
      <c r="M21" s="463"/>
      <c r="N21" s="464"/>
      <c r="O21" s="435"/>
      <c r="P21" s="465"/>
      <c r="Q21" s="466"/>
      <c r="R21" s="465"/>
      <c r="S21" s="465"/>
      <c r="T21" s="465"/>
      <c r="U21" s="465"/>
      <c r="V21" s="465"/>
      <c r="W21" s="465"/>
      <c r="X21" s="465"/>
      <c r="Y21" s="465"/>
      <c r="Z21" s="465"/>
      <c r="AA21" s="465"/>
    </row>
    <row r="22" spans="2:27" x14ac:dyDescent="0.35">
      <c r="B22" s="516" t="s">
        <v>248</v>
      </c>
      <c r="C22" s="517"/>
      <c r="D22" s="435"/>
      <c r="E22" s="460">
        <f t="shared" ref="E22:J22" si="1">-TS_Eq*IL_mang</f>
        <v>-41405.746590000002</v>
      </c>
      <c r="F22" s="460">
        <f t="shared" si="1"/>
        <v>-41405.746590000002</v>
      </c>
      <c r="G22" s="460">
        <f t="shared" si="1"/>
        <v>-41405.746590000002</v>
      </c>
      <c r="H22" s="460">
        <f t="shared" si="1"/>
        <v>-41405.746590000002</v>
      </c>
      <c r="I22" s="460">
        <f t="shared" si="1"/>
        <v>-41405.746590000002</v>
      </c>
      <c r="J22" s="497">
        <f t="shared" si="1"/>
        <v>-41405.746590000002</v>
      </c>
      <c r="K22" s="460"/>
      <c r="L22" s="462"/>
      <c r="M22" s="463"/>
      <c r="N22" s="464"/>
      <c r="O22" s="435"/>
      <c r="P22" s="465"/>
      <c r="Q22" s="466"/>
      <c r="R22" s="465"/>
      <c r="S22" s="465"/>
      <c r="T22" s="465"/>
      <c r="U22" s="465"/>
      <c r="V22" s="465"/>
      <c r="W22" s="465"/>
      <c r="X22" s="465"/>
      <c r="Y22" s="465"/>
      <c r="Z22" s="465"/>
      <c r="AA22" s="465"/>
    </row>
    <row r="23" spans="2:27" x14ac:dyDescent="0.35">
      <c r="B23" s="516" t="s">
        <v>233</v>
      </c>
      <c r="C23" s="517"/>
      <c r="D23" s="460">
        <v>0</v>
      </c>
      <c r="E23" s="460">
        <f>-An_Ex</f>
        <v>-29250</v>
      </c>
      <c r="F23" s="460">
        <f>-An_Ex</f>
        <v>-29250</v>
      </c>
      <c r="G23" s="460">
        <f t="shared" ref="G23:J23" si="2">-An_Ex</f>
        <v>-29250</v>
      </c>
      <c r="H23" s="460">
        <f t="shared" si="2"/>
        <v>-29250</v>
      </c>
      <c r="I23" s="460">
        <f t="shared" si="2"/>
        <v>-29250</v>
      </c>
      <c r="J23" s="497">
        <f t="shared" si="2"/>
        <v>-29250</v>
      </c>
      <c r="K23" s="467"/>
      <c r="L23" s="462"/>
      <c r="M23" s="463"/>
      <c r="N23" s="468"/>
      <c r="O23" s="435"/>
      <c r="P23" s="458"/>
      <c r="Q23" s="466"/>
      <c r="R23" s="458"/>
      <c r="S23" s="458"/>
      <c r="T23" s="458"/>
      <c r="U23" s="458"/>
      <c r="V23" s="458"/>
      <c r="W23" s="458"/>
      <c r="X23" s="446"/>
      <c r="Y23" s="446"/>
      <c r="Z23" s="446"/>
      <c r="AA23" s="446"/>
    </row>
    <row r="24" spans="2:27" x14ac:dyDescent="0.35">
      <c r="B24" s="516" t="s">
        <v>234</v>
      </c>
      <c r="C24" s="517"/>
      <c r="D24" s="460">
        <f>D19</f>
        <v>-8281149.318</v>
      </c>
      <c r="E24" s="512">
        <v>0</v>
      </c>
      <c r="F24" s="460">
        <f>SUM(F20:F23)</f>
        <v>939845.74357000331</v>
      </c>
      <c r="G24" s="460">
        <f>SUM(G20:G23)</f>
        <v>985748.78031092894</v>
      </c>
      <c r="H24" s="460">
        <f>SUM(H20:H23)</f>
        <v>1033028.9081540816</v>
      </c>
      <c r="I24" s="460">
        <f>SUM(I20:I23)</f>
        <v>1081727.4398325291</v>
      </c>
      <c r="J24" s="497">
        <f>SUM(J20:J23)</f>
        <v>16975506.089227721</v>
      </c>
      <c r="K24" s="460"/>
      <c r="L24" s="460"/>
      <c r="M24" s="469"/>
      <c r="N24" s="468"/>
      <c r="O24" s="452"/>
      <c r="P24" s="452"/>
      <c r="Q24" s="452"/>
      <c r="R24" s="458"/>
      <c r="S24" s="458"/>
      <c r="T24" s="458"/>
      <c r="U24" s="458"/>
      <c r="V24" s="458"/>
      <c r="W24" s="458"/>
      <c r="X24" s="446"/>
      <c r="Y24" s="446"/>
      <c r="Z24" s="446"/>
      <c r="AA24" s="446"/>
    </row>
    <row r="25" spans="2:27" x14ac:dyDescent="0.35">
      <c r="B25" s="554" t="s">
        <v>235</v>
      </c>
      <c r="C25" s="555"/>
      <c r="D25" s="470"/>
      <c r="E25" s="470">
        <f>-SUM(E21:E23)/E19</f>
        <v>-8.5321184145806753E-3</v>
      </c>
      <c r="F25" s="470">
        <f>-SUM(F21:F23)/F19</f>
        <v>0.1134921865890214</v>
      </c>
      <c r="G25" s="470">
        <f>-SUM(G21:G23)/G19</f>
        <v>0.11903526219099736</v>
      </c>
      <c r="H25" s="470">
        <f>-SUM(H21:H23)/H19</f>
        <v>0.12474463006103249</v>
      </c>
      <c r="I25" s="470">
        <f>-SUM(I21:I23)/I19</f>
        <v>0.13062527896716872</v>
      </c>
      <c r="J25" s="502">
        <f t="shared" ref="J25" si="3">-SUM(J21:J23)/J19</f>
        <v>0.13668234734048909</v>
      </c>
      <c r="K25" s="470"/>
      <c r="L25" s="470"/>
      <c r="M25" s="452"/>
      <c r="N25" s="452"/>
      <c r="O25" s="435"/>
      <c r="P25" s="471"/>
      <c r="Q25" s="459"/>
      <c r="R25" s="471"/>
      <c r="S25" s="471"/>
      <c r="T25" s="539"/>
      <c r="U25" s="539"/>
      <c r="V25" s="539"/>
      <c r="W25" s="539"/>
      <c r="X25" s="446"/>
      <c r="Y25" s="446"/>
      <c r="Z25" s="446"/>
      <c r="AA25" s="446"/>
    </row>
    <row r="26" spans="2:27" ht="14.5" thickBot="1" x14ac:dyDescent="0.4">
      <c r="B26" s="543" t="s">
        <v>236</v>
      </c>
      <c r="C26" s="544"/>
      <c r="D26" s="503"/>
      <c r="E26" s="493"/>
      <c r="F26" s="503">
        <f>-SUM(F21:F23)/F19</f>
        <v>0.1134921865890214</v>
      </c>
      <c r="G26" s="503">
        <f>-SUM(G21:G23)/G19</f>
        <v>0.11903526219099736</v>
      </c>
      <c r="H26" s="503">
        <f>-SUM(H21:H23)/H19</f>
        <v>0.12474463006103249</v>
      </c>
      <c r="I26" s="503">
        <f>I25</f>
        <v>0.13062527896716872</v>
      </c>
      <c r="J26" s="504">
        <f>(J24+J19)/-J19</f>
        <v>1.0498973557123972</v>
      </c>
      <c r="K26" s="470"/>
      <c r="L26" s="463"/>
      <c r="M26" s="464"/>
      <c r="N26" s="435"/>
      <c r="O26" s="472"/>
      <c r="P26" s="473"/>
      <c r="Q26" s="472"/>
      <c r="R26" s="472"/>
      <c r="S26" s="472"/>
      <c r="T26" s="472"/>
      <c r="U26" s="472"/>
      <c r="V26" s="472"/>
    </row>
    <row r="27" spans="2:27" x14ac:dyDescent="0.35">
      <c r="B27" s="547" t="s">
        <v>251</v>
      </c>
      <c r="C27" s="548"/>
      <c r="D27" s="490">
        <f>AVERAGE(D25:K25)</f>
        <v>0.1026745977890214</v>
      </c>
      <c r="E27" s="454"/>
      <c r="F27" s="454"/>
      <c r="G27" s="454"/>
      <c r="H27" s="454"/>
      <c r="I27" s="454"/>
      <c r="J27" s="454"/>
      <c r="K27" s="463"/>
      <c r="L27" s="463"/>
      <c r="M27" s="474"/>
      <c r="N27" s="435"/>
      <c r="O27" s="475"/>
      <c r="P27" s="476"/>
      <c r="Q27" s="475"/>
      <c r="R27" s="475"/>
      <c r="S27" s="477"/>
      <c r="T27" s="477"/>
      <c r="U27" s="477"/>
      <c r="V27" s="477"/>
    </row>
    <row r="28" spans="2:27" ht="14.5" customHeight="1" x14ac:dyDescent="0.35">
      <c r="B28" s="547" t="s">
        <v>237</v>
      </c>
      <c r="C28" s="549"/>
      <c r="D28" s="490">
        <f>AVERAGE(D26:K26)</f>
        <v>0.30755894270412343</v>
      </c>
      <c r="E28" s="454"/>
      <c r="F28" s="454"/>
      <c r="G28" s="454"/>
      <c r="H28" s="454"/>
      <c r="I28" s="454"/>
      <c r="J28" s="454"/>
      <c r="K28" s="478"/>
      <c r="L28" s="478"/>
      <c r="M28" s="479"/>
      <c r="N28" s="480"/>
      <c r="O28" s="480"/>
      <c r="P28" s="480"/>
      <c r="Q28" s="475"/>
      <c r="R28" s="475"/>
      <c r="S28" s="477"/>
      <c r="T28" s="477"/>
      <c r="U28" s="477"/>
      <c r="V28" s="477"/>
    </row>
    <row r="29" spans="2:27" ht="14.15" hidden="1" customHeight="1" x14ac:dyDescent="0.35">
      <c r="B29" s="550" t="s">
        <v>238</v>
      </c>
      <c r="C29" s="549"/>
      <c r="D29" s="491">
        <f>IRR(D24:I24)</f>
        <v>-0.17722398062500455</v>
      </c>
      <c r="E29" s="454"/>
      <c r="F29" s="454"/>
      <c r="G29" s="454"/>
      <c r="H29" s="454"/>
      <c r="I29" s="454"/>
      <c r="J29" s="454"/>
      <c r="K29" s="480"/>
      <c r="L29" s="480"/>
      <c r="M29" s="480"/>
      <c r="N29" s="480"/>
      <c r="O29" s="481"/>
      <c r="P29" s="481"/>
      <c r="Q29" s="475"/>
      <c r="R29" s="475"/>
      <c r="S29" s="477"/>
      <c r="T29" s="477"/>
      <c r="U29" s="477"/>
      <c r="V29" s="477"/>
    </row>
    <row r="30" spans="2:27" x14ac:dyDescent="0.35">
      <c r="B30" s="547" t="s">
        <v>250</v>
      </c>
      <c r="C30" s="548"/>
      <c r="D30" s="492">
        <f>SUM(D26:K26)</f>
        <v>1.5377947135206171</v>
      </c>
      <c r="E30" s="482"/>
      <c r="F30" s="482"/>
      <c r="G30" s="482"/>
      <c r="H30" s="482"/>
      <c r="I30" s="482"/>
      <c r="J30" s="482"/>
      <c r="K30" s="483"/>
      <c r="L30" s="483"/>
      <c r="M30" s="480"/>
      <c r="N30" s="484"/>
      <c r="O30" s="485"/>
      <c r="P30" s="486"/>
      <c r="Q30" s="435"/>
      <c r="R30" s="435"/>
    </row>
    <row r="31" spans="2:27" ht="14.5" thickBot="1" x14ac:dyDescent="0.4">
      <c r="B31" s="494" t="s">
        <v>238</v>
      </c>
      <c r="C31" s="495"/>
      <c r="D31" s="514">
        <f>IRR(D24:J24)</f>
        <v>0.18764315706359525</v>
      </c>
      <c r="K31" s="483"/>
      <c r="L31" s="483"/>
      <c r="M31" s="484"/>
      <c r="N31" s="484"/>
      <c r="O31" s="487"/>
      <c r="P31" s="486"/>
      <c r="Q31" s="435"/>
      <c r="R31" s="435"/>
    </row>
    <row r="32" spans="2:27" ht="14.5" thickBot="1" x14ac:dyDescent="0.4">
      <c r="B32" s="446"/>
      <c r="C32" s="446"/>
      <c r="D32" s="496"/>
      <c r="K32" s="483"/>
      <c r="L32" s="483"/>
      <c r="M32" s="484"/>
      <c r="N32" s="484"/>
      <c r="O32" s="487"/>
      <c r="P32" s="486"/>
      <c r="Q32" s="435"/>
      <c r="R32" s="435"/>
    </row>
    <row r="33" spans="2:18" x14ac:dyDescent="0.35">
      <c r="B33" s="551" t="s">
        <v>239</v>
      </c>
      <c r="C33" s="552"/>
      <c r="D33" s="553"/>
      <c r="K33" s="483"/>
      <c r="L33" s="483"/>
      <c r="M33" s="484"/>
      <c r="N33" s="484"/>
      <c r="O33" s="435"/>
      <c r="P33" s="435"/>
      <c r="Q33" s="435"/>
      <c r="R33" s="435"/>
    </row>
    <row r="34" spans="2:18" x14ac:dyDescent="0.35">
      <c r="B34" s="516" t="s">
        <v>230</v>
      </c>
      <c r="C34" s="517"/>
      <c r="D34" s="505">
        <f>I19</f>
        <v>-8281149.318</v>
      </c>
      <c r="K34" s="483"/>
      <c r="L34" s="483"/>
      <c r="M34" s="435"/>
    </row>
    <row r="35" spans="2:18" x14ac:dyDescent="0.35">
      <c r="B35" s="516" t="s">
        <v>240</v>
      </c>
      <c r="C35" s="517"/>
      <c r="D35" s="505">
        <f>('Investor Returns'!J15-'Investor Returns'!J10)*TS_Share</f>
        <v>17178172.663607519</v>
      </c>
    </row>
    <row r="36" spans="2:18" x14ac:dyDescent="0.35">
      <c r="B36" s="516" t="s">
        <v>241</v>
      </c>
      <c r="C36" s="517"/>
      <c r="D36" s="505">
        <f>SUM(D34:D35)</f>
        <v>8897023.3456075191</v>
      </c>
    </row>
    <row r="37" spans="2:18" x14ac:dyDescent="0.35">
      <c r="B37" s="516" t="s">
        <v>242</v>
      </c>
      <c r="C37" s="517"/>
      <c r="D37" s="505">
        <f>-D36*suc_fee</f>
        <v>-1334553.5018411279</v>
      </c>
    </row>
    <row r="38" spans="2:18" ht="14.5" thickBot="1" x14ac:dyDescent="0.4">
      <c r="B38" s="543" t="s">
        <v>243</v>
      </c>
      <c r="C38" s="544"/>
      <c r="D38" s="506">
        <f>SUM(D35,D37)</f>
        <v>15843619.161766391</v>
      </c>
    </row>
  </sheetData>
  <mergeCells count="53">
    <mergeCell ref="G15:H15"/>
    <mergeCell ref="B17:I17"/>
    <mergeCell ref="B34:C34"/>
    <mergeCell ref="B35:C35"/>
    <mergeCell ref="B36:C36"/>
    <mergeCell ref="B37:C37"/>
    <mergeCell ref="B38:C38"/>
    <mergeCell ref="B14:C14"/>
    <mergeCell ref="B15:C15"/>
    <mergeCell ref="B26:C26"/>
    <mergeCell ref="B27:C27"/>
    <mergeCell ref="B28:C28"/>
    <mergeCell ref="B29:C29"/>
    <mergeCell ref="B30:C30"/>
    <mergeCell ref="B33:D33"/>
    <mergeCell ref="B21:C21"/>
    <mergeCell ref="B22:C22"/>
    <mergeCell ref="B23:C23"/>
    <mergeCell ref="B24:C24"/>
    <mergeCell ref="B25:C25"/>
    <mergeCell ref="T25:W25"/>
    <mergeCell ref="B18:C18"/>
    <mergeCell ref="P18:S18"/>
    <mergeCell ref="T18:W18"/>
    <mergeCell ref="B19:C19"/>
    <mergeCell ref="T19:W19"/>
    <mergeCell ref="B20:C20"/>
    <mergeCell ref="J11:K11"/>
    <mergeCell ref="B12:F12"/>
    <mergeCell ref="G12:H12"/>
    <mergeCell ref="B13:F13"/>
    <mergeCell ref="G13:H13"/>
    <mergeCell ref="G14:H14"/>
    <mergeCell ref="B9:F9"/>
    <mergeCell ref="G9:H9"/>
    <mergeCell ref="B10:F10"/>
    <mergeCell ref="G10:H10"/>
    <mergeCell ref="B11:F11"/>
    <mergeCell ref="G11:H11"/>
    <mergeCell ref="B8:F8"/>
    <mergeCell ref="G8:H8"/>
    <mergeCell ref="B2:H2"/>
    <mergeCell ref="B3:F3"/>
    <mergeCell ref="G3:H3"/>
    <mergeCell ref="B4:F4"/>
    <mergeCell ref="G4:H4"/>
    <mergeCell ref="B5:F5"/>
    <mergeCell ref="G5:H5"/>
    <mergeCell ref="B6:F6"/>
    <mergeCell ref="G6:H6"/>
    <mergeCell ref="B7:C7"/>
    <mergeCell ref="E7:F7"/>
    <mergeCell ref="G7:H7"/>
  </mergeCells>
  <pageMargins left="0.7" right="0.7" top="0.75" bottom="0.75" header="0.3" footer="0.3"/>
  <ignoredErrors>
    <ignoredError sqref="G5 G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J23"/>
  <sheetViews>
    <sheetView showGridLines="0" zoomScale="130" zoomScaleNormal="130" workbookViewId="0">
      <selection activeCell="C26" sqref="C26"/>
    </sheetView>
  </sheetViews>
  <sheetFormatPr defaultColWidth="11.453125" defaultRowHeight="12.75" customHeight="1" x14ac:dyDescent="0.25"/>
  <cols>
    <col min="1" max="1" width="1.81640625" style="30" customWidth="1"/>
    <col min="2" max="2" width="46" style="30" customWidth="1"/>
    <col min="3" max="3" width="13.453125" style="30" customWidth="1"/>
    <col min="4" max="4" width="12.453125" style="30" customWidth="1"/>
    <col min="5" max="5" width="15.1796875" style="30" customWidth="1"/>
    <col min="6" max="6" width="12.26953125" style="30" customWidth="1"/>
    <col min="7" max="7" width="14.1796875" style="30" bestFit="1" customWidth="1"/>
    <col min="8" max="8" width="11.7265625" style="30" bestFit="1" customWidth="1"/>
    <col min="9" max="9" width="11.453125" style="30" customWidth="1"/>
    <col min="10" max="10" width="11.7265625" style="30" bestFit="1" customWidth="1"/>
    <col min="11" max="16384" width="11.453125" style="30"/>
  </cols>
  <sheetData>
    <row r="1" spans="2:10" ht="12.75" customHeight="1" thickBot="1" x14ac:dyDescent="0.3"/>
    <row r="2" spans="2:10" ht="12.75" customHeight="1" thickBot="1" x14ac:dyDescent="0.3">
      <c r="B2" s="112" t="s">
        <v>0</v>
      </c>
      <c r="C2" s="31" t="s">
        <v>90</v>
      </c>
      <c r="D2" s="134" t="s">
        <v>89</v>
      </c>
      <c r="E2" s="104"/>
    </row>
    <row r="3" spans="2:10" ht="12.75" customHeight="1" thickBot="1" x14ac:dyDescent="0.3">
      <c r="B3" s="99"/>
      <c r="C3" s="100"/>
      <c r="D3" s="104"/>
      <c r="E3" s="104"/>
    </row>
    <row r="4" spans="2:10" ht="12.75" customHeight="1" x14ac:dyDescent="0.25">
      <c r="B4" s="122" t="s">
        <v>1</v>
      </c>
      <c r="C4" s="154">
        <f>'Project Budget and Assumptions'!C24</f>
        <v>17508400</v>
      </c>
      <c r="D4" s="115"/>
      <c r="E4" s="121"/>
    </row>
    <row r="5" spans="2:10" ht="12.75" customHeight="1" thickBot="1" x14ac:dyDescent="0.3">
      <c r="B5" s="123" t="s">
        <v>71</v>
      </c>
      <c r="C5" s="154">
        <f>SUM(C4:C4)</f>
        <v>17508400</v>
      </c>
      <c r="D5" s="115"/>
      <c r="E5" s="104"/>
    </row>
    <row r="6" spans="2:10" ht="12.75" customHeight="1" x14ac:dyDescent="0.25">
      <c r="B6" s="95" t="s">
        <v>2</v>
      </c>
      <c r="C6" s="154">
        <f>0.5*C4</f>
        <v>8754200</v>
      </c>
      <c r="D6" s="113"/>
      <c r="E6" s="104"/>
      <c r="G6" s="70"/>
      <c r="J6" s="32"/>
    </row>
    <row r="7" spans="2:10" ht="12.75" customHeight="1" thickBot="1" x14ac:dyDescent="0.3">
      <c r="B7" s="96" t="s">
        <v>3</v>
      </c>
      <c r="C7" s="154">
        <f>C5-C6</f>
        <v>8754200</v>
      </c>
      <c r="D7" s="133">
        <f>C7/C4</f>
        <v>0.5</v>
      </c>
      <c r="E7" s="104"/>
      <c r="G7" s="71"/>
      <c r="H7" s="32"/>
    </row>
    <row r="8" spans="2:10" ht="12.75" customHeight="1" x14ac:dyDescent="0.25">
      <c r="B8" s="107" t="s">
        <v>84</v>
      </c>
      <c r="C8" s="97">
        <v>118</v>
      </c>
      <c r="D8" s="115"/>
      <c r="E8" s="104"/>
      <c r="J8" s="32"/>
    </row>
    <row r="9" spans="2:10" ht="12.75" customHeight="1" x14ac:dyDescent="0.25">
      <c r="B9" s="108" t="s">
        <v>85</v>
      </c>
      <c r="C9" s="98">
        <v>8</v>
      </c>
      <c r="D9" s="115"/>
      <c r="E9" s="104"/>
      <c r="J9" s="32"/>
    </row>
    <row r="10" spans="2:10" ht="12.75" customHeight="1" x14ac:dyDescent="0.25">
      <c r="B10" s="120" t="s">
        <v>86</v>
      </c>
      <c r="C10" s="98">
        <f>C8+C9</f>
        <v>126</v>
      </c>
      <c r="D10" s="115"/>
      <c r="E10" s="104"/>
      <c r="J10" s="32"/>
    </row>
    <row r="11" spans="2:10" ht="12.75" customHeight="1" x14ac:dyDescent="0.25">
      <c r="B11" s="108" t="s">
        <v>91</v>
      </c>
      <c r="C11" s="114">
        <v>6400</v>
      </c>
      <c r="D11" s="118"/>
      <c r="E11" s="118"/>
      <c r="F11" s="119"/>
      <c r="G11" s="63"/>
    </row>
    <row r="12" spans="2:10" ht="12.75" customHeight="1" x14ac:dyDescent="0.25">
      <c r="B12" s="109" t="s">
        <v>87</v>
      </c>
      <c r="C12" s="154">
        <f>14000000/C8</f>
        <v>118644.06779661016</v>
      </c>
      <c r="D12" s="118"/>
      <c r="E12" s="118"/>
      <c r="F12" s="119"/>
      <c r="H12" s="32"/>
    </row>
    <row r="13" spans="2:10" ht="12.75" customHeight="1" x14ac:dyDescent="0.25">
      <c r="B13" s="109" t="s">
        <v>88</v>
      </c>
      <c r="C13" s="154">
        <f>C4/C10</f>
        <v>138955.55555555556</v>
      </c>
      <c r="D13" s="104"/>
      <c r="E13" s="104"/>
    </row>
    <row r="14" spans="2:10" ht="12.75" customHeight="1" x14ac:dyDescent="0.25">
      <c r="B14" s="110" t="s">
        <v>92</v>
      </c>
      <c r="C14" s="154">
        <f>'Op Budget (Yr1)'!O26/('Op Budget (Yr1)'!O16+'Op Budget (Yr1)'!O17+'Op Budget (Yr1)'!O18+'Op Budget (Yr1)'!O19+'Op Budget (Yr1)'!O20+'Op Budget (Yr1)'!O21+'Op Budget (Yr1)'!O22)*25</f>
        <v>1773.4981449471384</v>
      </c>
      <c r="D14" s="115"/>
      <c r="E14" s="104"/>
    </row>
    <row r="15" spans="2:10" ht="12.75" customHeight="1" x14ac:dyDescent="0.25">
      <c r="B15" s="110" t="s">
        <v>177</v>
      </c>
      <c r="C15" s="154">
        <f>'Annual Projections (Full)'!H40</f>
        <v>1722142.4085888271</v>
      </c>
      <c r="D15" s="104"/>
      <c r="E15" s="104"/>
    </row>
    <row r="16" spans="2:10" ht="12.75" customHeight="1" x14ac:dyDescent="0.25">
      <c r="B16" s="110" t="s">
        <v>247</v>
      </c>
      <c r="C16" s="513">
        <f>C15/'Project Budget and Assumptions'!F12</f>
        <v>31311680.156160492</v>
      </c>
      <c r="D16" s="104"/>
      <c r="E16" s="104"/>
    </row>
    <row r="17" spans="2:8" ht="12.75" customHeight="1" x14ac:dyDescent="0.25">
      <c r="B17" s="110" t="s">
        <v>184</v>
      </c>
      <c r="C17" s="101">
        <f>('Annual Projections (Full)'!H40-'Annual Projections (Full)'!H42-'Annual Projections (Full)'!H44)/'Fin Calc'!C7</f>
        <v>0.16399166741996807</v>
      </c>
      <c r="D17" s="104"/>
      <c r="E17" s="104"/>
      <c r="H17" s="65"/>
    </row>
    <row r="18" spans="2:8" ht="12.75" customHeight="1" thickBot="1" x14ac:dyDescent="0.3">
      <c r="B18" s="111" t="s">
        <v>185</v>
      </c>
      <c r="C18" s="102">
        <f>('Annual Projections (Full)'!H45/'Fin Calc'!C7)</f>
        <v>0.13736751205722172</v>
      </c>
      <c r="D18" s="104"/>
      <c r="E18" s="104"/>
    </row>
    <row r="19" spans="2:8" ht="12.75" customHeight="1" x14ac:dyDescent="0.25">
      <c r="B19" s="105"/>
      <c r="C19" s="106"/>
      <c r="D19" s="104"/>
      <c r="E19" s="104"/>
    </row>
    <row r="20" spans="2:8" ht="12.75" customHeight="1" x14ac:dyDescent="0.25">
      <c r="B20" s="104"/>
      <c r="C20" s="104"/>
      <c r="D20" s="104"/>
      <c r="E20" s="104"/>
    </row>
    <row r="23" spans="2:8" ht="12.75" customHeight="1" x14ac:dyDescent="0.25">
      <c r="H23" s="32"/>
    </row>
  </sheetData>
  <customSheetViews>
    <customSheetView guid="{21726E00-23FB-473B-B23F-4139D4F7D4CA}" showPageBreaks="1" showGridLines="0" fitToPage="1" showRuler="0">
      <selection activeCell="E12" sqref="E12"/>
      <pageMargins left="0" right="0" top="0" bottom="0" header="0" footer="0"/>
      <printOptions horizontalCentered="1" verticalCentered="1"/>
      <pageSetup orientation="landscape" horizontalDpi="4294967294"/>
      <headerFooter alignWithMargins="0"/>
    </customSheetView>
    <customSheetView guid="{8C149CFD-F183-4DEA-93BF-382069DDCC79}" showGridLines="0" fitToPage="1" showRuler="0">
      <selection activeCell="E21" sqref="E21"/>
      <pageMargins left="0" right="0" top="0" bottom="0" header="0" footer="0"/>
      <printOptions horizontalCentered="1" verticalCentered="1"/>
      <pageSetup orientation="landscape" horizontalDpi="4294967294"/>
      <headerFooter alignWithMargins="0"/>
    </customSheetView>
  </customSheetViews>
  <phoneticPr fontId="0" type="noConversion"/>
  <printOptions horizontalCentered="1" verticalCentered="1"/>
  <pageMargins left="0.25" right="0.25" top="0.25" bottom="0.25" header="0.5" footer="0.5"/>
  <pageSetup orientation="landscape" horizontalDpi="4294967294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3"/>
  <sheetViews>
    <sheetView workbookViewId="0">
      <selection activeCell="E10" sqref="E10"/>
    </sheetView>
  </sheetViews>
  <sheetFormatPr defaultColWidth="11.453125" defaultRowHeight="12.5" x14ac:dyDescent="0.25"/>
  <cols>
    <col min="1" max="1" width="27.453125" style="69" customWidth="1"/>
    <col min="2" max="2" width="11.81640625" style="69" customWidth="1"/>
    <col min="3" max="3" width="11.81640625" style="90" customWidth="1"/>
    <col min="4" max="4" width="11.81640625" style="69" customWidth="1"/>
    <col min="5" max="5" width="13.26953125" style="69" bestFit="1" customWidth="1"/>
    <col min="6" max="16384" width="11.453125" style="69"/>
  </cols>
  <sheetData>
    <row r="1" spans="1:7" ht="13.15" customHeight="1" x14ac:dyDescent="0.3">
      <c r="A1" s="558" t="s">
        <v>50</v>
      </c>
      <c r="B1" s="559"/>
      <c r="C1" s="559"/>
      <c r="D1" s="559"/>
      <c r="E1" s="559"/>
      <c r="G1" s="158"/>
    </row>
    <row r="2" spans="1:7" ht="22.5" customHeight="1" x14ac:dyDescent="0.3">
      <c r="A2" s="159" t="s">
        <v>51</v>
      </c>
      <c r="B2" s="160" t="s">
        <v>52</v>
      </c>
      <c r="C2" s="160" t="s">
        <v>53</v>
      </c>
      <c r="D2" s="160" t="s">
        <v>201</v>
      </c>
      <c r="E2" s="160" t="s">
        <v>202</v>
      </c>
    </row>
    <row r="3" spans="1:7" x14ac:dyDescent="0.25">
      <c r="A3" s="161" t="s">
        <v>97</v>
      </c>
      <c r="B3" s="162">
        <v>40</v>
      </c>
      <c r="C3" s="162">
        <v>40</v>
      </c>
      <c r="D3" s="89">
        <v>20</v>
      </c>
      <c r="E3" s="163">
        <f>B3*D3</f>
        <v>800</v>
      </c>
    </row>
    <row r="4" spans="1:7" x14ac:dyDescent="0.25">
      <c r="A4" s="161" t="s">
        <v>98</v>
      </c>
      <c r="B4" s="162">
        <v>43</v>
      </c>
      <c r="C4" s="162">
        <v>43</v>
      </c>
      <c r="D4" s="89">
        <v>23</v>
      </c>
      <c r="E4" s="163">
        <f t="shared" ref="E4:E8" si="0">B4*D4</f>
        <v>989</v>
      </c>
    </row>
    <row r="5" spans="1:7" x14ac:dyDescent="0.25">
      <c r="A5" s="161" t="s">
        <v>99</v>
      </c>
      <c r="B5" s="162">
        <v>18</v>
      </c>
      <c r="C5" s="162">
        <v>18</v>
      </c>
      <c r="D5" s="89">
        <v>23</v>
      </c>
      <c r="E5" s="163">
        <f t="shared" si="0"/>
        <v>414</v>
      </c>
    </row>
    <row r="6" spans="1:7" x14ac:dyDescent="0.25">
      <c r="A6" s="161" t="s">
        <v>100</v>
      </c>
      <c r="B6" s="162">
        <v>3</v>
      </c>
      <c r="C6" s="162">
        <v>6</v>
      </c>
      <c r="D6" s="89">
        <v>30</v>
      </c>
      <c r="E6" s="163">
        <f>B6*D6</f>
        <v>90</v>
      </c>
      <c r="F6" s="158"/>
    </row>
    <row r="7" spans="1:7" x14ac:dyDescent="0.25">
      <c r="A7" s="161" t="s">
        <v>101</v>
      </c>
      <c r="B7" s="162">
        <v>2</v>
      </c>
      <c r="C7" s="162">
        <v>4</v>
      </c>
      <c r="D7" s="89">
        <v>35</v>
      </c>
      <c r="E7" s="163">
        <f>B7*D7</f>
        <v>70</v>
      </c>
      <c r="F7" s="158"/>
    </row>
    <row r="8" spans="1:7" x14ac:dyDescent="0.25">
      <c r="A8" s="161" t="s">
        <v>102</v>
      </c>
      <c r="B8" s="162">
        <v>20</v>
      </c>
      <c r="C8" s="162">
        <v>80</v>
      </c>
      <c r="D8" s="89">
        <v>40</v>
      </c>
      <c r="E8" s="163">
        <f t="shared" si="0"/>
        <v>800</v>
      </c>
      <c r="F8" s="158"/>
    </row>
    <row r="9" spans="1:7" ht="13" thickBot="1" x14ac:dyDescent="0.3">
      <c r="A9" s="164" t="s">
        <v>122</v>
      </c>
      <c r="B9" s="165">
        <v>30</v>
      </c>
      <c r="C9" s="165"/>
      <c r="D9" s="166"/>
      <c r="E9" s="167"/>
    </row>
    <row r="10" spans="1:7" s="135" customFormat="1" ht="13.5" thickBot="1" x14ac:dyDescent="0.35">
      <c r="A10" s="168" t="s">
        <v>54</v>
      </c>
      <c r="B10" s="169">
        <f>SUM(B3:B8)</f>
        <v>126</v>
      </c>
      <c r="C10" s="169">
        <f>SUM(C3:C9)</f>
        <v>191</v>
      </c>
      <c r="D10" s="181">
        <f>E10/B10</f>
        <v>25.103174603174605</v>
      </c>
      <c r="E10" s="170">
        <f>SUM(E3:E9)</f>
        <v>3163</v>
      </c>
    </row>
    <row r="11" spans="1:7" s="135" customFormat="1" ht="13" x14ac:dyDescent="0.3">
      <c r="A11" s="171"/>
      <c r="B11" s="172"/>
      <c r="C11" s="172"/>
      <c r="D11" s="173"/>
      <c r="E11" s="174"/>
    </row>
    <row r="12" spans="1:7" x14ac:dyDescent="0.25">
      <c r="A12" s="175"/>
      <c r="B12" s="176"/>
      <c r="C12" s="177"/>
      <c r="E12" s="90"/>
    </row>
    <row r="13" spans="1:7" x14ac:dyDescent="0.25">
      <c r="A13" s="175"/>
      <c r="B13" s="178"/>
      <c r="C13" s="178"/>
      <c r="G13" s="179"/>
    </row>
    <row r="14" spans="1:7" x14ac:dyDescent="0.25">
      <c r="A14" s="175"/>
      <c r="B14" s="178"/>
      <c r="C14" s="178"/>
      <c r="G14" s="179"/>
    </row>
    <row r="15" spans="1:7" x14ac:dyDescent="0.25">
      <c r="A15" s="175"/>
      <c r="B15" s="178"/>
      <c r="C15" s="178"/>
    </row>
    <row r="16" spans="1:7" x14ac:dyDescent="0.25">
      <c r="A16" s="176"/>
      <c r="B16" s="177"/>
      <c r="C16" s="177"/>
    </row>
    <row r="17" spans="1:5" x14ac:dyDescent="0.25">
      <c r="A17" s="176"/>
      <c r="B17" s="177"/>
      <c r="C17" s="177"/>
    </row>
    <row r="18" spans="1:5" x14ac:dyDescent="0.25">
      <c r="A18" s="175"/>
      <c r="B18" s="178"/>
      <c r="C18" s="178"/>
      <c r="D18" s="158"/>
      <c r="E18" s="158"/>
    </row>
    <row r="23" spans="1:5" x14ac:dyDescent="0.25">
      <c r="C23" s="180"/>
    </row>
  </sheetData>
  <mergeCells count="1">
    <mergeCell ref="A1:E1"/>
  </mergeCells>
  <pageMargins left="0.7" right="0.7" top="0.75" bottom="0.75" header="0.3" footer="0.3"/>
  <pageSetup paperSize="9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Q76"/>
  <sheetViews>
    <sheetView showGridLines="0" topLeftCell="A31" zoomScaleNormal="100" workbookViewId="0">
      <selection activeCell="Q71" sqref="Q71"/>
    </sheetView>
  </sheetViews>
  <sheetFormatPr defaultColWidth="11.453125" defaultRowHeight="11.5" x14ac:dyDescent="0.25"/>
  <cols>
    <col min="1" max="1" width="1.81640625" style="187" customWidth="1"/>
    <col min="2" max="2" width="27.81640625" style="187" customWidth="1"/>
    <col min="3" max="14" width="11.7265625" style="187" customWidth="1"/>
    <col min="15" max="15" width="12.81640625" style="187" bestFit="1" customWidth="1"/>
    <col min="16" max="16" width="0.81640625" style="187" customWidth="1"/>
    <col min="17" max="16384" width="11.453125" style="187"/>
  </cols>
  <sheetData>
    <row r="1" spans="1:15" ht="12" thickBot="1" x14ac:dyDescent="0.3">
      <c r="A1" s="182"/>
      <c r="B1" s="183"/>
      <c r="C1" s="184" t="s">
        <v>103</v>
      </c>
      <c r="D1" s="185" t="s">
        <v>104</v>
      </c>
      <c r="E1" s="184" t="s">
        <v>105</v>
      </c>
      <c r="F1" s="185" t="s">
        <v>106</v>
      </c>
      <c r="G1" s="184" t="s">
        <v>107</v>
      </c>
      <c r="H1" s="185" t="s">
        <v>108</v>
      </c>
      <c r="I1" s="184" t="s">
        <v>109</v>
      </c>
      <c r="J1" s="185" t="s">
        <v>110</v>
      </c>
      <c r="K1" s="184" t="s">
        <v>111</v>
      </c>
      <c r="L1" s="185" t="s">
        <v>112</v>
      </c>
      <c r="M1" s="184" t="s">
        <v>113</v>
      </c>
      <c r="N1" s="185" t="s">
        <v>114</v>
      </c>
      <c r="O1" s="186" t="s">
        <v>205</v>
      </c>
    </row>
    <row r="2" spans="1:15" x14ac:dyDescent="0.25">
      <c r="A2" s="182"/>
      <c r="B2" s="188" t="s">
        <v>4</v>
      </c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311"/>
    </row>
    <row r="3" spans="1:15" x14ac:dyDescent="0.25">
      <c r="A3" s="182"/>
      <c r="B3" s="191" t="s">
        <v>115</v>
      </c>
      <c r="C3" s="192">
        <v>31</v>
      </c>
      <c r="D3" s="192">
        <v>28</v>
      </c>
      <c r="E3" s="192">
        <v>31</v>
      </c>
      <c r="F3" s="192">
        <v>30</v>
      </c>
      <c r="G3" s="192">
        <v>31</v>
      </c>
      <c r="H3" s="192">
        <v>30</v>
      </c>
      <c r="I3" s="192">
        <v>31</v>
      </c>
      <c r="J3" s="192">
        <v>30</v>
      </c>
      <c r="K3" s="192">
        <v>31</v>
      </c>
      <c r="L3" s="192">
        <v>30</v>
      </c>
      <c r="M3" s="192">
        <v>31</v>
      </c>
      <c r="N3" s="309">
        <v>31</v>
      </c>
      <c r="O3" s="313">
        <f>SUM(C3:N3)</f>
        <v>365</v>
      </c>
    </row>
    <row r="4" spans="1:15" ht="12" thickBot="1" x14ac:dyDescent="0.3">
      <c r="A4" s="182"/>
      <c r="B4" s="193" t="s">
        <v>116</v>
      </c>
      <c r="C4" s="194">
        <v>0.63</v>
      </c>
      <c r="D4" s="194">
        <v>0.68</v>
      </c>
      <c r="E4" s="194">
        <v>0.73</v>
      </c>
      <c r="F4" s="194">
        <v>0.73</v>
      </c>
      <c r="G4" s="194">
        <v>0.75</v>
      </c>
      <c r="H4" s="194">
        <v>0.78</v>
      </c>
      <c r="I4" s="194">
        <v>0.76</v>
      </c>
      <c r="J4" s="194">
        <v>0.83</v>
      </c>
      <c r="K4" s="194">
        <v>0.81</v>
      </c>
      <c r="L4" s="194">
        <v>0.8</v>
      </c>
      <c r="M4" s="194">
        <v>0.78</v>
      </c>
      <c r="N4" s="310">
        <v>0.73</v>
      </c>
      <c r="O4" s="314">
        <f>SUM(C4:N4)/12</f>
        <v>0.75083333333333335</v>
      </c>
    </row>
    <row r="5" spans="1:15" ht="6.4" customHeight="1" thickBot="1" x14ac:dyDescent="0.3">
      <c r="A5" s="182"/>
      <c r="B5" s="209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312"/>
    </row>
    <row r="6" spans="1:15" x14ac:dyDescent="0.25">
      <c r="A6" s="182"/>
      <c r="B6" s="188" t="s">
        <v>124</v>
      </c>
      <c r="C6" s="189"/>
      <c r="D6" s="189"/>
      <c r="E6" s="189"/>
      <c r="F6" s="189"/>
      <c r="G6" s="189"/>
      <c r="H6" s="189"/>
      <c r="I6" s="211"/>
      <c r="J6" s="189"/>
      <c r="K6" s="189"/>
      <c r="L6" s="189"/>
      <c r="M6" s="189"/>
      <c r="N6" s="189"/>
      <c r="O6" s="190"/>
    </row>
    <row r="7" spans="1:15" x14ac:dyDescent="0.25">
      <c r="A7" s="182"/>
      <c r="B7" s="191" t="s">
        <v>97</v>
      </c>
      <c r="C7" s="206">
        <v>50</v>
      </c>
      <c r="D7" s="206">
        <v>55</v>
      </c>
      <c r="E7" s="206">
        <v>65</v>
      </c>
      <c r="F7" s="206">
        <v>80</v>
      </c>
      <c r="G7" s="206">
        <v>80</v>
      </c>
      <c r="H7" s="206">
        <v>85</v>
      </c>
      <c r="I7" s="206">
        <v>85</v>
      </c>
      <c r="J7" s="206">
        <v>85</v>
      </c>
      <c r="K7" s="206">
        <v>80</v>
      </c>
      <c r="L7" s="206">
        <v>70</v>
      </c>
      <c r="M7" s="206">
        <v>60</v>
      </c>
      <c r="N7" s="206">
        <v>70</v>
      </c>
      <c r="O7" s="207">
        <f t="shared" ref="O7:O12" si="0">SUM(C7:N7)</f>
        <v>865</v>
      </c>
    </row>
    <row r="8" spans="1:15" x14ac:dyDescent="0.25">
      <c r="A8" s="195"/>
      <c r="B8" s="191" t="s">
        <v>98</v>
      </c>
      <c r="C8" s="208">
        <v>55</v>
      </c>
      <c r="D8" s="208">
        <v>60</v>
      </c>
      <c r="E8" s="208">
        <v>70</v>
      </c>
      <c r="F8" s="208">
        <v>85</v>
      </c>
      <c r="G8" s="208">
        <v>90</v>
      </c>
      <c r="H8" s="208">
        <v>90</v>
      </c>
      <c r="I8" s="208">
        <v>90</v>
      </c>
      <c r="J8" s="208">
        <v>95</v>
      </c>
      <c r="K8" s="208">
        <v>85</v>
      </c>
      <c r="L8" s="208">
        <v>75</v>
      </c>
      <c r="M8" s="208">
        <v>65</v>
      </c>
      <c r="N8" s="208">
        <v>75</v>
      </c>
      <c r="O8" s="207">
        <f t="shared" si="0"/>
        <v>935</v>
      </c>
    </row>
    <row r="9" spans="1:15" x14ac:dyDescent="0.25">
      <c r="A9" s="182"/>
      <c r="B9" s="191" t="s">
        <v>99</v>
      </c>
      <c r="C9" s="208">
        <v>65</v>
      </c>
      <c r="D9" s="208">
        <v>70</v>
      </c>
      <c r="E9" s="208">
        <v>80</v>
      </c>
      <c r="F9" s="208">
        <v>90</v>
      </c>
      <c r="G9" s="208">
        <v>100</v>
      </c>
      <c r="H9" s="208">
        <v>105</v>
      </c>
      <c r="I9" s="208">
        <v>100</v>
      </c>
      <c r="J9" s="208">
        <v>105</v>
      </c>
      <c r="K9" s="208">
        <v>90</v>
      </c>
      <c r="L9" s="208">
        <v>85</v>
      </c>
      <c r="M9" s="208">
        <v>80</v>
      </c>
      <c r="N9" s="208">
        <v>85</v>
      </c>
      <c r="O9" s="207">
        <f t="shared" si="0"/>
        <v>1055</v>
      </c>
    </row>
    <row r="10" spans="1:15" s="30" customFormat="1" x14ac:dyDescent="0.25">
      <c r="A10" s="196"/>
      <c r="B10" s="191" t="s">
        <v>100</v>
      </c>
      <c r="C10" s="208">
        <v>85</v>
      </c>
      <c r="D10" s="208">
        <v>90</v>
      </c>
      <c r="E10" s="208">
        <v>100</v>
      </c>
      <c r="F10" s="208">
        <v>115</v>
      </c>
      <c r="G10" s="208">
        <v>120</v>
      </c>
      <c r="H10" s="208">
        <v>125</v>
      </c>
      <c r="I10" s="208">
        <v>120</v>
      </c>
      <c r="J10" s="208">
        <v>125</v>
      </c>
      <c r="K10" s="208">
        <v>115</v>
      </c>
      <c r="L10" s="208">
        <v>105</v>
      </c>
      <c r="M10" s="208">
        <v>95</v>
      </c>
      <c r="N10" s="208">
        <v>110</v>
      </c>
      <c r="O10" s="154">
        <f t="shared" si="0"/>
        <v>1305</v>
      </c>
    </row>
    <row r="11" spans="1:15" s="30" customFormat="1" x14ac:dyDescent="0.25">
      <c r="A11" s="196"/>
      <c r="B11" s="191" t="s">
        <v>101</v>
      </c>
      <c r="C11" s="208">
        <v>100</v>
      </c>
      <c r="D11" s="208">
        <v>110</v>
      </c>
      <c r="E11" s="208">
        <v>115</v>
      </c>
      <c r="F11" s="208">
        <v>130</v>
      </c>
      <c r="G11" s="208">
        <v>130</v>
      </c>
      <c r="H11" s="208">
        <v>135</v>
      </c>
      <c r="I11" s="208">
        <v>130</v>
      </c>
      <c r="J11" s="208">
        <v>130</v>
      </c>
      <c r="K11" s="208">
        <v>125</v>
      </c>
      <c r="L11" s="208">
        <v>115</v>
      </c>
      <c r="M11" s="208">
        <v>110</v>
      </c>
      <c r="N11" s="208">
        <v>120</v>
      </c>
      <c r="O11" s="154">
        <f t="shared" si="0"/>
        <v>1450</v>
      </c>
    </row>
    <row r="12" spans="1:15" s="30" customFormat="1" x14ac:dyDescent="0.25">
      <c r="A12" s="196"/>
      <c r="B12" s="191" t="s">
        <v>102</v>
      </c>
      <c r="C12" s="208">
        <v>110</v>
      </c>
      <c r="D12" s="208">
        <v>115</v>
      </c>
      <c r="E12" s="208">
        <v>120</v>
      </c>
      <c r="F12" s="208">
        <v>140</v>
      </c>
      <c r="G12" s="208">
        <v>140</v>
      </c>
      <c r="H12" s="208">
        <v>145</v>
      </c>
      <c r="I12" s="208">
        <v>140</v>
      </c>
      <c r="J12" s="208">
        <v>140</v>
      </c>
      <c r="K12" s="208">
        <v>135</v>
      </c>
      <c r="L12" s="208">
        <v>125</v>
      </c>
      <c r="M12" s="208">
        <v>120</v>
      </c>
      <c r="N12" s="208">
        <v>130</v>
      </c>
      <c r="O12" s="154">
        <f t="shared" si="0"/>
        <v>1560</v>
      </c>
    </row>
    <row r="13" spans="1:15" s="30" customFormat="1" ht="12" thickBot="1" x14ac:dyDescent="0.3">
      <c r="A13" s="196"/>
      <c r="B13" s="226" t="s">
        <v>122</v>
      </c>
      <c r="C13" s="230">
        <v>20</v>
      </c>
      <c r="D13" s="230">
        <v>20</v>
      </c>
      <c r="E13" s="230">
        <v>20</v>
      </c>
      <c r="F13" s="230">
        <v>20</v>
      </c>
      <c r="G13" s="230">
        <v>20</v>
      </c>
      <c r="H13" s="230">
        <v>20</v>
      </c>
      <c r="I13" s="230">
        <v>20</v>
      </c>
      <c r="J13" s="230">
        <v>20</v>
      </c>
      <c r="K13" s="230">
        <v>20</v>
      </c>
      <c r="L13" s="230">
        <v>20</v>
      </c>
      <c r="M13" s="230">
        <v>20</v>
      </c>
      <c r="N13" s="231">
        <v>20</v>
      </c>
      <c r="O13" s="214"/>
    </row>
    <row r="14" spans="1:15" ht="6.4" customHeight="1" thickBot="1" x14ac:dyDescent="0.3">
      <c r="A14" s="195"/>
      <c r="B14" s="227"/>
      <c r="C14" s="219"/>
      <c r="D14" s="219"/>
      <c r="E14" s="219"/>
      <c r="F14" s="228"/>
      <c r="G14" s="229"/>
      <c r="H14" s="229"/>
      <c r="I14" s="229"/>
      <c r="J14" s="229"/>
      <c r="K14" s="229"/>
      <c r="L14" s="229"/>
      <c r="M14" s="229"/>
      <c r="N14" s="229"/>
      <c r="O14" s="216"/>
    </row>
    <row r="15" spans="1:15" ht="11.25" customHeight="1" thickBot="1" x14ac:dyDescent="0.3">
      <c r="A15" s="182"/>
      <c r="B15" s="225" t="s">
        <v>123</v>
      </c>
      <c r="C15" s="189"/>
      <c r="D15" s="189"/>
      <c r="E15" s="189"/>
      <c r="F15" s="189"/>
      <c r="G15" s="189"/>
      <c r="H15" s="189"/>
      <c r="I15" s="189"/>
      <c r="J15" s="189"/>
      <c r="K15" s="189"/>
      <c r="L15" s="189"/>
      <c r="M15" s="189"/>
      <c r="N15" s="189"/>
      <c r="O15" s="393"/>
    </row>
    <row r="16" spans="1:15" ht="11.25" customHeight="1" x14ac:dyDescent="0.25">
      <c r="A16" s="182"/>
      <c r="B16" s="191" t="s">
        <v>97</v>
      </c>
      <c r="C16" s="213">
        <f>'Unit Mix'!$B$3*'Op Budget (Yr1)'!C3*'Op Budget (Yr1)'!C4</f>
        <v>781.2</v>
      </c>
      <c r="D16" s="213">
        <f>'Unit Mix'!$B$3*'Op Budget (Yr1)'!D3*'Op Budget (Yr1)'!D4</f>
        <v>761.6</v>
      </c>
      <c r="E16" s="213">
        <f>'Unit Mix'!$B$3*'Op Budget (Yr1)'!E3*'Op Budget (Yr1)'!E4</f>
        <v>905.19999999999993</v>
      </c>
      <c r="F16" s="213">
        <f>'Unit Mix'!$B$3*'Op Budget (Yr1)'!F3*'Op Budget (Yr1)'!F4</f>
        <v>876</v>
      </c>
      <c r="G16" s="213">
        <f>'Unit Mix'!$B$3*'Op Budget (Yr1)'!G3*'Op Budget (Yr1)'!G4</f>
        <v>930</v>
      </c>
      <c r="H16" s="213">
        <f>'Unit Mix'!$B$3*'Op Budget (Yr1)'!H3*'Op Budget (Yr1)'!H4</f>
        <v>936</v>
      </c>
      <c r="I16" s="213">
        <f>'Unit Mix'!$B$3*'Op Budget (Yr1)'!I3*'Op Budget (Yr1)'!I4</f>
        <v>942.4</v>
      </c>
      <c r="J16" s="213">
        <f>'Unit Mix'!$B$3*'Op Budget (Yr1)'!J3*'Op Budget (Yr1)'!J4</f>
        <v>996</v>
      </c>
      <c r="K16" s="213">
        <f>'Unit Mix'!$B$3*'Op Budget (Yr1)'!K3*'Op Budget (Yr1)'!K4</f>
        <v>1004.4000000000001</v>
      </c>
      <c r="L16" s="213">
        <f>'Unit Mix'!$B$3*'Op Budget (Yr1)'!L3*'Op Budget (Yr1)'!L4</f>
        <v>960</v>
      </c>
      <c r="M16" s="213">
        <f>'Unit Mix'!$B$3*'Op Budget (Yr1)'!M3*'Op Budget (Yr1)'!M4</f>
        <v>967.2</v>
      </c>
      <c r="N16" s="215">
        <f>'Unit Mix'!$B$3*'Op Budget (Yr1)'!N3*'Op Budget (Yr1)'!N4</f>
        <v>905.19999999999993</v>
      </c>
      <c r="O16" s="394">
        <f>SUM(C16:N16)</f>
        <v>10965.2</v>
      </c>
    </row>
    <row r="17" spans="1:15" ht="11.25" customHeight="1" x14ac:dyDescent="0.25">
      <c r="A17" s="182"/>
      <c r="B17" s="191" t="s">
        <v>98</v>
      </c>
      <c r="C17" s="213">
        <f>'Unit Mix'!$B$4*'Op Budget (Yr1)'!C3*'Op Budget (Yr1)'!C4</f>
        <v>839.79</v>
      </c>
      <c r="D17" s="213">
        <f>'Unit Mix'!$B$4*'Op Budget (Yr1)'!D3*'Op Budget (Yr1)'!D4</f>
        <v>818.72</v>
      </c>
      <c r="E17" s="213">
        <f>'Unit Mix'!$B$4*'Op Budget (Yr1)'!E3*'Op Budget (Yr1)'!E4</f>
        <v>973.09</v>
      </c>
      <c r="F17" s="213">
        <f>'Unit Mix'!$B$4*'Op Budget (Yr1)'!F3*'Op Budget (Yr1)'!F4</f>
        <v>941.69999999999993</v>
      </c>
      <c r="G17" s="213">
        <f>'Unit Mix'!$B$4*'Op Budget (Yr1)'!G3*'Op Budget (Yr1)'!G4</f>
        <v>999.75</v>
      </c>
      <c r="H17" s="213">
        <f>'Unit Mix'!$B$4*'Op Budget (Yr1)'!H3*'Op Budget (Yr1)'!H4</f>
        <v>1006.2</v>
      </c>
      <c r="I17" s="213">
        <f>'Unit Mix'!$B$4*'Op Budget (Yr1)'!I3*'Op Budget (Yr1)'!I4</f>
        <v>1013.08</v>
      </c>
      <c r="J17" s="213">
        <f>'Unit Mix'!$B$4*'Op Budget (Yr1)'!J3*'Op Budget (Yr1)'!J4</f>
        <v>1070.7</v>
      </c>
      <c r="K17" s="213">
        <f>'Unit Mix'!$B$4*'Op Budget (Yr1)'!K3*'Op Budget (Yr1)'!K4</f>
        <v>1079.73</v>
      </c>
      <c r="L17" s="213">
        <f>'Unit Mix'!$B$4*'Op Budget (Yr1)'!L3*'Op Budget (Yr1)'!L4</f>
        <v>1032</v>
      </c>
      <c r="M17" s="213">
        <f>'Unit Mix'!$B$4*'Op Budget (Yr1)'!M3*'Op Budget (Yr1)'!M4</f>
        <v>1039.74</v>
      </c>
      <c r="N17" s="215">
        <f>'Unit Mix'!$B$4*'Op Budget (Yr1)'!N3*'Op Budget (Yr1)'!N4</f>
        <v>973.09</v>
      </c>
      <c r="O17" s="218">
        <f t="shared" ref="O17:O22" si="1">SUM(C17:N17)</f>
        <v>11787.589999999998</v>
      </c>
    </row>
    <row r="18" spans="1:15" ht="11.25" customHeight="1" x14ac:dyDescent="0.25">
      <c r="A18" s="182"/>
      <c r="B18" s="191" t="s">
        <v>99</v>
      </c>
      <c r="C18" s="213">
        <f>'Unit Mix'!$B$5*'Op Budget (Yr1)'!C3*'Op Budget (Yr1)'!C4</f>
        <v>351.54</v>
      </c>
      <c r="D18" s="213">
        <f>'Unit Mix'!$B$5*'Op Budget (Yr1)'!D3*'Op Budget (Yr1)'!D4</f>
        <v>342.72</v>
      </c>
      <c r="E18" s="213">
        <f>'Unit Mix'!$B$5*'Op Budget (Yr1)'!E3*'Op Budget (Yr1)'!E4</f>
        <v>407.34</v>
      </c>
      <c r="F18" s="213">
        <f>'Unit Mix'!$B$5*'Op Budget (Yr1)'!F3*'Op Budget (Yr1)'!F4</f>
        <v>394.2</v>
      </c>
      <c r="G18" s="213">
        <f>'Unit Mix'!$B$5*'Op Budget (Yr1)'!G3*'Op Budget (Yr1)'!G4</f>
        <v>418.5</v>
      </c>
      <c r="H18" s="213">
        <f>'Unit Mix'!$B$5*'Op Budget (Yr1)'!H3*'Op Budget (Yr1)'!H4</f>
        <v>421.2</v>
      </c>
      <c r="I18" s="213">
        <f>'Unit Mix'!$B$5*'Op Budget (Yr1)'!I3*'Op Budget (Yr1)'!I4</f>
        <v>424.08</v>
      </c>
      <c r="J18" s="213">
        <f>'Unit Mix'!$B$5*'Op Budget (Yr1)'!J3*'Op Budget (Yr1)'!J4</f>
        <v>448.2</v>
      </c>
      <c r="K18" s="213">
        <f>'Unit Mix'!$B$5*'Op Budget (Yr1)'!K3*'Op Budget (Yr1)'!K4</f>
        <v>451.98</v>
      </c>
      <c r="L18" s="213">
        <f>'Unit Mix'!$B$5*'Op Budget (Yr1)'!L3*'Op Budget (Yr1)'!L4</f>
        <v>432</v>
      </c>
      <c r="M18" s="213">
        <f>'Unit Mix'!$B$5*'Op Budget (Yr1)'!M3*'Op Budget (Yr1)'!M4</f>
        <v>435.24</v>
      </c>
      <c r="N18" s="215">
        <f>'Unit Mix'!$B$5*'Op Budget (Yr1)'!N3*'Op Budget (Yr1)'!N4</f>
        <v>407.34</v>
      </c>
      <c r="O18" s="218">
        <f t="shared" si="1"/>
        <v>4934.34</v>
      </c>
    </row>
    <row r="19" spans="1:15" ht="11.25" customHeight="1" x14ac:dyDescent="0.25">
      <c r="A19" s="182"/>
      <c r="B19" s="191" t="s">
        <v>100</v>
      </c>
      <c r="C19" s="213">
        <f>'Unit Mix'!$B$6*'Op Budget (Yr1)'!C3*'Op Budget (Yr1)'!C4</f>
        <v>58.59</v>
      </c>
      <c r="D19" s="213">
        <f>'Unit Mix'!$B$6*'Op Budget (Yr1)'!D3*'Op Budget (Yr1)'!D4</f>
        <v>57.120000000000005</v>
      </c>
      <c r="E19" s="213">
        <f>'Unit Mix'!$B$6*'Op Budget (Yr1)'!E3*'Op Budget (Yr1)'!E4</f>
        <v>67.89</v>
      </c>
      <c r="F19" s="213">
        <f>'Unit Mix'!$B$6*'Op Budget (Yr1)'!F3*'Op Budget (Yr1)'!F4</f>
        <v>65.7</v>
      </c>
      <c r="G19" s="213">
        <f>'Unit Mix'!$B$6*'Op Budget (Yr1)'!G3*'Op Budget (Yr1)'!G4</f>
        <v>69.75</v>
      </c>
      <c r="H19" s="213">
        <f>'Unit Mix'!$B$6*'Op Budget (Yr1)'!H3*'Op Budget (Yr1)'!H4</f>
        <v>70.2</v>
      </c>
      <c r="I19" s="213">
        <f>'Unit Mix'!$B$6*'Op Budget (Yr1)'!I3*'Op Budget (Yr1)'!I4</f>
        <v>70.680000000000007</v>
      </c>
      <c r="J19" s="213">
        <f>'Unit Mix'!$B$6*'Op Budget (Yr1)'!J3*'Op Budget (Yr1)'!J4</f>
        <v>74.7</v>
      </c>
      <c r="K19" s="213">
        <f>'Unit Mix'!$B$6*'Op Budget (Yr1)'!K3*'Op Budget (Yr1)'!K4</f>
        <v>75.33</v>
      </c>
      <c r="L19" s="213">
        <f>'Unit Mix'!$B$6*'Op Budget (Yr1)'!L3*'Op Budget (Yr1)'!L4</f>
        <v>72</v>
      </c>
      <c r="M19" s="213">
        <f>'Unit Mix'!$B$6*'Op Budget (Yr1)'!M3*'Op Budget (Yr1)'!M4</f>
        <v>72.540000000000006</v>
      </c>
      <c r="N19" s="215">
        <f>'Unit Mix'!$B$6*'Op Budget (Yr1)'!N3*'Op Budget (Yr1)'!N4</f>
        <v>67.89</v>
      </c>
      <c r="O19" s="218">
        <f t="shared" si="1"/>
        <v>822.39</v>
      </c>
    </row>
    <row r="20" spans="1:15" ht="11.25" customHeight="1" x14ac:dyDescent="0.25">
      <c r="A20" s="182"/>
      <c r="B20" s="191" t="s">
        <v>101</v>
      </c>
      <c r="C20" s="213">
        <f>'Unit Mix'!$B$7*'Op Budget (Yr1)'!C3*'Op Budget (Yr1)'!C4</f>
        <v>39.06</v>
      </c>
      <c r="D20" s="213">
        <f>'Unit Mix'!$B$7*'Op Budget (Yr1)'!D3*'Op Budget (Yr1)'!D4</f>
        <v>38.080000000000005</v>
      </c>
      <c r="E20" s="213">
        <f>'Unit Mix'!$B$7*'Op Budget (Yr1)'!E3*'Op Budget (Yr1)'!E4</f>
        <v>45.26</v>
      </c>
      <c r="F20" s="213">
        <f>'Unit Mix'!$B$7*'Op Budget (Yr1)'!F3*'Op Budget (Yr1)'!F4</f>
        <v>43.8</v>
      </c>
      <c r="G20" s="213">
        <f>'Unit Mix'!$B$7*'Op Budget (Yr1)'!G3*'Op Budget (Yr1)'!G4</f>
        <v>46.5</v>
      </c>
      <c r="H20" s="213">
        <f>'Unit Mix'!$B$7*'Op Budget (Yr1)'!H3*'Op Budget (Yr1)'!H4</f>
        <v>46.800000000000004</v>
      </c>
      <c r="I20" s="213">
        <f>'Unit Mix'!$B$7*'Op Budget (Yr1)'!I3*'Op Budget (Yr1)'!I4</f>
        <v>47.12</v>
      </c>
      <c r="J20" s="213">
        <f>'Unit Mix'!$B$7*'Op Budget (Yr1)'!J3*'Op Budget (Yr1)'!J4</f>
        <v>49.8</v>
      </c>
      <c r="K20" s="213">
        <f>'Unit Mix'!$B$7*'Op Budget (Yr1)'!K3*'Op Budget (Yr1)'!K4</f>
        <v>50.220000000000006</v>
      </c>
      <c r="L20" s="213">
        <f>'Unit Mix'!$B$7*'Op Budget (Yr1)'!L3*'Op Budget (Yr1)'!L4</f>
        <v>48</v>
      </c>
      <c r="M20" s="213">
        <f>'Unit Mix'!$B$7*'Op Budget (Yr1)'!M3*'Op Budget (Yr1)'!M4</f>
        <v>48.36</v>
      </c>
      <c r="N20" s="215">
        <f>'Unit Mix'!$B$7*'Op Budget (Yr1)'!N3*'Op Budget (Yr1)'!N4</f>
        <v>45.26</v>
      </c>
      <c r="O20" s="218">
        <f t="shared" si="1"/>
        <v>548.2600000000001</v>
      </c>
    </row>
    <row r="21" spans="1:15" ht="10.9" customHeight="1" x14ac:dyDescent="0.25">
      <c r="A21" s="182"/>
      <c r="B21" s="191" t="s">
        <v>102</v>
      </c>
      <c r="C21" s="213">
        <f>'Unit Mix'!$B$8*'Op Budget (Yr1)'!C3*'Op Budget (Yr1)'!C4</f>
        <v>390.6</v>
      </c>
      <c r="D21" s="213">
        <f>'Unit Mix'!$B$8*'Op Budget (Yr1)'!D3*'Op Budget (Yr1)'!D4</f>
        <v>380.8</v>
      </c>
      <c r="E21" s="213">
        <f>'Unit Mix'!$B$8*'Op Budget (Yr1)'!E3*'Op Budget (Yr1)'!E4</f>
        <v>452.59999999999997</v>
      </c>
      <c r="F21" s="213">
        <f>'Unit Mix'!$B$8*'Op Budget (Yr1)'!F3*'Op Budget (Yr1)'!F4</f>
        <v>438</v>
      </c>
      <c r="G21" s="213">
        <f>'Unit Mix'!$B$8*'Op Budget (Yr1)'!G3*'Op Budget (Yr1)'!G4</f>
        <v>465</v>
      </c>
      <c r="H21" s="213">
        <f>'Unit Mix'!$B$8*'Op Budget (Yr1)'!H3*'Op Budget (Yr1)'!H4</f>
        <v>468</v>
      </c>
      <c r="I21" s="213">
        <f>'Unit Mix'!$B$8*'Op Budget (Yr1)'!I3*'Op Budget (Yr1)'!I4</f>
        <v>471.2</v>
      </c>
      <c r="J21" s="213">
        <f>'Unit Mix'!$B$8*'Op Budget (Yr1)'!J3*'Op Budget (Yr1)'!J4</f>
        <v>498</v>
      </c>
      <c r="K21" s="213">
        <f>'Unit Mix'!$B$8*'Op Budget (Yr1)'!K3*'Op Budget (Yr1)'!K4</f>
        <v>502.20000000000005</v>
      </c>
      <c r="L21" s="213">
        <f>'Unit Mix'!$B$8*'Op Budget (Yr1)'!L3*'Op Budget (Yr1)'!L4</f>
        <v>480</v>
      </c>
      <c r="M21" s="213">
        <f>'Unit Mix'!$B$8*'Op Budget (Yr1)'!M3*'Op Budget (Yr1)'!M4</f>
        <v>483.6</v>
      </c>
      <c r="N21" s="215">
        <f>'Unit Mix'!$B$8*'Op Budget (Yr1)'!N3*'Op Budget (Yr1)'!N4</f>
        <v>452.59999999999997</v>
      </c>
      <c r="O21" s="218">
        <f t="shared" si="1"/>
        <v>5482.6</v>
      </c>
    </row>
    <row r="22" spans="1:15" ht="12.75" customHeight="1" x14ac:dyDescent="0.25">
      <c r="A22" s="182"/>
      <c r="B22" s="387" t="s">
        <v>122</v>
      </c>
      <c r="C22" s="388">
        <f>'Unit Mix'!$B$9*'Op Budget (Yr1)'!C3*'Op Budget (Yr1)'!C4</f>
        <v>585.9</v>
      </c>
      <c r="D22" s="388">
        <f>'Unit Mix'!$B$9*'Op Budget (Yr1)'!D3*'Op Budget (Yr1)'!D4</f>
        <v>571.20000000000005</v>
      </c>
      <c r="E22" s="388">
        <f>'Unit Mix'!$B$9*'Op Budget (Yr1)'!E3*'Op Budget (Yr1)'!E4</f>
        <v>678.9</v>
      </c>
      <c r="F22" s="388">
        <f>'Unit Mix'!$B$9*'Op Budget (Yr1)'!F3*'Op Budget (Yr1)'!F4</f>
        <v>657</v>
      </c>
      <c r="G22" s="388">
        <f>'Unit Mix'!$B$9*'Op Budget (Yr1)'!G3*'Op Budget (Yr1)'!G4</f>
        <v>697.5</v>
      </c>
      <c r="H22" s="388">
        <f>'Unit Mix'!$B$9*'Op Budget (Yr1)'!H3*'Op Budget (Yr1)'!H4</f>
        <v>702</v>
      </c>
      <c r="I22" s="388">
        <f>'Unit Mix'!$B$9*'Op Budget (Yr1)'!I3*'Op Budget (Yr1)'!I4</f>
        <v>706.8</v>
      </c>
      <c r="J22" s="388">
        <f>'Unit Mix'!$B$9*'Op Budget (Yr1)'!J3*'Op Budget (Yr1)'!J4</f>
        <v>747</v>
      </c>
      <c r="K22" s="388">
        <f>'Unit Mix'!$B$9*'Op Budget (Yr1)'!K3*'Op Budget (Yr1)'!K4</f>
        <v>753.30000000000007</v>
      </c>
      <c r="L22" s="388">
        <f>'Unit Mix'!$B$9*'Op Budget (Yr1)'!L3*'Op Budget (Yr1)'!L4</f>
        <v>720</v>
      </c>
      <c r="M22" s="388">
        <f>'Unit Mix'!$B$9*'Op Budget (Yr1)'!M3*'Op Budget (Yr1)'!M4</f>
        <v>725.4</v>
      </c>
      <c r="N22" s="389">
        <f>'Unit Mix'!$B$9*'Op Budget (Yr1)'!N3*'Op Budget (Yr1)'!N4</f>
        <v>678.9</v>
      </c>
      <c r="O22" s="218">
        <f t="shared" si="1"/>
        <v>8223.9</v>
      </c>
    </row>
    <row r="23" spans="1:15" s="203" customFormat="1" ht="12.75" customHeight="1" thickBot="1" x14ac:dyDescent="0.3">
      <c r="A23" s="202"/>
      <c r="B23" s="390" t="s">
        <v>187</v>
      </c>
      <c r="C23" s="391">
        <f>SUM(C16:C21)</f>
        <v>2460.7799999999997</v>
      </c>
      <c r="D23" s="391">
        <f t="shared" ref="D23:O23" si="2">SUM(D16:D21)</f>
        <v>2399.0400000000004</v>
      </c>
      <c r="E23" s="391">
        <f t="shared" si="2"/>
        <v>2851.38</v>
      </c>
      <c r="F23" s="391">
        <f t="shared" si="2"/>
        <v>2759.3999999999996</v>
      </c>
      <c r="G23" s="391">
        <f t="shared" si="2"/>
        <v>2929.5</v>
      </c>
      <c r="H23" s="391">
        <f t="shared" si="2"/>
        <v>2948.4</v>
      </c>
      <c r="I23" s="391">
        <f t="shared" si="2"/>
        <v>2968.5599999999995</v>
      </c>
      <c r="J23" s="391">
        <f t="shared" si="2"/>
        <v>3137.3999999999996</v>
      </c>
      <c r="K23" s="391">
        <f t="shared" si="2"/>
        <v>3163.8599999999997</v>
      </c>
      <c r="L23" s="391">
        <f t="shared" si="2"/>
        <v>3024</v>
      </c>
      <c r="M23" s="391">
        <f t="shared" si="2"/>
        <v>3046.6800000000003</v>
      </c>
      <c r="N23" s="392">
        <f t="shared" si="2"/>
        <v>2851.38</v>
      </c>
      <c r="O23" s="395">
        <f t="shared" si="2"/>
        <v>34540.379999999997</v>
      </c>
    </row>
    <row r="24" spans="1:15" ht="6.4" customHeight="1" thickBot="1" x14ac:dyDescent="0.3">
      <c r="A24" s="195"/>
      <c r="B24" s="224"/>
      <c r="C24" s="232"/>
      <c r="D24" s="232"/>
      <c r="E24" s="232"/>
      <c r="F24" s="232"/>
      <c r="G24" s="232"/>
      <c r="H24" s="232"/>
      <c r="I24" s="232"/>
      <c r="J24" s="232"/>
      <c r="K24" s="232"/>
      <c r="L24" s="232"/>
      <c r="M24" s="232"/>
      <c r="N24" s="232"/>
      <c r="O24" s="217"/>
    </row>
    <row r="25" spans="1:15" ht="12" thickBot="1" x14ac:dyDescent="0.3">
      <c r="A25" s="195"/>
      <c r="B25" s="233" t="s">
        <v>117</v>
      </c>
      <c r="C25" s="189"/>
      <c r="D25" s="189"/>
      <c r="E25" s="189"/>
      <c r="F25" s="189"/>
      <c r="G25" s="189"/>
      <c r="H25" s="189"/>
      <c r="I25" s="189"/>
      <c r="J25" s="189"/>
      <c r="K25" s="189"/>
      <c r="L25" s="189"/>
      <c r="M25" s="189"/>
      <c r="N25" s="189"/>
      <c r="O25" s="189"/>
    </row>
    <row r="26" spans="1:15" x14ac:dyDescent="0.25">
      <c r="A26" s="195"/>
      <c r="B26" s="212" t="s">
        <v>188</v>
      </c>
      <c r="C26" s="206">
        <f>C7*C16+C8*C17+C9*C18+C10*C19+C11*C20+C12*C21</f>
        <v>159950.70000000001</v>
      </c>
      <c r="D26" s="206">
        <f t="shared" ref="D26:N26" si="3">D7*D16+D8*D17+D9*D18+D10*D19+D11*D20+D12*D21</f>
        <v>168123.2</v>
      </c>
      <c r="E26" s="206">
        <f t="shared" si="3"/>
        <v>225847.4</v>
      </c>
      <c r="F26" s="206">
        <f t="shared" si="3"/>
        <v>260172</v>
      </c>
      <c r="G26" s="206">
        <f t="shared" si="3"/>
        <v>285742.5</v>
      </c>
      <c r="H26" s="206">
        <f t="shared" si="3"/>
        <v>297297</v>
      </c>
      <c r="I26" s="206">
        <f t="shared" si="3"/>
        <v>294264.40000000002</v>
      </c>
      <c r="J26" s="206">
        <f t="shared" si="3"/>
        <v>318969</v>
      </c>
      <c r="K26" s="206">
        <f t="shared" si="3"/>
        <v>295544.7</v>
      </c>
      <c r="L26" s="206">
        <f t="shared" si="3"/>
        <v>254400</v>
      </c>
      <c r="M26" s="206">
        <f t="shared" si="3"/>
        <v>230677.19999999998</v>
      </c>
      <c r="N26" s="206">
        <f t="shared" si="3"/>
        <v>242706.75</v>
      </c>
      <c r="O26" s="246">
        <f>SUM(C26:N26)</f>
        <v>3033694.8500000006</v>
      </c>
    </row>
    <row r="27" spans="1:15" x14ac:dyDescent="0.25">
      <c r="A27" s="195"/>
      <c r="B27" s="212" t="s">
        <v>189</v>
      </c>
      <c r="C27" s="206">
        <f>C13*C22</f>
        <v>11718</v>
      </c>
      <c r="D27" s="206">
        <f t="shared" ref="D27:N27" si="4">D13*D22</f>
        <v>11424</v>
      </c>
      <c r="E27" s="206">
        <f t="shared" si="4"/>
        <v>13578</v>
      </c>
      <c r="F27" s="206">
        <f t="shared" si="4"/>
        <v>13140</v>
      </c>
      <c r="G27" s="206">
        <f t="shared" si="4"/>
        <v>13950</v>
      </c>
      <c r="H27" s="206">
        <f t="shared" si="4"/>
        <v>14040</v>
      </c>
      <c r="I27" s="206">
        <f t="shared" si="4"/>
        <v>14136</v>
      </c>
      <c r="J27" s="206">
        <f t="shared" si="4"/>
        <v>14940</v>
      </c>
      <c r="K27" s="206">
        <f t="shared" si="4"/>
        <v>15066.000000000002</v>
      </c>
      <c r="L27" s="206">
        <f t="shared" si="4"/>
        <v>14400</v>
      </c>
      <c r="M27" s="206">
        <f t="shared" si="4"/>
        <v>14508</v>
      </c>
      <c r="N27" s="206">
        <f t="shared" si="4"/>
        <v>13578</v>
      </c>
      <c r="O27" s="154">
        <f>SUM(C27:N27)</f>
        <v>164478</v>
      </c>
    </row>
    <row r="28" spans="1:15" x14ac:dyDescent="0.25">
      <c r="A28" s="195"/>
      <c r="B28" s="212" t="s">
        <v>190</v>
      </c>
      <c r="C28" s="206">
        <f>C26*4%</f>
        <v>6398.0280000000002</v>
      </c>
      <c r="D28" s="206">
        <f t="shared" ref="D28:N28" si="5">D26*4%</f>
        <v>6724.9280000000008</v>
      </c>
      <c r="E28" s="206">
        <f t="shared" si="5"/>
        <v>9033.8960000000006</v>
      </c>
      <c r="F28" s="206">
        <f t="shared" si="5"/>
        <v>10406.880000000001</v>
      </c>
      <c r="G28" s="206">
        <f t="shared" si="5"/>
        <v>11429.7</v>
      </c>
      <c r="H28" s="206">
        <f t="shared" si="5"/>
        <v>11891.880000000001</v>
      </c>
      <c r="I28" s="206">
        <f t="shared" si="5"/>
        <v>11770.576000000001</v>
      </c>
      <c r="J28" s="206">
        <f t="shared" si="5"/>
        <v>12758.76</v>
      </c>
      <c r="K28" s="206">
        <f t="shared" si="5"/>
        <v>11821.788</v>
      </c>
      <c r="L28" s="206">
        <f t="shared" si="5"/>
        <v>10176</v>
      </c>
      <c r="M28" s="206">
        <f t="shared" si="5"/>
        <v>9227.0879999999997</v>
      </c>
      <c r="N28" s="206">
        <f t="shared" si="5"/>
        <v>9708.27</v>
      </c>
      <c r="O28" s="154">
        <f t="shared" ref="O28:O29" si="6">SUM(C28:N28)</f>
        <v>121347.79400000001</v>
      </c>
    </row>
    <row r="29" spans="1:15" ht="12" thickBot="1" x14ac:dyDescent="0.3">
      <c r="A29" s="195"/>
      <c r="B29" s="212" t="s">
        <v>191</v>
      </c>
      <c r="C29" s="208">
        <v>5000</v>
      </c>
      <c r="D29" s="208">
        <v>5000</v>
      </c>
      <c r="E29" s="208">
        <v>5000</v>
      </c>
      <c r="F29" s="208">
        <v>5000</v>
      </c>
      <c r="G29" s="208">
        <v>5000</v>
      </c>
      <c r="H29" s="208">
        <v>5000</v>
      </c>
      <c r="I29" s="208">
        <v>5000</v>
      </c>
      <c r="J29" s="208">
        <v>5000</v>
      </c>
      <c r="K29" s="208">
        <v>5000</v>
      </c>
      <c r="L29" s="208">
        <v>5000</v>
      </c>
      <c r="M29" s="208">
        <v>5000</v>
      </c>
      <c r="N29" s="208">
        <v>5000</v>
      </c>
      <c r="O29" s="247">
        <f t="shared" si="6"/>
        <v>60000</v>
      </c>
    </row>
    <row r="30" spans="1:15" ht="12" thickBot="1" x14ac:dyDescent="0.3">
      <c r="A30" s="195"/>
      <c r="B30" s="238" t="s">
        <v>5</v>
      </c>
      <c r="C30" s="220">
        <f>SUM(C26:C29)</f>
        <v>183066.728</v>
      </c>
      <c r="D30" s="221">
        <f t="shared" ref="D30:N30" si="7">SUM(D26:D29)</f>
        <v>191272.12800000003</v>
      </c>
      <c r="E30" s="221">
        <f t="shared" si="7"/>
        <v>253459.296</v>
      </c>
      <c r="F30" s="221">
        <f t="shared" si="7"/>
        <v>288718.88</v>
      </c>
      <c r="G30" s="221">
        <f t="shared" si="7"/>
        <v>316122.2</v>
      </c>
      <c r="H30" s="221">
        <f t="shared" si="7"/>
        <v>328228.88</v>
      </c>
      <c r="I30" s="221">
        <f t="shared" si="7"/>
        <v>325170.97600000002</v>
      </c>
      <c r="J30" s="221">
        <f t="shared" si="7"/>
        <v>351667.76</v>
      </c>
      <c r="K30" s="221">
        <f t="shared" si="7"/>
        <v>327432.48800000001</v>
      </c>
      <c r="L30" s="221">
        <f t="shared" si="7"/>
        <v>283976</v>
      </c>
      <c r="M30" s="221">
        <f t="shared" si="7"/>
        <v>259412.28799999997</v>
      </c>
      <c r="N30" s="222">
        <f t="shared" si="7"/>
        <v>270993.02</v>
      </c>
      <c r="O30" s="223">
        <f>SUM(O26:O29)</f>
        <v>3379520.6440000008</v>
      </c>
    </row>
    <row r="31" spans="1:15" ht="4.5" customHeight="1" thickBot="1" x14ac:dyDescent="0.3">
      <c r="A31" s="195"/>
      <c r="B31" s="212"/>
      <c r="C31" s="248"/>
      <c r="D31" s="248"/>
      <c r="E31" s="248"/>
      <c r="F31" s="248"/>
      <c r="G31" s="249"/>
      <c r="H31" s="249"/>
      <c r="I31" s="249"/>
      <c r="J31" s="249"/>
      <c r="K31" s="249"/>
      <c r="L31" s="249"/>
      <c r="M31" s="249"/>
      <c r="N31" s="249"/>
      <c r="O31" s="250"/>
    </row>
    <row r="32" spans="1:15" ht="12" thickBot="1" x14ac:dyDescent="0.3">
      <c r="A32" s="182"/>
      <c r="B32" s="188" t="s">
        <v>6</v>
      </c>
      <c r="C32" s="251"/>
      <c r="D32" s="251"/>
      <c r="E32" s="251"/>
      <c r="F32" s="251"/>
      <c r="G32" s="251"/>
      <c r="H32" s="251"/>
      <c r="I32" s="251"/>
      <c r="J32" s="251"/>
      <c r="K32" s="251"/>
      <c r="L32" s="251"/>
      <c r="M32" s="251"/>
      <c r="N32" s="251"/>
      <c r="O32" s="252"/>
    </row>
    <row r="33" spans="1:15" s="30" customFormat="1" x14ac:dyDescent="0.25">
      <c r="A33" s="196"/>
      <c r="B33" s="197" t="s">
        <v>7</v>
      </c>
      <c r="C33" s="253"/>
      <c r="D33" s="253"/>
      <c r="E33" s="253"/>
      <c r="F33" s="253"/>
      <c r="G33" s="253"/>
      <c r="H33" s="253"/>
      <c r="I33" s="253"/>
      <c r="J33" s="253"/>
      <c r="K33" s="253"/>
      <c r="L33" s="253"/>
      <c r="M33" s="253"/>
      <c r="N33" s="254"/>
      <c r="O33" s="255"/>
    </row>
    <row r="34" spans="1:15" s="30" customFormat="1" x14ac:dyDescent="0.25">
      <c r="A34" s="196"/>
      <c r="B34" s="198" t="s">
        <v>8</v>
      </c>
      <c r="C34" s="256">
        <v>6000</v>
      </c>
      <c r="D34" s="256">
        <v>6000</v>
      </c>
      <c r="E34" s="256">
        <v>6000</v>
      </c>
      <c r="F34" s="256">
        <v>6000</v>
      </c>
      <c r="G34" s="256">
        <v>6000</v>
      </c>
      <c r="H34" s="256">
        <v>6000</v>
      </c>
      <c r="I34" s="256">
        <v>6000</v>
      </c>
      <c r="J34" s="256">
        <v>6000</v>
      </c>
      <c r="K34" s="256">
        <v>6000</v>
      </c>
      <c r="L34" s="256">
        <v>6000</v>
      </c>
      <c r="M34" s="256">
        <v>6000</v>
      </c>
      <c r="N34" s="256">
        <v>6000</v>
      </c>
      <c r="O34" s="257">
        <f t="shared" ref="O34:O41" si="8">SUM(C34:N34)</f>
        <v>72000</v>
      </c>
    </row>
    <row r="35" spans="1:15" x14ac:dyDescent="0.25">
      <c r="A35" s="182"/>
      <c r="B35" s="198" t="s">
        <v>9</v>
      </c>
      <c r="C35" s="256">
        <v>1600</v>
      </c>
      <c r="D35" s="256">
        <v>1600</v>
      </c>
      <c r="E35" s="256">
        <v>1600</v>
      </c>
      <c r="F35" s="256">
        <v>1600</v>
      </c>
      <c r="G35" s="256">
        <v>1600</v>
      </c>
      <c r="H35" s="256">
        <v>1600</v>
      </c>
      <c r="I35" s="256">
        <v>1600</v>
      </c>
      <c r="J35" s="256">
        <v>1600</v>
      </c>
      <c r="K35" s="256">
        <v>1600</v>
      </c>
      <c r="L35" s="256">
        <v>1600</v>
      </c>
      <c r="M35" s="256">
        <v>1600</v>
      </c>
      <c r="N35" s="256">
        <v>1600</v>
      </c>
      <c r="O35" s="207">
        <f t="shared" si="8"/>
        <v>19200</v>
      </c>
    </row>
    <row r="36" spans="1:15" s="30" customFormat="1" x14ac:dyDescent="0.25">
      <c r="A36" s="196"/>
      <c r="B36" s="198" t="s">
        <v>10</v>
      </c>
      <c r="C36" s="258">
        <v>5000</v>
      </c>
      <c r="D36" s="258">
        <v>5000</v>
      </c>
      <c r="E36" s="258">
        <v>5000</v>
      </c>
      <c r="F36" s="258">
        <v>5000</v>
      </c>
      <c r="G36" s="258">
        <v>5000</v>
      </c>
      <c r="H36" s="258">
        <v>5000</v>
      </c>
      <c r="I36" s="258">
        <v>5000</v>
      </c>
      <c r="J36" s="258">
        <v>5000</v>
      </c>
      <c r="K36" s="258">
        <v>5000</v>
      </c>
      <c r="L36" s="258">
        <v>5000</v>
      </c>
      <c r="M36" s="258">
        <v>5000</v>
      </c>
      <c r="N36" s="258">
        <v>5000</v>
      </c>
      <c r="O36" s="207">
        <f t="shared" si="8"/>
        <v>60000</v>
      </c>
    </row>
    <row r="37" spans="1:15" s="30" customFormat="1" x14ac:dyDescent="0.25">
      <c r="A37" s="196"/>
      <c r="B37" s="197" t="s">
        <v>11</v>
      </c>
      <c r="C37" s="259">
        <f t="shared" ref="C37:O37" si="9">SUM(C34:C36)</f>
        <v>12600</v>
      </c>
      <c r="D37" s="259">
        <f t="shared" si="9"/>
        <v>12600</v>
      </c>
      <c r="E37" s="259">
        <f t="shared" si="9"/>
        <v>12600</v>
      </c>
      <c r="F37" s="259">
        <f t="shared" si="9"/>
        <v>12600</v>
      </c>
      <c r="G37" s="259">
        <f t="shared" si="9"/>
        <v>12600</v>
      </c>
      <c r="H37" s="259">
        <f t="shared" si="9"/>
        <v>12600</v>
      </c>
      <c r="I37" s="259">
        <f t="shared" si="9"/>
        <v>12600</v>
      </c>
      <c r="J37" s="259">
        <f t="shared" si="9"/>
        <v>12600</v>
      </c>
      <c r="K37" s="259">
        <f t="shared" si="9"/>
        <v>12600</v>
      </c>
      <c r="L37" s="259">
        <f t="shared" si="9"/>
        <v>12600</v>
      </c>
      <c r="M37" s="259">
        <f t="shared" si="9"/>
        <v>12600</v>
      </c>
      <c r="N37" s="259">
        <f t="shared" si="9"/>
        <v>12600</v>
      </c>
      <c r="O37" s="260">
        <f t="shared" si="9"/>
        <v>151200</v>
      </c>
    </row>
    <row r="38" spans="1:15" s="30" customFormat="1" x14ac:dyDescent="0.25">
      <c r="A38" s="196"/>
      <c r="B38" s="197" t="s">
        <v>12</v>
      </c>
      <c r="C38" s="258"/>
      <c r="D38" s="258"/>
      <c r="E38" s="258"/>
      <c r="F38" s="258"/>
      <c r="G38" s="258"/>
      <c r="H38" s="258"/>
      <c r="I38" s="258"/>
      <c r="J38" s="258"/>
      <c r="K38" s="258"/>
      <c r="L38" s="258"/>
      <c r="M38" s="258"/>
      <c r="N38" s="261"/>
      <c r="O38" s="257"/>
    </row>
    <row r="39" spans="1:15" s="30" customFormat="1" x14ac:dyDescent="0.25">
      <c r="A39" s="196"/>
      <c r="B39" s="198" t="s">
        <v>159</v>
      </c>
      <c r="C39" s="258">
        <v>23000</v>
      </c>
      <c r="D39" s="258">
        <v>23000</v>
      </c>
      <c r="E39" s="258">
        <v>23000</v>
      </c>
      <c r="F39" s="258">
        <v>23000</v>
      </c>
      <c r="G39" s="258">
        <v>23000</v>
      </c>
      <c r="H39" s="258">
        <v>23000</v>
      </c>
      <c r="I39" s="258">
        <v>23000</v>
      </c>
      <c r="J39" s="258">
        <v>23000</v>
      </c>
      <c r="K39" s="258">
        <v>23000</v>
      </c>
      <c r="L39" s="258">
        <v>23000</v>
      </c>
      <c r="M39" s="258">
        <v>23000</v>
      </c>
      <c r="N39" s="258">
        <v>23000</v>
      </c>
      <c r="O39" s="207">
        <f t="shared" si="8"/>
        <v>276000</v>
      </c>
    </row>
    <row r="40" spans="1:15" s="30" customFormat="1" x14ac:dyDescent="0.25">
      <c r="A40" s="196"/>
      <c r="B40" s="198" t="s">
        <v>153</v>
      </c>
      <c r="C40" s="258">
        <v>8000</v>
      </c>
      <c r="D40" s="258">
        <v>8000</v>
      </c>
      <c r="E40" s="258">
        <v>8000</v>
      </c>
      <c r="F40" s="258">
        <v>8000</v>
      </c>
      <c r="G40" s="258">
        <v>8000</v>
      </c>
      <c r="H40" s="258">
        <v>8000</v>
      </c>
      <c r="I40" s="258">
        <v>8000</v>
      </c>
      <c r="J40" s="258">
        <v>8000</v>
      </c>
      <c r="K40" s="258">
        <v>8000</v>
      </c>
      <c r="L40" s="258">
        <v>8000</v>
      </c>
      <c r="M40" s="258">
        <v>8000</v>
      </c>
      <c r="N40" s="258">
        <v>8000</v>
      </c>
      <c r="O40" s="207">
        <f t="shared" si="8"/>
        <v>96000</v>
      </c>
    </row>
    <row r="41" spans="1:15" s="30" customFormat="1" x14ac:dyDescent="0.25">
      <c r="A41" s="196"/>
      <c r="B41" s="198" t="s">
        <v>154</v>
      </c>
      <c r="C41" s="258">
        <v>5000</v>
      </c>
      <c r="D41" s="258">
        <v>5000</v>
      </c>
      <c r="E41" s="258">
        <v>5000</v>
      </c>
      <c r="F41" s="258">
        <v>5000</v>
      </c>
      <c r="G41" s="258">
        <v>5000</v>
      </c>
      <c r="H41" s="258">
        <v>5000</v>
      </c>
      <c r="I41" s="258">
        <v>5000</v>
      </c>
      <c r="J41" s="258">
        <v>5000</v>
      </c>
      <c r="K41" s="258">
        <v>5000</v>
      </c>
      <c r="L41" s="258">
        <v>5000</v>
      </c>
      <c r="M41" s="258">
        <v>5000</v>
      </c>
      <c r="N41" s="258">
        <v>5000</v>
      </c>
      <c r="O41" s="207">
        <f t="shared" si="8"/>
        <v>60000</v>
      </c>
    </row>
    <row r="42" spans="1:15" s="200" customFormat="1" x14ac:dyDescent="0.25">
      <c r="A42" s="199"/>
      <c r="B42" s="197" t="s">
        <v>13</v>
      </c>
      <c r="C42" s="259">
        <f t="shared" ref="C42:O42" si="10">SUM(C39:C41)</f>
        <v>36000</v>
      </c>
      <c r="D42" s="259">
        <f t="shared" si="10"/>
        <v>36000</v>
      </c>
      <c r="E42" s="259">
        <f t="shared" si="10"/>
        <v>36000</v>
      </c>
      <c r="F42" s="259">
        <f t="shared" si="10"/>
        <v>36000</v>
      </c>
      <c r="G42" s="259">
        <f t="shared" si="10"/>
        <v>36000</v>
      </c>
      <c r="H42" s="259">
        <f t="shared" si="10"/>
        <v>36000</v>
      </c>
      <c r="I42" s="259">
        <f t="shared" si="10"/>
        <v>36000</v>
      </c>
      <c r="J42" s="259">
        <f t="shared" si="10"/>
        <v>36000</v>
      </c>
      <c r="K42" s="259">
        <f t="shared" si="10"/>
        <v>36000</v>
      </c>
      <c r="L42" s="259">
        <f t="shared" si="10"/>
        <v>36000</v>
      </c>
      <c r="M42" s="259">
        <f t="shared" si="10"/>
        <v>36000</v>
      </c>
      <c r="N42" s="259">
        <f t="shared" si="10"/>
        <v>36000</v>
      </c>
      <c r="O42" s="260">
        <f t="shared" si="10"/>
        <v>432000</v>
      </c>
    </row>
    <row r="43" spans="1:15" s="30" customFormat="1" x14ac:dyDescent="0.25">
      <c r="A43" s="196"/>
      <c r="B43" s="201" t="s">
        <v>14</v>
      </c>
      <c r="C43" s="258"/>
      <c r="D43" s="258"/>
      <c r="E43" s="258"/>
      <c r="F43" s="258"/>
      <c r="G43" s="258"/>
      <c r="H43" s="258"/>
      <c r="I43" s="258"/>
      <c r="J43" s="258"/>
      <c r="K43" s="258"/>
      <c r="L43" s="258"/>
      <c r="M43" s="258"/>
      <c r="N43" s="261"/>
      <c r="O43" s="257"/>
    </row>
    <row r="44" spans="1:15" s="30" customFormat="1" x14ac:dyDescent="0.25">
      <c r="A44" s="196"/>
      <c r="B44" s="198" t="s">
        <v>155</v>
      </c>
      <c r="C44" s="258">
        <f>'Project Budget and Assumptions'!$F$15*'Op Budget (Yr1)'!C30</f>
        <v>11899.337320000001</v>
      </c>
      <c r="D44" s="258">
        <f>'Project Budget and Assumptions'!$F$15*'Op Budget (Yr1)'!D30</f>
        <v>12432.688320000003</v>
      </c>
      <c r="E44" s="258">
        <f>'Project Budget and Assumptions'!$F$15*'Op Budget (Yr1)'!E30</f>
        <v>16474.854240000001</v>
      </c>
      <c r="F44" s="258">
        <f>'Project Budget and Assumptions'!$F$15*'Op Budget (Yr1)'!F30</f>
        <v>18766.727200000001</v>
      </c>
      <c r="G44" s="258">
        <f>'Project Budget and Assumptions'!$F$15*'Op Budget (Yr1)'!G30</f>
        <v>20547.943000000003</v>
      </c>
      <c r="H44" s="258">
        <f>'Project Budget and Assumptions'!$F$15*'Op Budget (Yr1)'!H30</f>
        <v>21334.877200000003</v>
      </c>
      <c r="I44" s="258">
        <f>'Project Budget and Assumptions'!$F$15*'Op Budget (Yr1)'!I30</f>
        <v>21136.113440000001</v>
      </c>
      <c r="J44" s="258">
        <f>'Project Budget and Assumptions'!$F$15*'Op Budget (Yr1)'!J30</f>
        <v>22858.404400000003</v>
      </c>
      <c r="K44" s="258">
        <f>'Project Budget and Assumptions'!$F$15*'Op Budget (Yr1)'!K30</f>
        <v>21283.111720000001</v>
      </c>
      <c r="L44" s="258">
        <f>'Project Budget and Assumptions'!$F$15*'Op Budget (Yr1)'!L30</f>
        <v>18458.440000000002</v>
      </c>
      <c r="M44" s="258">
        <f>'Project Budget and Assumptions'!$F$15*'Op Budget (Yr1)'!M30</f>
        <v>16861.798719999999</v>
      </c>
      <c r="N44" s="258">
        <f>'Project Budget and Assumptions'!$F$15*'Op Budget (Yr1)'!N30</f>
        <v>17614.546300000002</v>
      </c>
      <c r="O44" s="207">
        <f>SUM(C44:N44)</f>
        <v>219668.84186000004</v>
      </c>
    </row>
    <row r="45" spans="1:15" s="200" customFormat="1" x14ac:dyDescent="0.25">
      <c r="A45" s="199"/>
      <c r="B45" s="201" t="s">
        <v>15</v>
      </c>
      <c r="C45" s="262">
        <f t="shared" ref="C45:O45" si="11">SUM(C44:C44)</f>
        <v>11899.337320000001</v>
      </c>
      <c r="D45" s="262">
        <f t="shared" si="11"/>
        <v>12432.688320000003</v>
      </c>
      <c r="E45" s="262">
        <f t="shared" si="11"/>
        <v>16474.854240000001</v>
      </c>
      <c r="F45" s="262">
        <f t="shared" si="11"/>
        <v>18766.727200000001</v>
      </c>
      <c r="G45" s="262">
        <f t="shared" si="11"/>
        <v>20547.943000000003</v>
      </c>
      <c r="H45" s="262">
        <f t="shared" si="11"/>
        <v>21334.877200000003</v>
      </c>
      <c r="I45" s="262">
        <f t="shared" si="11"/>
        <v>21136.113440000001</v>
      </c>
      <c r="J45" s="262">
        <f t="shared" si="11"/>
        <v>22858.404400000003</v>
      </c>
      <c r="K45" s="262">
        <f t="shared" si="11"/>
        <v>21283.111720000001</v>
      </c>
      <c r="L45" s="262">
        <f t="shared" si="11"/>
        <v>18458.440000000002</v>
      </c>
      <c r="M45" s="262">
        <f t="shared" si="11"/>
        <v>16861.798719999999</v>
      </c>
      <c r="N45" s="262">
        <f t="shared" si="11"/>
        <v>17614.546300000002</v>
      </c>
      <c r="O45" s="260">
        <f t="shared" si="11"/>
        <v>219668.84186000004</v>
      </c>
    </row>
    <row r="46" spans="1:15" s="30" customFormat="1" x14ac:dyDescent="0.25">
      <c r="A46" s="196"/>
      <c r="B46" s="201" t="s">
        <v>16</v>
      </c>
      <c r="C46" s="261"/>
      <c r="D46" s="261"/>
      <c r="E46" s="261"/>
      <c r="F46" s="261"/>
      <c r="G46" s="261"/>
      <c r="H46" s="261"/>
      <c r="I46" s="261"/>
      <c r="J46" s="261"/>
      <c r="K46" s="261"/>
      <c r="L46" s="261"/>
      <c r="M46" s="261"/>
      <c r="N46" s="261"/>
      <c r="O46" s="257"/>
    </row>
    <row r="47" spans="1:15" s="30" customFormat="1" x14ac:dyDescent="0.25">
      <c r="A47" s="196"/>
      <c r="B47" s="198" t="s">
        <v>156</v>
      </c>
      <c r="C47" s="261">
        <v>800</v>
      </c>
      <c r="D47" s="261">
        <v>800</v>
      </c>
      <c r="E47" s="261">
        <v>800</v>
      </c>
      <c r="F47" s="261">
        <v>800</v>
      </c>
      <c r="G47" s="261">
        <v>800</v>
      </c>
      <c r="H47" s="261">
        <v>800</v>
      </c>
      <c r="I47" s="261">
        <v>800</v>
      </c>
      <c r="J47" s="261">
        <v>800</v>
      </c>
      <c r="K47" s="261">
        <v>800</v>
      </c>
      <c r="L47" s="261">
        <v>800</v>
      </c>
      <c r="M47" s="261">
        <v>800</v>
      </c>
      <c r="N47" s="261">
        <v>800</v>
      </c>
      <c r="O47" s="207">
        <f t="shared" ref="O47:O50" si="12">SUM(C47:N47)</f>
        <v>9600</v>
      </c>
    </row>
    <row r="48" spans="1:15" s="30" customFormat="1" x14ac:dyDescent="0.25">
      <c r="A48" s="196"/>
      <c r="B48" s="198" t="s">
        <v>17</v>
      </c>
      <c r="C48" s="261">
        <v>500</v>
      </c>
      <c r="D48" s="261">
        <v>500</v>
      </c>
      <c r="E48" s="261">
        <v>500</v>
      </c>
      <c r="F48" s="261">
        <v>500</v>
      </c>
      <c r="G48" s="261">
        <v>500</v>
      </c>
      <c r="H48" s="261">
        <v>500</v>
      </c>
      <c r="I48" s="261">
        <v>500</v>
      </c>
      <c r="J48" s="261">
        <v>500</v>
      </c>
      <c r="K48" s="261">
        <v>500</v>
      </c>
      <c r="L48" s="261">
        <v>500</v>
      </c>
      <c r="M48" s="261">
        <v>500</v>
      </c>
      <c r="N48" s="261">
        <v>500</v>
      </c>
      <c r="O48" s="207">
        <f t="shared" si="12"/>
        <v>6000</v>
      </c>
    </row>
    <row r="49" spans="1:17" s="30" customFormat="1" x14ac:dyDescent="0.25">
      <c r="A49" s="196"/>
      <c r="B49" s="198" t="s">
        <v>18</v>
      </c>
      <c r="C49" s="261">
        <v>500</v>
      </c>
      <c r="D49" s="261">
        <v>500</v>
      </c>
      <c r="E49" s="261">
        <v>500</v>
      </c>
      <c r="F49" s="261">
        <v>500</v>
      </c>
      <c r="G49" s="261">
        <v>500</v>
      </c>
      <c r="H49" s="261">
        <v>500</v>
      </c>
      <c r="I49" s="261">
        <v>500</v>
      </c>
      <c r="J49" s="261">
        <v>500</v>
      </c>
      <c r="K49" s="261">
        <v>500</v>
      </c>
      <c r="L49" s="261">
        <v>500</v>
      </c>
      <c r="M49" s="261">
        <v>500</v>
      </c>
      <c r="N49" s="261">
        <v>500</v>
      </c>
      <c r="O49" s="207">
        <f t="shared" si="12"/>
        <v>6000</v>
      </c>
    </row>
    <row r="50" spans="1:17" s="30" customFormat="1" x14ac:dyDescent="0.25">
      <c r="A50" s="196"/>
      <c r="B50" s="198" t="s">
        <v>19</v>
      </c>
      <c r="C50" s="261">
        <v>300</v>
      </c>
      <c r="D50" s="261">
        <v>300</v>
      </c>
      <c r="E50" s="261">
        <v>300</v>
      </c>
      <c r="F50" s="261">
        <v>300</v>
      </c>
      <c r="G50" s="261">
        <v>300</v>
      </c>
      <c r="H50" s="261">
        <v>300</v>
      </c>
      <c r="I50" s="261">
        <v>300</v>
      </c>
      <c r="J50" s="261">
        <v>300</v>
      </c>
      <c r="K50" s="261">
        <v>300</v>
      </c>
      <c r="L50" s="261">
        <v>300</v>
      </c>
      <c r="M50" s="261">
        <v>300</v>
      </c>
      <c r="N50" s="261">
        <v>300</v>
      </c>
      <c r="O50" s="207">
        <f t="shared" si="12"/>
        <v>3600</v>
      </c>
    </row>
    <row r="51" spans="1:17" s="200" customFormat="1" x14ac:dyDescent="0.25">
      <c r="A51" s="199"/>
      <c r="B51" s="197" t="s">
        <v>20</v>
      </c>
      <c r="C51" s="262">
        <f t="shared" ref="C51:O52" si="13">SUM(C47:C50)</f>
        <v>2100</v>
      </c>
      <c r="D51" s="262">
        <f t="shared" si="13"/>
        <v>2100</v>
      </c>
      <c r="E51" s="262">
        <f t="shared" si="13"/>
        <v>2100</v>
      </c>
      <c r="F51" s="262">
        <f t="shared" si="13"/>
        <v>2100</v>
      </c>
      <c r="G51" s="262">
        <f t="shared" si="13"/>
        <v>2100</v>
      </c>
      <c r="H51" s="262">
        <f t="shared" si="13"/>
        <v>2100</v>
      </c>
      <c r="I51" s="262">
        <f t="shared" si="13"/>
        <v>2100</v>
      </c>
      <c r="J51" s="262">
        <f t="shared" si="13"/>
        <v>2100</v>
      </c>
      <c r="K51" s="262">
        <f t="shared" si="13"/>
        <v>2100</v>
      </c>
      <c r="L51" s="262">
        <f t="shared" si="13"/>
        <v>2100</v>
      </c>
      <c r="M51" s="262">
        <f t="shared" si="13"/>
        <v>2100</v>
      </c>
      <c r="N51" s="262">
        <f t="shared" si="13"/>
        <v>2100</v>
      </c>
      <c r="O51" s="260">
        <f t="shared" si="13"/>
        <v>25200</v>
      </c>
    </row>
    <row r="52" spans="1:17" s="200" customFormat="1" x14ac:dyDescent="0.25">
      <c r="A52" s="199"/>
      <c r="B52" s="197" t="s">
        <v>157</v>
      </c>
      <c r="C52" s="262">
        <f>C28*'Project Budget and Assumptions'!$F$7</f>
        <v>1919.4084</v>
      </c>
      <c r="D52" s="262">
        <f>D28*'Project Budget and Assumptions'!$F$7</f>
        <v>2017.4784000000002</v>
      </c>
      <c r="E52" s="262">
        <f>E28*'Project Budget and Assumptions'!$F$7</f>
        <v>2710.1687999999999</v>
      </c>
      <c r="F52" s="262">
        <f>F28*'Project Budget and Assumptions'!$F$7</f>
        <v>3122.0640000000003</v>
      </c>
      <c r="G52" s="262">
        <f>G28*'Project Budget and Assumptions'!$F$7</f>
        <v>3428.9100000000003</v>
      </c>
      <c r="H52" s="262">
        <f>H28*'Project Budget and Assumptions'!$F$7</f>
        <v>3567.5640000000003</v>
      </c>
      <c r="I52" s="262">
        <f>I28*'Project Budget and Assumptions'!$F$7</f>
        <v>3531.1728000000003</v>
      </c>
      <c r="J52" s="262">
        <f>J28*'Project Budget and Assumptions'!$F$7</f>
        <v>3827.6279999999997</v>
      </c>
      <c r="K52" s="262">
        <f>K28*'Project Budget and Assumptions'!$F$7</f>
        <v>3546.5364</v>
      </c>
      <c r="L52" s="262">
        <f>L28*'Project Budget and Assumptions'!$F$7</f>
        <v>3052.7999999999997</v>
      </c>
      <c r="M52" s="262">
        <f>M28*'Project Budget and Assumptions'!$F$7</f>
        <v>2768.1263999999996</v>
      </c>
      <c r="N52" s="262">
        <f>N28*'Project Budget and Assumptions'!$F$7</f>
        <v>2912.4810000000002</v>
      </c>
      <c r="O52" s="260">
        <f t="shared" si="13"/>
        <v>40800</v>
      </c>
    </row>
    <row r="53" spans="1:17" s="203" customFormat="1" x14ac:dyDescent="0.25">
      <c r="A53" s="202"/>
      <c r="B53" s="201" t="s">
        <v>206</v>
      </c>
      <c r="C53" s="263">
        <f>'Project Budget and Assumptions'!$F$8*'Op Budget (Yr1)'!C30</f>
        <v>21968.00736</v>
      </c>
      <c r="D53" s="263">
        <f>'Project Budget and Assumptions'!$F$8*'Op Budget (Yr1)'!D30</f>
        <v>22952.655360000001</v>
      </c>
      <c r="E53" s="263">
        <f>'Project Budget and Assumptions'!$F$8*'Op Budget (Yr1)'!E30</f>
        <v>30415.115519999999</v>
      </c>
      <c r="F53" s="263">
        <f>'Project Budget and Assumptions'!$F$8*'Op Budget (Yr1)'!F30</f>
        <v>34646.265599999999</v>
      </c>
      <c r="G53" s="263">
        <f>'Project Budget and Assumptions'!$F$8*'Op Budget (Yr1)'!G30</f>
        <v>37934.663999999997</v>
      </c>
      <c r="H53" s="263">
        <f>'Project Budget and Assumptions'!$F$8*'Op Budget (Yr1)'!H30</f>
        <v>39387.465599999996</v>
      </c>
      <c r="I53" s="263">
        <f>'Project Budget and Assumptions'!$F$8*'Op Budget (Yr1)'!I30</f>
        <v>39020.517120000004</v>
      </c>
      <c r="J53" s="263">
        <f>'Project Budget and Assumptions'!$F$8*'Op Budget (Yr1)'!J30</f>
        <v>42200.131199999996</v>
      </c>
      <c r="K53" s="263">
        <f>'Project Budget and Assumptions'!$F$8*'Op Budget (Yr1)'!K30</f>
        <v>39291.898560000001</v>
      </c>
      <c r="L53" s="263">
        <f>'Project Budget and Assumptions'!$F$8*'Op Budget (Yr1)'!L30</f>
        <v>34077.119999999995</v>
      </c>
      <c r="M53" s="263">
        <f>'Project Budget and Assumptions'!$F$8*'Op Budget (Yr1)'!M30</f>
        <v>31129.474559999995</v>
      </c>
      <c r="N53" s="263">
        <f>'Project Budget and Assumptions'!$F$8*'Op Budget (Yr1)'!N30</f>
        <v>32519.162400000001</v>
      </c>
      <c r="O53" s="260">
        <f>SUM(C53:N53)</f>
        <v>405542.47727999999</v>
      </c>
      <c r="Q53" s="509"/>
    </row>
    <row r="54" spans="1:17" s="203" customFormat="1" x14ac:dyDescent="0.25">
      <c r="A54" s="202"/>
      <c r="B54" s="197" t="s">
        <v>22</v>
      </c>
      <c r="C54" s="264">
        <f>'Project Budget and Assumptions'!$F$9*'Op Budget (Yr1)'!C30</f>
        <v>4576.6682000000001</v>
      </c>
      <c r="D54" s="264">
        <f>'Project Budget and Assumptions'!$F$9*'Op Budget (Yr1)'!D30</f>
        <v>4781.8032000000012</v>
      </c>
      <c r="E54" s="264">
        <f>'Project Budget and Assumptions'!$F$9*'Op Budget (Yr1)'!E30</f>
        <v>6336.4824000000008</v>
      </c>
      <c r="F54" s="264">
        <f>'Project Budget and Assumptions'!$F$9*'Op Budget (Yr1)'!F30</f>
        <v>7217.9720000000007</v>
      </c>
      <c r="G54" s="264">
        <f>'Project Budget and Assumptions'!$F$9*'Op Budget (Yr1)'!G30</f>
        <v>7903.0550000000003</v>
      </c>
      <c r="H54" s="264">
        <f>'Project Budget and Assumptions'!$F$9*'Op Budget (Yr1)'!H30</f>
        <v>8205.7219999999998</v>
      </c>
      <c r="I54" s="264">
        <f>'Project Budget and Assumptions'!$F$9*'Op Budget (Yr1)'!I30</f>
        <v>8129.2744000000012</v>
      </c>
      <c r="J54" s="264">
        <f>'Project Budget and Assumptions'!$F$9*'Op Budget (Yr1)'!J30</f>
        <v>8791.6940000000013</v>
      </c>
      <c r="K54" s="264">
        <f>'Project Budget and Assumptions'!$F$9*'Op Budget (Yr1)'!K30</f>
        <v>8185.8122000000003</v>
      </c>
      <c r="L54" s="264">
        <f>'Project Budget and Assumptions'!$F$9*'Op Budget (Yr1)'!L30</f>
        <v>7099.4000000000005</v>
      </c>
      <c r="M54" s="264">
        <f>'Project Budget and Assumptions'!$F$9*'Op Budget (Yr1)'!M30</f>
        <v>6485.3071999999993</v>
      </c>
      <c r="N54" s="264">
        <f>'Project Budget and Assumptions'!$F$9*'Op Budget (Yr1)'!N30</f>
        <v>6774.8255000000008</v>
      </c>
      <c r="O54" s="260">
        <f>SUM(C54:N54)</f>
        <v>84488.016100000008</v>
      </c>
    </row>
    <row r="55" spans="1:17" ht="12" thickBot="1" x14ac:dyDescent="0.3">
      <c r="A55" s="182"/>
      <c r="B55" s="423" t="s">
        <v>158</v>
      </c>
      <c r="C55" s="424">
        <f>'Project Budget and Assumptions'!$F$10*'Op Budget (Yr1)'!C30</f>
        <v>2746.00092</v>
      </c>
      <c r="D55" s="424">
        <f>'Project Budget and Assumptions'!$F$10*'Op Budget (Yr1)'!D30</f>
        <v>2869.0819200000001</v>
      </c>
      <c r="E55" s="424">
        <f>'Project Budget and Assumptions'!$F$10*'Op Budget (Yr1)'!E30</f>
        <v>3801.8894399999999</v>
      </c>
      <c r="F55" s="424">
        <f>'Project Budget and Assumptions'!$F$10*'Op Budget (Yr1)'!F30</f>
        <v>4330.7831999999999</v>
      </c>
      <c r="G55" s="424">
        <f>'Project Budget and Assumptions'!$F$10*'Op Budget (Yr1)'!G30</f>
        <v>4741.8329999999996</v>
      </c>
      <c r="H55" s="424">
        <f>'Project Budget and Assumptions'!$F$10*'Op Budget (Yr1)'!H30</f>
        <v>4923.4331999999995</v>
      </c>
      <c r="I55" s="424">
        <f>'Project Budget and Assumptions'!$F$10*'Op Budget (Yr1)'!I30</f>
        <v>4877.5646400000005</v>
      </c>
      <c r="J55" s="424">
        <f>'Project Budget and Assumptions'!$F$10*'Op Budget (Yr1)'!J30</f>
        <v>5275.0163999999995</v>
      </c>
      <c r="K55" s="424">
        <f>'Project Budget and Assumptions'!$F$10*'Op Budget (Yr1)'!K30</f>
        <v>4911.4873200000002</v>
      </c>
      <c r="L55" s="424">
        <f>'Project Budget and Assumptions'!$F$10*'Op Budget (Yr1)'!L30</f>
        <v>4259.6399999999994</v>
      </c>
      <c r="M55" s="424">
        <f>'Project Budget and Assumptions'!$F$10*'Op Budget (Yr1)'!M30</f>
        <v>3891.1843199999994</v>
      </c>
      <c r="N55" s="424">
        <f>'Project Budget and Assumptions'!$F$10*'Op Budget (Yr1)'!N30</f>
        <v>4064.8953000000001</v>
      </c>
      <c r="O55" s="425">
        <f>SUM(C55:N55)</f>
        <v>50692.809659999999</v>
      </c>
    </row>
    <row r="56" spans="1:17" ht="12.75" customHeight="1" thickBot="1" x14ac:dyDescent="0.3">
      <c r="A56" s="182"/>
      <c r="B56" s="426" t="s">
        <v>23</v>
      </c>
      <c r="C56" s="427">
        <f>C37+C42+C45+C51+C53+C54+C52+C55</f>
        <v>93809.422200000001</v>
      </c>
      <c r="D56" s="427">
        <f t="shared" ref="D56:N56" si="14">D37+D42+D45+D51+D53+D54+D52+D55</f>
        <v>95753.707200000004</v>
      </c>
      <c r="E56" s="427">
        <f t="shared" si="14"/>
        <v>110438.51040000001</v>
      </c>
      <c r="F56" s="427">
        <f t="shared" si="14"/>
        <v>118783.81199999999</v>
      </c>
      <c r="G56" s="427">
        <f t="shared" si="14"/>
        <v>125256.40499999998</v>
      </c>
      <c r="H56" s="427">
        <f t="shared" si="14"/>
        <v>128119.06199999999</v>
      </c>
      <c r="I56" s="427">
        <f t="shared" si="14"/>
        <v>127394.6424</v>
      </c>
      <c r="J56" s="427">
        <f t="shared" si="14"/>
        <v>133652.87400000001</v>
      </c>
      <c r="K56" s="427">
        <f t="shared" si="14"/>
        <v>127918.8462</v>
      </c>
      <c r="L56" s="427">
        <f t="shared" si="14"/>
        <v>117647.4</v>
      </c>
      <c r="M56" s="427">
        <f t="shared" si="14"/>
        <v>111835.89119999998</v>
      </c>
      <c r="N56" s="427">
        <f t="shared" si="14"/>
        <v>114585.91050000001</v>
      </c>
      <c r="O56" s="223">
        <f>SUM(C56:N56)</f>
        <v>1405196.4830999998</v>
      </c>
    </row>
    <row r="57" spans="1:17" ht="6.75" customHeight="1" thickBot="1" x14ac:dyDescent="0.3">
      <c r="A57" s="182"/>
      <c r="B57" s="204"/>
      <c r="C57" s="265"/>
      <c r="D57" s="265"/>
      <c r="E57" s="265"/>
      <c r="F57" s="265"/>
      <c r="G57" s="265"/>
      <c r="H57" s="265"/>
      <c r="I57" s="265"/>
      <c r="J57" s="265"/>
      <c r="K57" s="265"/>
      <c r="L57" s="265"/>
      <c r="M57" s="265"/>
      <c r="N57" s="265"/>
      <c r="O57" s="266"/>
    </row>
    <row r="58" spans="1:17" ht="14.25" customHeight="1" thickBot="1" x14ac:dyDescent="0.3">
      <c r="A58" s="182"/>
      <c r="B58" s="239" t="s">
        <v>24</v>
      </c>
      <c r="C58" s="267">
        <f>C30-C56</f>
        <v>89257.305800000002</v>
      </c>
      <c r="D58" s="267">
        <f t="shared" ref="D58:N58" si="15">D30-D56</f>
        <v>95518.420800000022</v>
      </c>
      <c r="E58" s="267">
        <f t="shared" si="15"/>
        <v>143020.7856</v>
      </c>
      <c r="F58" s="267">
        <f t="shared" si="15"/>
        <v>169935.06800000003</v>
      </c>
      <c r="G58" s="267">
        <f t="shared" si="15"/>
        <v>190865.79500000004</v>
      </c>
      <c r="H58" s="267">
        <f t="shared" si="15"/>
        <v>200109.81800000003</v>
      </c>
      <c r="I58" s="267">
        <f t="shared" si="15"/>
        <v>197776.33360000001</v>
      </c>
      <c r="J58" s="267">
        <f t="shared" si="15"/>
        <v>218014.886</v>
      </c>
      <c r="K58" s="267">
        <f t="shared" si="15"/>
        <v>199513.64180000001</v>
      </c>
      <c r="L58" s="267">
        <f t="shared" si="15"/>
        <v>166328.6</v>
      </c>
      <c r="M58" s="267">
        <f t="shared" si="15"/>
        <v>147576.39679999999</v>
      </c>
      <c r="N58" s="267">
        <f t="shared" si="15"/>
        <v>156407.10950000002</v>
      </c>
      <c r="O58" s="268">
        <f>SUM(C58:N58)</f>
        <v>1974324.1609000002</v>
      </c>
    </row>
    <row r="59" spans="1:17" ht="6" customHeight="1" thickBot="1" x14ac:dyDescent="0.3">
      <c r="B59" s="205"/>
      <c r="C59" s="244"/>
      <c r="D59" s="244"/>
      <c r="E59" s="244"/>
      <c r="F59" s="244"/>
      <c r="G59" s="244"/>
      <c r="H59" s="244"/>
      <c r="I59" s="244"/>
      <c r="J59" s="244"/>
      <c r="K59" s="244"/>
      <c r="L59" s="244"/>
      <c r="M59" s="244"/>
      <c r="N59" s="244"/>
      <c r="O59" s="244"/>
    </row>
    <row r="60" spans="1:17" ht="15" customHeight="1" thickBot="1" x14ac:dyDescent="0.3">
      <c r="B60" s="188" t="s">
        <v>252</v>
      </c>
      <c r="C60" s="245"/>
      <c r="D60" s="245"/>
      <c r="E60" s="245"/>
      <c r="F60" s="245"/>
      <c r="G60" s="245"/>
      <c r="H60" s="245"/>
      <c r="I60" s="245"/>
      <c r="J60" s="245"/>
      <c r="K60" s="245"/>
      <c r="L60" s="245"/>
      <c r="M60" s="245"/>
      <c r="N60" s="245"/>
      <c r="O60" s="296"/>
      <c r="P60" s="229"/>
      <c r="Q60" s="229"/>
    </row>
    <row r="61" spans="1:17" ht="14.65" customHeight="1" x14ac:dyDescent="0.25">
      <c r="B61" s="243" t="s">
        <v>192</v>
      </c>
      <c r="C61" s="277">
        <f>C58*'Project Budget and Assumptions'!$F$18</f>
        <v>20082.893805</v>
      </c>
      <c r="D61" s="277">
        <f>D58*'Project Budget and Assumptions'!$F$18</f>
        <v>21491.644680000005</v>
      </c>
      <c r="E61" s="277">
        <f>E58*'Project Budget and Assumptions'!$F$18</f>
        <v>32179.676760000002</v>
      </c>
      <c r="F61" s="277">
        <f>F58*'Project Budget and Assumptions'!$F$18</f>
        <v>38235.390300000006</v>
      </c>
      <c r="G61" s="277">
        <f>G58*'Project Budget and Assumptions'!$F$18</f>
        <v>42944.803875000012</v>
      </c>
      <c r="H61" s="277">
        <f>H58*'Project Budget and Assumptions'!$F$18</f>
        <v>45024.709050000005</v>
      </c>
      <c r="I61" s="277">
        <f>I58*'Project Budget and Assumptions'!$F$18</f>
        <v>44499.675060000001</v>
      </c>
      <c r="J61" s="277">
        <f>J58*'Project Budget and Assumptions'!$F$18</f>
        <v>49053.349350000004</v>
      </c>
      <c r="K61" s="277">
        <f>K58*'Project Budget and Assumptions'!$F$18</f>
        <v>44890.569405000002</v>
      </c>
      <c r="L61" s="277">
        <f>L58*'Project Budget and Assumptions'!$F$18</f>
        <v>37423.935000000005</v>
      </c>
      <c r="M61" s="277">
        <f>M58*'Project Budget and Assumptions'!$F$18</f>
        <v>33204.689279999999</v>
      </c>
      <c r="N61" s="294">
        <f>N58*'Project Budget and Assumptions'!$F$18</f>
        <v>35191.599637500003</v>
      </c>
      <c r="O61" s="297">
        <f>SUM(C61:N61)</f>
        <v>444222.93620250007</v>
      </c>
      <c r="P61" s="229"/>
      <c r="Q61" s="511"/>
    </row>
    <row r="62" spans="1:17" ht="14.25" customHeight="1" thickBot="1" x14ac:dyDescent="0.3">
      <c r="B62" s="272" t="s">
        <v>193</v>
      </c>
      <c r="C62" s="278">
        <f>C58-C61</f>
        <v>69174.411995000002</v>
      </c>
      <c r="D62" s="278">
        <f t="shared" ref="D62:N62" si="16">D58-D61</f>
        <v>74026.776120000024</v>
      </c>
      <c r="E62" s="278">
        <f t="shared" si="16"/>
        <v>110841.10884</v>
      </c>
      <c r="F62" s="278">
        <f t="shared" si="16"/>
        <v>131699.67770000003</v>
      </c>
      <c r="G62" s="278">
        <f t="shared" si="16"/>
        <v>147920.99112500003</v>
      </c>
      <c r="H62" s="278">
        <f t="shared" si="16"/>
        <v>155085.10895000002</v>
      </c>
      <c r="I62" s="278">
        <f t="shared" si="16"/>
        <v>153276.65854</v>
      </c>
      <c r="J62" s="278">
        <f t="shared" si="16"/>
        <v>168961.53664999999</v>
      </c>
      <c r="K62" s="278">
        <f t="shared" si="16"/>
        <v>154623.07239500002</v>
      </c>
      <c r="L62" s="278">
        <f t="shared" si="16"/>
        <v>128904.66500000001</v>
      </c>
      <c r="M62" s="278">
        <f t="shared" si="16"/>
        <v>114371.70752</v>
      </c>
      <c r="N62" s="295">
        <f t="shared" si="16"/>
        <v>121215.50986250001</v>
      </c>
      <c r="O62" s="298">
        <f>SUM(C62:N62)</f>
        <v>1530101.2246975</v>
      </c>
      <c r="P62" s="229"/>
      <c r="Q62" s="229"/>
    </row>
    <row r="63" spans="1:17" ht="6" customHeight="1" thickBot="1" x14ac:dyDescent="0.3">
      <c r="B63" s="205"/>
      <c r="C63" s="279"/>
      <c r="D63" s="279"/>
      <c r="E63" s="279"/>
      <c r="F63" s="279"/>
      <c r="G63" s="279"/>
      <c r="H63" s="279"/>
      <c r="I63" s="279"/>
      <c r="J63" s="279"/>
      <c r="K63" s="279"/>
      <c r="L63" s="279"/>
      <c r="M63" s="279"/>
      <c r="N63" s="279"/>
      <c r="O63" s="279"/>
    </row>
    <row r="64" spans="1:17" ht="12.4" customHeight="1" x14ac:dyDescent="0.25">
      <c r="B64" s="269" t="s">
        <v>160</v>
      </c>
      <c r="C64" s="280">
        <f>'Am Table'!C9</f>
        <v>32357.22787812473</v>
      </c>
      <c r="D64" s="280">
        <f>C64</f>
        <v>32357.22787812473</v>
      </c>
      <c r="E64" s="280">
        <f t="shared" ref="E64:N64" si="17">D64</f>
        <v>32357.22787812473</v>
      </c>
      <c r="F64" s="280">
        <f t="shared" si="17"/>
        <v>32357.22787812473</v>
      </c>
      <c r="G64" s="280">
        <f t="shared" si="17"/>
        <v>32357.22787812473</v>
      </c>
      <c r="H64" s="280">
        <f t="shared" si="17"/>
        <v>32357.22787812473</v>
      </c>
      <c r="I64" s="280">
        <f t="shared" si="17"/>
        <v>32357.22787812473</v>
      </c>
      <c r="J64" s="280">
        <f t="shared" si="17"/>
        <v>32357.22787812473</v>
      </c>
      <c r="K64" s="280">
        <f t="shared" si="17"/>
        <v>32357.22787812473</v>
      </c>
      <c r="L64" s="280">
        <f t="shared" si="17"/>
        <v>32357.22787812473</v>
      </c>
      <c r="M64" s="280">
        <f t="shared" si="17"/>
        <v>32357.22787812473</v>
      </c>
      <c r="N64" s="299">
        <f t="shared" si="17"/>
        <v>32357.22787812473</v>
      </c>
      <c r="O64" s="297">
        <f>SUM(C64:N64)</f>
        <v>388286.73453749687</v>
      </c>
    </row>
    <row r="65" spans="2:17" ht="13.15" customHeight="1" x14ac:dyDescent="0.25">
      <c r="B65" s="270" t="s">
        <v>194</v>
      </c>
      <c r="C65" s="277">
        <f>'Am Table'!D9</f>
        <v>14590.333333333334</v>
      </c>
      <c r="D65" s="277">
        <f>'Am Table'!D10</f>
        <v>14560.721842425348</v>
      </c>
      <c r="E65" s="277">
        <f>'Am Table'!D11</f>
        <v>14531.060999032517</v>
      </c>
      <c r="F65" s="277">
        <f>'Am Table'!D12</f>
        <v>14501.350720900698</v>
      </c>
      <c r="G65" s="277">
        <f>'Am Table'!D13</f>
        <v>14471.590925638659</v>
      </c>
      <c r="H65" s="277">
        <f>'Am Table'!D14</f>
        <v>14441.781530717848</v>
      </c>
      <c r="I65" s="277">
        <f>'Am Table'!D15</f>
        <v>14411.922453472171</v>
      </c>
      <c r="J65" s="277">
        <f>'Am Table'!D16</f>
        <v>14382.013611097749</v>
      </c>
      <c r="K65" s="277">
        <f>'Am Table'!D17</f>
        <v>14352.054920652705</v>
      </c>
      <c r="L65" s="277">
        <f>'Am Table'!D18</f>
        <v>14322.046299056918</v>
      </c>
      <c r="M65" s="277">
        <f>'Am Table'!D19</f>
        <v>14291.987663091804</v>
      </c>
      <c r="N65" s="294">
        <f>'Am Table'!D20</f>
        <v>14261.878929400082</v>
      </c>
      <c r="O65" s="301">
        <f>SUM(C65:N65)</f>
        <v>173118.74322881983</v>
      </c>
    </row>
    <row r="66" spans="2:17" ht="14.25" customHeight="1" thickBot="1" x14ac:dyDescent="0.3">
      <c r="B66" s="271" t="s">
        <v>195</v>
      </c>
      <c r="C66" s="281">
        <f>'Am Table'!E9</f>
        <v>17766.894544791394</v>
      </c>
      <c r="D66" s="281">
        <f>'Am Table'!E10</f>
        <v>17796.506035699382</v>
      </c>
      <c r="E66" s="281">
        <f>'Am Table'!E11</f>
        <v>17826.166879092212</v>
      </c>
      <c r="F66" s="281">
        <f>'Am Table'!E12</f>
        <v>17855.877157224029</v>
      </c>
      <c r="G66" s="281">
        <f>'Am Table'!E13</f>
        <v>17885.636952486071</v>
      </c>
      <c r="H66" s="281">
        <f>'Am Table'!E14</f>
        <v>17915.446347406883</v>
      </c>
      <c r="I66" s="281">
        <f>'Am Table'!E15</f>
        <v>17945.305424652557</v>
      </c>
      <c r="J66" s="281">
        <f>'Am Table'!E16</f>
        <v>17975.214267026982</v>
      </c>
      <c r="K66" s="281">
        <f>'Am Table'!E17</f>
        <v>18005.172957472023</v>
      </c>
      <c r="L66" s="281">
        <f>'Am Table'!E18</f>
        <v>18035.181579067812</v>
      </c>
      <c r="M66" s="281">
        <f>'Am Table'!E19</f>
        <v>18065.240215032925</v>
      </c>
      <c r="N66" s="300">
        <f>'Am Table'!E20</f>
        <v>18095.348948724648</v>
      </c>
      <c r="O66" s="302">
        <f>SUM(C66:N66)</f>
        <v>215167.99130867692</v>
      </c>
    </row>
    <row r="67" spans="2:17" ht="7.9" customHeight="1" thickBot="1" x14ac:dyDescent="0.3">
      <c r="B67" s="229"/>
      <c r="C67" s="282"/>
      <c r="D67" s="282"/>
      <c r="E67" s="282"/>
      <c r="F67" s="282"/>
      <c r="G67" s="282"/>
      <c r="H67" s="282"/>
      <c r="I67" s="282"/>
      <c r="J67" s="282"/>
      <c r="K67" s="282"/>
      <c r="L67" s="282"/>
      <c r="M67" s="282"/>
      <c r="N67" s="282"/>
      <c r="O67" s="283"/>
    </row>
    <row r="68" spans="2:17" ht="13.5" customHeight="1" thickBot="1" x14ac:dyDescent="0.3">
      <c r="B68" s="275" t="s">
        <v>167</v>
      </c>
      <c r="C68" s="284">
        <f>C62-C64</f>
        <v>36817.184116875273</v>
      </c>
      <c r="D68" s="284">
        <f t="shared" ref="D68:N68" si="18">D62-D64</f>
        <v>41669.548241875294</v>
      </c>
      <c r="E68" s="284">
        <f t="shared" si="18"/>
        <v>78483.880961875271</v>
      </c>
      <c r="F68" s="284">
        <f t="shared" si="18"/>
        <v>99342.4498218753</v>
      </c>
      <c r="G68" s="284">
        <f t="shared" si="18"/>
        <v>115563.7632468753</v>
      </c>
      <c r="H68" s="284">
        <f t="shared" si="18"/>
        <v>122727.88107187529</v>
      </c>
      <c r="I68" s="284">
        <f t="shared" si="18"/>
        <v>120919.43066187527</v>
      </c>
      <c r="J68" s="284">
        <f t="shared" si="18"/>
        <v>136604.30877187528</v>
      </c>
      <c r="K68" s="284">
        <f t="shared" si="18"/>
        <v>122265.8445168753</v>
      </c>
      <c r="L68" s="284">
        <f t="shared" si="18"/>
        <v>96547.437121875279</v>
      </c>
      <c r="M68" s="284">
        <f t="shared" si="18"/>
        <v>82014.479641875267</v>
      </c>
      <c r="N68" s="303">
        <f t="shared" si="18"/>
        <v>88858.28198437528</v>
      </c>
      <c r="O68" s="304">
        <f t="shared" ref="O68" si="19">SUM(C68:N68)</f>
        <v>1141814.4901600035</v>
      </c>
    </row>
    <row r="69" spans="2:17" ht="6" customHeight="1" thickBot="1" x14ac:dyDescent="0.3">
      <c r="B69" s="276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</row>
    <row r="70" spans="2:17" ht="15.4" customHeight="1" thickBot="1" x14ac:dyDescent="0.3">
      <c r="B70" s="286" t="s">
        <v>181</v>
      </c>
      <c r="C70" s="287">
        <f>'Fin Calc'!$C$7*'Project Budget and Assumptions'!$F$19/12</f>
        <v>10942.75</v>
      </c>
      <c r="D70" s="287">
        <f>'Fin Calc'!$C$7*'Project Budget and Assumptions'!$F$19/12</f>
        <v>10942.75</v>
      </c>
      <c r="E70" s="287">
        <f>'Fin Calc'!$C$7*'Project Budget and Assumptions'!$F$19/12</f>
        <v>10942.75</v>
      </c>
      <c r="F70" s="287">
        <f>'Fin Calc'!$C$7*'Project Budget and Assumptions'!$F$19/12</f>
        <v>10942.75</v>
      </c>
      <c r="G70" s="287">
        <f>'Fin Calc'!$C$7*'Project Budget and Assumptions'!$F$19/12</f>
        <v>10942.75</v>
      </c>
      <c r="H70" s="287">
        <f>'Fin Calc'!$C$7*'Project Budget and Assumptions'!$F$19/12</f>
        <v>10942.75</v>
      </c>
      <c r="I70" s="287">
        <f>'Fin Calc'!$C$7*'Project Budget and Assumptions'!$F$19/12</f>
        <v>10942.75</v>
      </c>
      <c r="J70" s="287">
        <f>'Fin Calc'!$C$7*'Project Budget and Assumptions'!$F$19/12</f>
        <v>10942.75</v>
      </c>
      <c r="K70" s="287">
        <f>'Fin Calc'!$C$7*'Project Budget and Assumptions'!$F$19/12</f>
        <v>10942.75</v>
      </c>
      <c r="L70" s="287">
        <f>'Fin Calc'!$C$7*'Project Budget and Assumptions'!$F$19/12</f>
        <v>10942.75</v>
      </c>
      <c r="M70" s="287">
        <f>'Fin Calc'!$C$7*'Project Budget and Assumptions'!$F$19/12</f>
        <v>10942.75</v>
      </c>
      <c r="N70" s="305">
        <f>'Fin Calc'!$C$7*'Project Budget and Assumptions'!$F$19/12</f>
        <v>10942.75</v>
      </c>
      <c r="O70" s="307">
        <f>SUM(C70:N70)</f>
        <v>131313</v>
      </c>
      <c r="Q70" s="510"/>
    </row>
    <row r="71" spans="2:17" ht="15.4" customHeight="1" thickBot="1" x14ac:dyDescent="0.3">
      <c r="B71" s="288" t="s">
        <v>163</v>
      </c>
      <c r="C71" s="289">
        <f>C68-C70</f>
        <v>25874.434116875273</v>
      </c>
      <c r="D71" s="289">
        <f t="shared" ref="D71:N71" si="20">D68-D70</f>
        <v>30726.798241875294</v>
      </c>
      <c r="E71" s="289">
        <f t="shared" si="20"/>
        <v>67541.130961875271</v>
      </c>
      <c r="F71" s="289">
        <f t="shared" si="20"/>
        <v>88399.6998218753</v>
      </c>
      <c r="G71" s="289">
        <f t="shared" si="20"/>
        <v>104621.0132468753</v>
      </c>
      <c r="H71" s="289">
        <f t="shared" si="20"/>
        <v>111785.13107187529</v>
      </c>
      <c r="I71" s="289">
        <f t="shared" si="20"/>
        <v>109976.68066187527</v>
      </c>
      <c r="J71" s="289">
        <f t="shared" si="20"/>
        <v>125661.55877187528</v>
      </c>
      <c r="K71" s="289">
        <f t="shared" si="20"/>
        <v>111323.0945168753</v>
      </c>
      <c r="L71" s="289">
        <f t="shared" si="20"/>
        <v>85604.687121875279</v>
      </c>
      <c r="M71" s="289">
        <f t="shared" si="20"/>
        <v>71071.729641875267</v>
      </c>
      <c r="N71" s="306">
        <f t="shared" si="20"/>
        <v>77915.53198437528</v>
      </c>
      <c r="O71" s="304">
        <f>SUM(C71:N71)</f>
        <v>1010501.4901600033</v>
      </c>
      <c r="Q71" s="515"/>
    </row>
    <row r="72" spans="2:17" ht="6" customHeight="1" thickBot="1" x14ac:dyDescent="0.3">
      <c r="B72" s="273"/>
      <c r="C72" s="285"/>
      <c r="D72" s="285"/>
      <c r="E72" s="285"/>
      <c r="F72" s="285"/>
      <c r="G72" s="285"/>
      <c r="H72" s="285"/>
      <c r="I72" s="285"/>
      <c r="J72" s="285"/>
      <c r="K72" s="285"/>
      <c r="L72" s="285"/>
      <c r="M72" s="285"/>
      <c r="N72" s="285"/>
      <c r="O72" s="291"/>
    </row>
    <row r="73" spans="2:17" ht="14.25" customHeight="1" thickBot="1" x14ac:dyDescent="0.3">
      <c r="B73" s="286" t="s">
        <v>162</v>
      </c>
      <c r="C73" s="245"/>
      <c r="D73" s="245"/>
      <c r="E73" s="245"/>
      <c r="F73" s="245"/>
      <c r="G73" s="245"/>
      <c r="H73" s="245"/>
      <c r="I73" s="245"/>
      <c r="J73" s="245"/>
      <c r="K73" s="245"/>
      <c r="L73" s="245"/>
      <c r="M73" s="245"/>
      <c r="N73" s="245"/>
      <c r="O73" s="296"/>
    </row>
    <row r="74" spans="2:17" ht="14.25" customHeight="1" x14ac:dyDescent="0.25">
      <c r="B74" s="292" t="s">
        <v>166</v>
      </c>
      <c r="C74" s="290">
        <f>C71/'Fin Calc'!$C$7</f>
        <v>2.9556594682409896E-3</v>
      </c>
      <c r="D74" s="290">
        <f>D71/'Fin Calc'!$C$7</f>
        <v>3.5099493091173715E-3</v>
      </c>
      <c r="E74" s="290">
        <f>E71/'Fin Calc'!$C$7</f>
        <v>7.7152830597741967E-3</v>
      </c>
      <c r="F74" s="290">
        <f>F71/'Fin Calc'!$C$7</f>
        <v>1.0097975808397717E-2</v>
      </c>
      <c r="G74" s="290">
        <f>G71/'Fin Calc'!$C$7</f>
        <v>1.1950950771843835E-2</v>
      </c>
      <c r="H74" s="290">
        <f>H71/'Fin Calc'!$C$7</f>
        <v>1.2769314280216958E-2</v>
      </c>
      <c r="I74" s="290">
        <f>I71/'Fin Calc'!$C$7</f>
        <v>1.2562733392186068E-2</v>
      </c>
      <c r="J74" s="290">
        <f>J71/'Fin Calc'!$C$7</f>
        <v>1.4354430875679705E-2</v>
      </c>
      <c r="K74" s="290">
        <f>K71/'Fin Calc'!$C$7</f>
        <v>1.271653543634773E-2</v>
      </c>
      <c r="L74" s="290">
        <f>L71/'Fin Calc'!$C$7</f>
        <v>9.7786990383901765E-3</v>
      </c>
      <c r="M74" s="290">
        <f>M71/'Fin Calc'!$C$7</f>
        <v>8.11858646613914E-3</v>
      </c>
      <c r="N74" s="308">
        <f>N71/'Fin Calc'!$C$7</f>
        <v>8.9003600539598448E-3</v>
      </c>
      <c r="O74" s="384">
        <f>SUM(C74:N74)</f>
        <v>0.11543047796029375</v>
      </c>
    </row>
    <row r="75" spans="2:17" ht="15" customHeight="1" thickBot="1" x14ac:dyDescent="0.3">
      <c r="B75" s="293" t="s">
        <v>168</v>
      </c>
      <c r="C75" s="396">
        <f>(C62-C65-C70)/'Fin Calc'!$C$7</f>
        <v>4.9851875284625284E-3</v>
      </c>
      <c r="D75" s="396">
        <f>(D62-D65-D70)/'Fin Calc'!$C$7</f>
        <v>5.5428599161059461E-3</v>
      </c>
      <c r="E75" s="396">
        <f>(E62-E65-E70)/'Fin Calc'!$C$7</f>
        <v>9.7515818511077525E-3</v>
      </c>
      <c r="F75" s="396">
        <f>(F62-F65-F70)/'Fin Calc'!$C$7</f>
        <v>1.2137668431050163E-2</v>
      </c>
      <c r="G75" s="396">
        <f>(G62-G65-G70)/'Fin Calc'!$C$7</f>
        <v>1.3994042882200701E-2</v>
      </c>
      <c r="H75" s="396">
        <f>(H62-H65-H70)/'Fin Calc'!$C$7</f>
        <v>1.4815811544091085E-2</v>
      </c>
      <c r="I75" s="396">
        <f>(I62-I65-I70)/'Fin Calc'!$C$7</f>
        <v>1.461264148483332E-2</v>
      </c>
      <c r="J75" s="396">
        <f>(J62-J65-J70)/'Fin Calc'!$C$7</f>
        <v>1.6407755481814699E-2</v>
      </c>
      <c r="K75" s="396">
        <f>(K62-K65-K70)/'Fin Calc'!$C$7</f>
        <v>1.4773282250159617E-2</v>
      </c>
      <c r="L75" s="396">
        <f>(L62-L65-L70)/'Fin Calc'!$C$7</f>
        <v>1.1838873763558416E-2</v>
      </c>
      <c r="M75" s="396">
        <f>(M62-M65-M70)/'Fin Calc'!$C$7</f>
        <v>1.0182194815849329E-2</v>
      </c>
      <c r="N75" s="397">
        <f>(N62-N65-N70)/'Fin Calc'!$C$7</f>
        <v>1.0967407750919549E-2</v>
      </c>
      <c r="O75" s="385">
        <f>SUM(C75:N75)</f>
        <v>0.1400093077001531</v>
      </c>
    </row>
    <row r="76" spans="2:17" ht="13.15" customHeight="1" x14ac:dyDescent="0.25"/>
  </sheetData>
  <customSheetViews>
    <customSheetView guid="{21726E00-23FB-473B-B23F-4139D4F7D4CA}" showPageBreaks="1" showGridLines="0" fitToPage="1" showRuler="0">
      <pageMargins left="0" right="0" top="0" bottom="0" header="0" footer="0"/>
      <printOptions horizontalCentered="1" verticalCentered="1"/>
      <pageSetup scale="80" orientation="landscape" horizontalDpi="4294967294"/>
      <headerFooter alignWithMargins="0"/>
    </customSheetView>
    <customSheetView guid="{8C149CFD-F183-4DEA-93BF-382069DDCC79}" showGridLines="0" fitToPage="1" showRuler="0">
      <pageMargins left="0" right="0" top="0" bottom="0" header="0" footer="0"/>
      <printOptions horizontalCentered="1" verticalCentered="1"/>
      <pageSetup scale="80" orientation="landscape" horizontalDpi="4294967294"/>
      <headerFooter alignWithMargins="0"/>
    </customSheetView>
  </customSheetViews>
  <phoneticPr fontId="0" type="noConversion"/>
  <printOptions horizontalCentered="1" verticalCentered="1"/>
  <pageMargins left="0.25" right="0.25" top="0.25" bottom="0.25" header="0.25" footer="0.25"/>
  <pageSetup scale="80" orientation="landscape" horizontalDpi="4294967294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J62"/>
  <sheetViews>
    <sheetView showGridLines="0" topLeftCell="A10" zoomScale="130" zoomScaleNormal="130" workbookViewId="0">
      <selection activeCell="H51" sqref="H51"/>
    </sheetView>
  </sheetViews>
  <sheetFormatPr defaultColWidth="11.453125" defaultRowHeight="10" x14ac:dyDescent="0.2"/>
  <cols>
    <col min="1" max="1" width="0.81640625" style="29" customWidth="1"/>
    <col min="2" max="2" width="1.1796875" style="29" customWidth="1"/>
    <col min="3" max="3" width="36.81640625" style="29" bestFit="1" customWidth="1"/>
    <col min="4" max="8" width="11.7265625" style="29" customWidth="1"/>
    <col min="9" max="9" width="1.26953125" style="29" customWidth="1"/>
    <col min="10" max="10" width="0.81640625" style="29" customWidth="1"/>
    <col min="11" max="16384" width="11.453125" style="29"/>
  </cols>
  <sheetData>
    <row r="1" spans="2:9" ht="4.5" customHeight="1" thickBot="1" x14ac:dyDescent="0.25"/>
    <row r="2" spans="2:9" ht="6" customHeight="1" thickTop="1" thickBot="1" x14ac:dyDescent="0.25">
      <c r="B2" s="48"/>
      <c r="C2" s="49"/>
      <c r="D2" s="49"/>
      <c r="E2" s="49"/>
      <c r="F2" s="49"/>
      <c r="G2" s="49"/>
      <c r="H2" s="49"/>
      <c r="I2" s="50"/>
    </row>
    <row r="3" spans="2:9" ht="11" thickBot="1" x14ac:dyDescent="0.25">
      <c r="B3" s="51"/>
      <c r="C3" s="15"/>
      <c r="D3" s="21" t="s">
        <v>25</v>
      </c>
      <c r="E3" s="16" t="s">
        <v>26</v>
      </c>
      <c r="F3" s="16" t="s">
        <v>27</v>
      </c>
      <c r="G3" s="94" t="s">
        <v>28</v>
      </c>
      <c r="H3" s="34" t="s">
        <v>69</v>
      </c>
      <c r="I3" s="52"/>
    </row>
    <row r="4" spans="2:9" ht="10.5" x14ac:dyDescent="0.2">
      <c r="B4" s="51"/>
      <c r="C4" s="18" t="s">
        <v>117</v>
      </c>
      <c r="D4" s="429"/>
      <c r="E4" s="428"/>
      <c r="F4" s="428"/>
      <c r="G4" s="428"/>
      <c r="H4" s="428"/>
      <c r="I4" s="52"/>
    </row>
    <row r="5" spans="2:9" x14ac:dyDescent="0.2">
      <c r="B5" s="51"/>
      <c r="C5" s="241" t="s">
        <v>118</v>
      </c>
      <c r="D5" s="345">
        <f>'Op Budget (Yr1)'!O26</f>
        <v>3033694.8500000006</v>
      </c>
      <c r="E5" s="345">
        <f>D5*1.03</f>
        <v>3124705.6955000008</v>
      </c>
      <c r="F5" s="346">
        <f>E5*1.03</f>
        <v>3218446.8663650011</v>
      </c>
      <c r="G5" s="347">
        <f>F5*1.03</f>
        <v>3315000.2723559514</v>
      </c>
      <c r="H5" s="348">
        <f>G5*1.03</f>
        <v>3414450.2805266301</v>
      </c>
      <c r="I5" s="52"/>
    </row>
    <row r="6" spans="2:9" x14ac:dyDescent="0.2">
      <c r="B6" s="51"/>
      <c r="C6" s="241" t="s">
        <v>119</v>
      </c>
      <c r="D6" s="345">
        <f>'Op Budget (Yr1)'!O27</f>
        <v>164478</v>
      </c>
      <c r="E6" s="345">
        <f t="shared" ref="E6:H9" si="0">D6*1.03</f>
        <v>169412.34</v>
      </c>
      <c r="F6" s="346">
        <f t="shared" si="0"/>
        <v>174494.7102</v>
      </c>
      <c r="G6" s="347">
        <f t="shared" si="0"/>
        <v>179729.55150600002</v>
      </c>
      <c r="H6" s="348">
        <f t="shared" si="0"/>
        <v>185121.43805118001</v>
      </c>
      <c r="I6" s="52"/>
    </row>
    <row r="7" spans="2:9" x14ac:dyDescent="0.2">
      <c r="B7" s="51"/>
      <c r="C7" s="241" t="s">
        <v>120</v>
      </c>
      <c r="D7" s="345">
        <f>'Op Budget (Yr1)'!O28</f>
        <v>121347.79400000001</v>
      </c>
      <c r="E7" s="345">
        <f t="shared" si="0"/>
        <v>124988.22782000001</v>
      </c>
      <c r="F7" s="346">
        <f t="shared" si="0"/>
        <v>128737.87465460002</v>
      </c>
      <c r="G7" s="347">
        <f t="shared" si="0"/>
        <v>132600.01089423802</v>
      </c>
      <c r="H7" s="348">
        <f t="shared" si="0"/>
        <v>136578.01122106516</v>
      </c>
      <c r="I7" s="52"/>
    </row>
    <row r="8" spans="2:9" x14ac:dyDescent="0.2">
      <c r="B8" s="51"/>
      <c r="C8" s="241" t="s">
        <v>121</v>
      </c>
      <c r="D8" s="345">
        <f>'Op Budget (Yr1)'!O29</f>
        <v>60000</v>
      </c>
      <c r="E8" s="345">
        <f t="shared" si="0"/>
        <v>61800</v>
      </c>
      <c r="F8" s="346">
        <f t="shared" si="0"/>
        <v>63654</v>
      </c>
      <c r="G8" s="347">
        <f t="shared" si="0"/>
        <v>65563.62</v>
      </c>
      <c r="H8" s="348">
        <f t="shared" si="0"/>
        <v>67530.528599999991</v>
      </c>
      <c r="I8" s="52"/>
    </row>
    <row r="9" spans="2:9" ht="11" thickBot="1" x14ac:dyDescent="0.25">
      <c r="B9" s="51"/>
      <c r="C9" s="344" t="s">
        <v>5</v>
      </c>
      <c r="D9" s="349">
        <f>'Op Budget (Yr1)'!O30</f>
        <v>3379520.6440000008</v>
      </c>
      <c r="E9" s="349">
        <f t="shared" si="0"/>
        <v>3480906.2633200008</v>
      </c>
      <c r="F9" s="350">
        <f t="shared" si="0"/>
        <v>3585333.4512196011</v>
      </c>
      <c r="G9" s="351">
        <f t="shared" si="0"/>
        <v>3692893.4547561891</v>
      </c>
      <c r="H9" s="352">
        <f t="shared" si="0"/>
        <v>3803680.2583988751</v>
      </c>
      <c r="I9" s="52"/>
    </row>
    <row r="10" spans="2:9" ht="5.25" customHeight="1" thickBot="1" x14ac:dyDescent="0.25">
      <c r="B10" s="51"/>
      <c r="C10" s="343"/>
      <c r="D10" s="353"/>
      <c r="E10" s="353"/>
      <c r="F10" s="354"/>
      <c r="G10" s="354"/>
      <c r="H10" s="355"/>
      <c r="I10" s="52"/>
    </row>
    <row r="11" spans="2:9" ht="12.75" customHeight="1" x14ac:dyDescent="0.2">
      <c r="B11" s="51"/>
      <c r="C11" s="28" t="s">
        <v>6</v>
      </c>
      <c r="D11" s="356"/>
      <c r="E11" s="356"/>
      <c r="F11" s="356"/>
      <c r="G11" s="356"/>
      <c r="H11" s="357"/>
      <c r="I11" s="52"/>
    </row>
    <row r="12" spans="2:9" ht="10.5" x14ac:dyDescent="0.2">
      <c r="B12" s="51"/>
      <c r="C12" s="62" t="s">
        <v>7</v>
      </c>
      <c r="D12" s="345"/>
      <c r="E12" s="345"/>
      <c r="F12" s="358"/>
      <c r="G12" s="359"/>
      <c r="H12" s="360"/>
      <c r="I12" s="52"/>
    </row>
    <row r="13" spans="2:9" x14ac:dyDescent="0.2">
      <c r="B13" s="51"/>
      <c r="C13" s="61" t="s">
        <v>8</v>
      </c>
      <c r="D13" s="361">
        <f>'Op Budget (Yr1)'!O34</f>
        <v>72000</v>
      </c>
      <c r="E13" s="361">
        <f>D13</f>
        <v>72000</v>
      </c>
      <c r="F13" s="361">
        <f t="shared" ref="F13:H13" si="1">E13</f>
        <v>72000</v>
      </c>
      <c r="G13" s="361">
        <f t="shared" si="1"/>
        <v>72000</v>
      </c>
      <c r="H13" s="361">
        <f t="shared" si="1"/>
        <v>72000</v>
      </c>
      <c r="I13" s="52"/>
    </row>
    <row r="14" spans="2:9" x14ac:dyDescent="0.2">
      <c r="B14" s="51"/>
      <c r="C14" s="61" t="s">
        <v>9</v>
      </c>
      <c r="D14" s="361">
        <f>'Op Budget (Yr1)'!O35</f>
        <v>19200</v>
      </c>
      <c r="E14" s="345">
        <f>D14*1.03</f>
        <v>19776</v>
      </c>
      <c r="F14" s="362">
        <f t="shared" ref="F14:F21" si="2">E14*1.03</f>
        <v>20369.28</v>
      </c>
      <c r="G14" s="363">
        <f t="shared" ref="G14:H14" si="3">F14*1.03</f>
        <v>20980.358400000001</v>
      </c>
      <c r="H14" s="364">
        <f t="shared" si="3"/>
        <v>21609.769152000001</v>
      </c>
      <c r="I14" s="52"/>
    </row>
    <row r="15" spans="2:9" x14ac:dyDescent="0.2">
      <c r="B15" s="51"/>
      <c r="C15" s="61" t="s">
        <v>10</v>
      </c>
      <c r="D15" s="361">
        <f>'Op Budget (Yr1)'!O36</f>
        <v>60000</v>
      </c>
      <c r="E15" s="345">
        <f t="shared" ref="E15:H35" si="4">D15*1.03</f>
        <v>61800</v>
      </c>
      <c r="F15" s="362">
        <f t="shared" si="2"/>
        <v>63654</v>
      </c>
      <c r="G15" s="363">
        <f t="shared" ref="G15:H15" si="5">F15*1.03</f>
        <v>65563.62</v>
      </c>
      <c r="H15" s="364">
        <f t="shared" si="5"/>
        <v>67530.528599999991</v>
      </c>
      <c r="I15" s="52"/>
    </row>
    <row r="16" spans="2:9" ht="10.5" x14ac:dyDescent="0.25">
      <c r="B16" s="51"/>
      <c r="C16" s="45" t="s">
        <v>11</v>
      </c>
      <c r="D16" s="365">
        <f>'Op Budget (Yr1)'!O37</f>
        <v>151200</v>
      </c>
      <c r="E16" s="366">
        <f t="shared" si="4"/>
        <v>155736</v>
      </c>
      <c r="F16" s="367">
        <f t="shared" si="2"/>
        <v>160408.08000000002</v>
      </c>
      <c r="G16" s="368">
        <f t="shared" ref="G16:H16" si="6">F16*1.03</f>
        <v>165220.32240000003</v>
      </c>
      <c r="H16" s="369">
        <f t="shared" si="6"/>
        <v>170176.93207200003</v>
      </c>
      <c r="I16" s="52"/>
    </row>
    <row r="17" spans="2:9" ht="10.5" x14ac:dyDescent="0.2">
      <c r="B17" s="51"/>
      <c r="C17" s="45" t="s">
        <v>12</v>
      </c>
      <c r="D17" s="361"/>
      <c r="E17" s="345"/>
      <c r="F17" s="362"/>
      <c r="G17" s="363"/>
      <c r="H17" s="364"/>
      <c r="I17" s="52"/>
    </row>
    <row r="18" spans="2:9" x14ac:dyDescent="0.2">
      <c r="B18" s="51"/>
      <c r="C18" s="61" t="s">
        <v>159</v>
      </c>
      <c r="D18" s="361">
        <f>'Op Budget (Yr1)'!O39</f>
        <v>276000</v>
      </c>
      <c r="E18" s="345">
        <f>D18*1.02</f>
        <v>281520</v>
      </c>
      <c r="F18" s="362">
        <f t="shared" si="2"/>
        <v>289965.60000000003</v>
      </c>
      <c r="G18" s="363">
        <f t="shared" ref="G18:H18" si="7">F18*1.03</f>
        <v>298664.56800000003</v>
      </c>
      <c r="H18" s="364">
        <f t="shared" si="7"/>
        <v>307624.50504000002</v>
      </c>
      <c r="I18" s="52"/>
    </row>
    <row r="19" spans="2:9" x14ac:dyDescent="0.2">
      <c r="B19" s="51"/>
      <c r="C19" s="61" t="s">
        <v>153</v>
      </c>
      <c r="D19" s="361">
        <f>'Op Budget (Yr1)'!O40</f>
        <v>96000</v>
      </c>
      <c r="E19" s="345">
        <f>D19*1.02</f>
        <v>97920</v>
      </c>
      <c r="F19" s="362">
        <f t="shared" si="2"/>
        <v>100857.60000000001</v>
      </c>
      <c r="G19" s="363">
        <f t="shared" ref="G19:H19" si="8">F19*1.03</f>
        <v>103883.32800000001</v>
      </c>
      <c r="H19" s="364">
        <f t="shared" si="8"/>
        <v>106999.82784000001</v>
      </c>
      <c r="I19" s="52"/>
    </row>
    <row r="20" spans="2:9" x14ac:dyDescent="0.2">
      <c r="B20" s="51"/>
      <c r="C20" s="61" t="s">
        <v>154</v>
      </c>
      <c r="D20" s="361">
        <f>'Op Budget (Yr1)'!O41</f>
        <v>60000</v>
      </c>
      <c r="E20" s="345">
        <f>D20*1.02</f>
        <v>61200</v>
      </c>
      <c r="F20" s="362">
        <f t="shared" si="2"/>
        <v>63036</v>
      </c>
      <c r="G20" s="363">
        <f t="shared" ref="G20:H20" si="9">F20*1.03</f>
        <v>64927.08</v>
      </c>
      <c r="H20" s="364">
        <f t="shared" si="9"/>
        <v>66874.892399999997</v>
      </c>
      <c r="I20" s="52"/>
    </row>
    <row r="21" spans="2:9" ht="10.5" x14ac:dyDescent="0.25">
      <c r="B21" s="51"/>
      <c r="C21" s="45" t="s">
        <v>13</v>
      </c>
      <c r="D21" s="365">
        <f>'Op Budget (Yr1)'!O42</f>
        <v>432000</v>
      </c>
      <c r="E21" s="366">
        <f t="shared" si="4"/>
        <v>444960</v>
      </c>
      <c r="F21" s="367">
        <f t="shared" si="2"/>
        <v>458308.8</v>
      </c>
      <c r="G21" s="368">
        <f t="shared" ref="G21:H21" si="10">F21*1.03</f>
        <v>472058.06400000001</v>
      </c>
      <c r="H21" s="369">
        <f t="shared" si="10"/>
        <v>486219.80592000001</v>
      </c>
      <c r="I21" s="52"/>
    </row>
    <row r="22" spans="2:9" s="33" customFormat="1" ht="10.5" x14ac:dyDescent="0.25">
      <c r="B22" s="46"/>
      <c r="C22" s="62" t="s">
        <v>14</v>
      </c>
      <c r="D22" s="367"/>
      <c r="E22" s="367"/>
      <c r="F22" s="367"/>
      <c r="G22" s="367"/>
      <c r="H22" s="369"/>
      <c r="I22" s="47"/>
    </row>
    <row r="23" spans="2:9" x14ac:dyDescent="0.2">
      <c r="B23" s="51"/>
      <c r="C23" s="61" t="s">
        <v>155</v>
      </c>
      <c r="D23" s="361">
        <f>'Op Budget (Yr1)'!O44</f>
        <v>219668.84186000004</v>
      </c>
      <c r="E23" s="345">
        <f>D23*1.02</f>
        <v>224062.21869720003</v>
      </c>
      <c r="F23" s="345">
        <f>E23*1.02</f>
        <v>228543.46307114404</v>
      </c>
      <c r="G23" s="345">
        <f>F23*1.02</f>
        <v>233114.33233256693</v>
      </c>
      <c r="H23" s="370">
        <f>G23*1.02</f>
        <v>237776.61897921827</v>
      </c>
      <c r="I23" s="52"/>
    </row>
    <row r="24" spans="2:9" ht="10.5" x14ac:dyDescent="0.25">
      <c r="B24" s="51"/>
      <c r="C24" s="62" t="s">
        <v>15</v>
      </c>
      <c r="D24" s="365">
        <f>'Op Budget (Yr1)'!O45</f>
        <v>219668.84186000004</v>
      </c>
      <c r="E24" s="366">
        <f>E23</f>
        <v>224062.21869720003</v>
      </c>
      <c r="F24" s="366">
        <f t="shared" ref="F24:H24" si="11">F23</f>
        <v>228543.46307114404</v>
      </c>
      <c r="G24" s="366">
        <f t="shared" si="11"/>
        <v>233114.33233256693</v>
      </c>
      <c r="H24" s="371">
        <f t="shared" si="11"/>
        <v>237776.61897921827</v>
      </c>
      <c r="I24" s="52"/>
    </row>
    <row r="25" spans="2:9" ht="10.5" x14ac:dyDescent="0.2">
      <c r="B25" s="51"/>
      <c r="C25" s="62" t="s">
        <v>16</v>
      </c>
      <c r="D25" s="361"/>
      <c r="E25" s="345"/>
      <c r="F25" s="362"/>
      <c r="G25" s="362"/>
      <c r="H25" s="364"/>
      <c r="I25" s="52"/>
    </row>
    <row r="26" spans="2:9" x14ac:dyDescent="0.2">
      <c r="B26" s="51"/>
      <c r="C26" s="61" t="s">
        <v>156</v>
      </c>
      <c r="D26" s="361">
        <f>'Op Budget (Yr1)'!O47</f>
        <v>9600</v>
      </c>
      <c r="E26" s="345">
        <f t="shared" si="4"/>
        <v>9888</v>
      </c>
      <c r="F26" s="345">
        <f t="shared" si="4"/>
        <v>10184.64</v>
      </c>
      <c r="G26" s="345">
        <f t="shared" si="4"/>
        <v>10490.1792</v>
      </c>
      <c r="H26" s="370">
        <f t="shared" si="4"/>
        <v>10804.884576</v>
      </c>
      <c r="I26" s="52"/>
    </row>
    <row r="27" spans="2:9" x14ac:dyDescent="0.2">
      <c r="B27" s="51"/>
      <c r="C27" s="61" t="s">
        <v>17</v>
      </c>
      <c r="D27" s="361">
        <f>'Op Budget (Yr1)'!O48</f>
        <v>6000</v>
      </c>
      <c r="E27" s="345">
        <f t="shared" si="4"/>
        <v>6180</v>
      </c>
      <c r="F27" s="345">
        <f t="shared" si="4"/>
        <v>6365.4000000000005</v>
      </c>
      <c r="G27" s="345">
        <f t="shared" si="4"/>
        <v>6556.362000000001</v>
      </c>
      <c r="H27" s="370">
        <f t="shared" si="4"/>
        <v>6753.0528600000016</v>
      </c>
      <c r="I27" s="52"/>
    </row>
    <row r="28" spans="2:9" x14ac:dyDescent="0.2">
      <c r="B28" s="51"/>
      <c r="C28" s="61" t="s">
        <v>18</v>
      </c>
      <c r="D28" s="361">
        <f>'Op Budget (Yr1)'!O49</f>
        <v>6000</v>
      </c>
      <c r="E28" s="345">
        <f t="shared" si="4"/>
        <v>6180</v>
      </c>
      <c r="F28" s="345">
        <f t="shared" si="4"/>
        <v>6365.4000000000005</v>
      </c>
      <c r="G28" s="345">
        <f t="shared" si="4"/>
        <v>6556.362000000001</v>
      </c>
      <c r="H28" s="370">
        <f t="shared" si="4"/>
        <v>6753.0528600000016</v>
      </c>
      <c r="I28" s="52"/>
    </row>
    <row r="29" spans="2:9" x14ac:dyDescent="0.2">
      <c r="B29" s="51"/>
      <c r="C29" s="61" t="s">
        <v>19</v>
      </c>
      <c r="D29" s="361">
        <f>'Op Budget (Yr1)'!O50</f>
        <v>3600</v>
      </c>
      <c r="E29" s="345">
        <f t="shared" si="4"/>
        <v>3708</v>
      </c>
      <c r="F29" s="345">
        <f t="shared" si="4"/>
        <v>3819.2400000000002</v>
      </c>
      <c r="G29" s="345">
        <f t="shared" si="4"/>
        <v>3933.8172000000004</v>
      </c>
      <c r="H29" s="370">
        <f t="shared" si="4"/>
        <v>4051.8317160000006</v>
      </c>
      <c r="I29" s="52"/>
    </row>
    <row r="30" spans="2:9" s="33" customFormat="1" ht="10.5" x14ac:dyDescent="0.25">
      <c r="B30" s="46"/>
      <c r="C30" s="45" t="s">
        <v>20</v>
      </c>
      <c r="D30" s="365">
        <f>'Op Budget (Yr1)'!O51</f>
        <v>25200</v>
      </c>
      <c r="E30" s="366">
        <f t="shared" si="4"/>
        <v>25956</v>
      </c>
      <c r="F30" s="366">
        <f t="shared" si="4"/>
        <v>26734.68</v>
      </c>
      <c r="G30" s="366">
        <f t="shared" si="4"/>
        <v>27536.720400000002</v>
      </c>
      <c r="H30" s="371">
        <f t="shared" si="4"/>
        <v>28362.822012000004</v>
      </c>
      <c r="I30" s="47"/>
    </row>
    <row r="31" spans="2:9" ht="10.5" x14ac:dyDescent="0.25">
      <c r="B31" s="51"/>
      <c r="C31" s="45" t="s">
        <v>157</v>
      </c>
      <c r="D31" s="365">
        <f>'Op Budget (Yr1)'!O52</f>
        <v>40800</v>
      </c>
      <c r="E31" s="366">
        <f>D31*1.03</f>
        <v>42024</v>
      </c>
      <c r="F31" s="367">
        <f t="shared" si="4"/>
        <v>43284.72</v>
      </c>
      <c r="G31" s="368">
        <f t="shared" si="4"/>
        <v>44583.261600000005</v>
      </c>
      <c r="H31" s="398">
        <f t="shared" si="4"/>
        <v>45920.759448000004</v>
      </c>
      <c r="I31" s="52"/>
    </row>
    <row r="32" spans="2:9" ht="10.5" x14ac:dyDescent="0.25">
      <c r="B32" s="51"/>
      <c r="C32" s="62" t="s">
        <v>21</v>
      </c>
      <c r="D32" s="365">
        <f>'Op Budget (Yr1)'!O53</f>
        <v>405542.47727999999</v>
      </c>
      <c r="E32" s="366">
        <f t="shared" si="4"/>
        <v>417708.75159840001</v>
      </c>
      <c r="F32" s="366">
        <f t="shared" si="4"/>
        <v>430240.01414635201</v>
      </c>
      <c r="G32" s="366">
        <f t="shared" si="4"/>
        <v>443147.21457074257</v>
      </c>
      <c r="H32" s="371">
        <f t="shared" si="4"/>
        <v>456441.63100786484</v>
      </c>
      <c r="I32" s="52"/>
    </row>
    <row r="33" spans="2:9" ht="10.5" x14ac:dyDescent="0.25">
      <c r="B33" s="51"/>
      <c r="C33" s="45" t="s">
        <v>22</v>
      </c>
      <c r="D33" s="365">
        <f>'Op Budget (Yr1)'!O54</f>
        <v>84488.016100000008</v>
      </c>
      <c r="E33" s="366">
        <f t="shared" si="4"/>
        <v>87022.656583000004</v>
      </c>
      <c r="F33" s="366">
        <f t="shared" si="4"/>
        <v>89633.33628049001</v>
      </c>
      <c r="G33" s="366">
        <f t="shared" si="4"/>
        <v>92322.336368904711</v>
      </c>
      <c r="H33" s="371">
        <f t="shared" si="4"/>
        <v>95092.006459971861</v>
      </c>
      <c r="I33" s="52"/>
    </row>
    <row r="34" spans="2:9" ht="10.5" x14ac:dyDescent="0.2">
      <c r="B34" s="51"/>
      <c r="C34" s="45" t="s">
        <v>158</v>
      </c>
      <c r="D34" s="361">
        <f>'Op Budget (Yr1)'!O55</f>
        <v>50692.809659999999</v>
      </c>
      <c r="E34" s="345">
        <f t="shared" si="4"/>
        <v>52213.593949800001</v>
      </c>
      <c r="F34" s="345">
        <f t="shared" si="4"/>
        <v>53780.001768294002</v>
      </c>
      <c r="G34" s="345">
        <f t="shared" si="4"/>
        <v>55393.401821342821</v>
      </c>
      <c r="H34" s="370">
        <f t="shared" si="4"/>
        <v>57055.203875983105</v>
      </c>
      <c r="I34" s="52"/>
    </row>
    <row r="35" spans="2:9" s="33" customFormat="1" ht="11" thickBot="1" x14ac:dyDescent="0.3">
      <c r="B35" s="46"/>
      <c r="C35" s="19" t="s">
        <v>23</v>
      </c>
      <c r="D35" s="372">
        <f>'Op Budget (Yr1)'!O56</f>
        <v>1405196.4830999998</v>
      </c>
      <c r="E35" s="349">
        <f t="shared" si="4"/>
        <v>1447352.377593</v>
      </c>
      <c r="F35" s="349">
        <f t="shared" si="4"/>
        <v>1490772.9489207901</v>
      </c>
      <c r="G35" s="349">
        <f t="shared" si="4"/>
        <v>1535496.1373884138</v>
      </c>
      <c r="H35" s="373">
        <f t="shared" si="4"/>
        <v>1581561.0215100662</v>
      </c>
      <c r="I35" s="47"/>
    </row>
    <row r="36" spans="2:9" ht="4.5" customHeight="1" x14ac:dyDescent="0.2">
      <c r="B36" s="51"/>
      <c r="C36" s="53"/>
      <c r="D36" s="374"/>
      <c r="E36" s="374"/>
      <c r="F36" s="375"/>
      <c r="G36" s="375"/>
      <c r="H36" s="376"/>
      <c r="I36" s="52"/>
    </row>
    <row r="37" spans="2:9" ht="11" thickBot="1" x14ac:dyDescent="0.25">
      <c r="B37" s="51"/>
      <c r="C37" s="242" t="s">
        <v>24</v>
      </c>
      <c r="D37" s="377">
        <f>'Op Budget (Yr1)'!O58</f>
        <v>1974324.1609000002</v>
      </c>
      <c r="E37" s="377">
        <f>E9-E35</f>
        <v>2033553.8857270009</v>
      </c>
      <c r="F37" s="377">
        <f t="shared" ref="F37:H37" si="12">F9-F35</f>
        <v>2094560.502298811</v>
      </c>
      <c r="G37" s="377">
        <f t="shared" si="12"/>
        <v>2157397.3173677754</v>
      </c>
      <c r="H37" s="418">
        <f t="shared" si="12"/>
        <v>2222119.2368888091</v>
      </c>
      <c r="I37" s="52"/>
    </row>
    <row r="38" spans="2:9" ht="4.5" customHeight="1" thickBot="1" x14ac:dyDescent="0.25">
      <c r="B38" s="51"/>
      <c r="C38" s="338"/>
      <c r="D38" s="378"/>
      <c r="E38" s="378"/>
      <c r="F38" s="378"/>
      <c r="G38" s="379"/>
      <c r="H38" s="380"/>
      <c r="I38" s="52"/>
    </row>
    <row r="39" spans="2:9" ht="10.5" x14ac:dyDescent="0.2">
      <c r="B39" s="51"/>
      <c r="C39" s="339" t="s">
        <v>179</v>
      </c>
      <c r="D39" s="340">
        <f>D38+D37</f>
        <v>1974324.1609000002</v>
      </c>
      <c r="E39" s="340">
        <f>E38+E37</f>
        <v>2033553.8857270009</v>
      </c>
      <c r="F39" s="340">
        <f>F38+F37</f>
        <v>2094560.502298811</v>
      </c>
      <c r="G39" s="340">
        <f>G38+G37</f>
        <v>2157397.3173677754</v>
      </c>
      <c r="H39" s="341">
        <f>H38+H37</f>
        <v>2222119.2368888091</v>
      </c>
      <c r="I39" s="52"/>
    </row>
    <row r="40" spans="2:9" ht="11" thickBot="1" x14ac:dyDescent="0.25">
      <c r="B40" s="51"/>
      <c r="C40" s="19" t="s">
        <v>200</v>
      </c>
      <c r="D40" s="342">
        <f>D39*(1-'Project Budget and Assumptions'!$F$18)</f>
        <v>1530101.2246975002</v>
      </c>
      <c r="E40" s="342">
        <f>E39*(1-'Project Budget and Assumptions'!$F$18)</f>
        <v>1576004.2614384256</v>
      </c>
      <c r="F40" s="342">
        <f>F39*(1-'Project Budget and Assumptions'!$F$18)</f>
        <v>1623284.3892815786</v>
      </c>
      <c r="G40" s="342">
        <f>G39*(1-'Project Budget and Assumptions'!$F$18)</f>
        <v>1671982.9209600259</v>
      </c>
      <c r="H40" s="342">
        <f>H39*(1-'Project Budget and Assumptions'!$F$18)</f>
        <v>1722142.4085888271</v>
      </c>
      <c r="I40" s="52"/>
    </row>
    <row r="41" spans="2:9" ht="6.4" customHeight="1" thickBot="1" x14ac:dyDescent="0.25">
      <c r="B41" s="51"/>
      <c r="C41" s="60"/>
      <c r="D41" s="326"/>
      <c r="E41" s="326"/>
      <c r="F41" s="326"/>
      <c r="G41" s="326"/>
      <c r="H41" s="327"/>
      <c r="I41" s="52"/>
    </row>
    <row r="42" spans="2:9" ht="10.5" x14ac:dyDescent="0.2">
      <c r="B42" s="51"/>
      <c r="C42" s="22" t="s">
        <v>169</v>
      </c>
      <c r="D42" s="328">
        <f>'Am Table'!D21</f>
        <v>173118.74322881983</v>
      </c>
      <c r="E42" s="329">
        <f>'Am Table'!D34</f>
        <v>168775.71596097137</v>
      </c>
      <c r="F42" s="329">
        <f>'Am Table'!D47</f>
        <v>164345.02748601415</v>
      </c>
      <c r="G42" s="330">
        <f>'Am Table'!D60</f>
        <v>159824.90841896445</v>
      </c>
      <c r="H42" s="335">
        <f>'Am Table'!D73</f>
        <v>155213.55366094271</v>
      </c>
      <c r="I42" s="52"/>
    </row>
    <row r="43" spans="2:9" ht="10.5" x14ac:dyDescent="0.2">
      <c r="B43" s="51"/>
      <c r="C43" s="64" t="s">
        <v>29</v>
      </c>
      <c r="D43" s="331">
        <f>'Am Table'!E21</f>
        <v>215167.99130867692</v>
      </c>
      <c r="E43" s="332">
        <f>'Am Table'!E34</f>
        <v>219511.01857652538</v>
      </c>
      <c r="F43" s="332">
        <f>'Am Table'!E47</f>
        <v>223941.70705148263</v>
      </c>
      <c r="G43" s="333">
        <f>'Am Table'!E60</f>
        <v>228461.82611853228</v>
      </c>
      <c r="H43" s="336">
        <f>'Am Table'!E73</f>
        <v>233073.18087655405</v>
      </c>
      <c r="I43" s="52"/>
    </row>
    <row r="44" spans="2:9" ht="10.5" x14ac:dyDescent="0.2">
      <c r="B44" s="51"/>
      <c r="C44" s="64" t="s">
        <v>175</v>
      </c>
      <c r="D44" s="334">
        <f>'Op Budget (Yr1)'!O70</f>
        <v>131313</v>
      </c>
      <c r="E44" s="331">
        <f>D44</f>
        <v>131313</v>
      </c>
      <c r="F44" s="331">
        <f t="shared" ref="F44:H44" si="13">E44</f>
        <v>131313</v>
      </c>
      <c r="G44" s="331">
        <f t="shared" si="13"/>
        <v>131313</v>
      </c>
      <c r="H44" s="381">
        <f t="shared" si="13"/>
        <v>131313</v>
      </c>
      <c r="I44" s="52"/>
    </row>
    <row r="45" spans="2:9" ht="12" customHeight="1" x14ac:dyDescent="0.2">
      <c r="B45" s="51"/>
      <c r="C45" s="415" t="s">
        <v>180</v>
      </c>
      <c r="D45" s="416">
        <f>D40-D42-D43-D44</f>
        <v>1010501.4901600033</v>
      </c>
      <c r="E45" s="416">
        <f>E40-E42-E43-E44</f>
        <v>1056404.5269009289</v>
      </c>
      <c r="F45" s="416">
        <f>F40-F42-F43-F44</f>
        <v>1103684.6547440817</v>
      </c>
      <c r="G45" s="416">
        <f>G40-G42-G43-G44</f>
        <v>1152383.1864225292</v>
      </c>
      <c r="H45" s="417">
        <f>H40-H42-H43-H44</f>
        <v>1202542.6740513304</v>
      </c>
      <c r="I45" s="52"/>
    </row>
    <row r="46" spans="2:9" ht="11" thickBot="1" x14ac:dyDescent="0.25">
      <c r="B46" s="51"/>
      <c r="C46" s="19" t="s">
        <v>30</v>
      </c>
      <c r="D46" s="408">
        <f>D45/(D42+D43)</f>
        <v>2.602462047444527</v>
      </c>
      <c r="E46" s="408">
        <f t="shared" ref="E46:H46" si="14">E45/(E42+E43)</f>
        <v>2.7206814782360591</v>
      </c>
      <c r="F46" s="408">
        <f t="shared" si="14"/>
        <v>2.8424474919513352</v>
      </c>
      <c r="G46" s="408">
        <f t="shared" si="14"/>
        <v>2.967866486078071</v>
      </c>
      <c r="H46" s="409">
        <f t="shared" si="14"/>
        <v>3.0970480500286088</v>
      </c>
      <c r="I46" s="52"/>
    </row>
    <row r="47" spans="2:9" ht="4.5" customHeight="1" thickBot="1" x14ac:dyDescent="0.25">
      <c r="B47" s="51"/>
      <c r="C47" s="410"/>
      <c r="D47" s="404"/>
      <c r="E47" s="404"/>
      <c r="F47" s="404"/>
      <c r="G47" s="404"/>
      <c r="H47" s="404"/>
      <c r="I47" s="52"/>
    </row>
    <row r="48" spans="2:9" ht="10.9" customHeight="1" x14ac:dyDescent="0.2">
      <c r="B48" s="51"/>
      <c r="C48" s="18" t="s">
        <v>182</v>
      </c>
      <c r="D48" s="411">
        <f>D45/'Fin Calc'!$C$7</f>
        <v>0.11543047796029372</v>
      </c>
      <c r="E48" s="411">
        <f>E45/'Fin Calc'!$C$7</f>
        <v>0.12067402240078236</v>
      </c>
      <c r="F48" s="411">
        <f>F45/'Fin Calc'!$C$7</f>
        <v>0.12607487317448557</v>
      </c>
      <c r="G48" s="411">
        <f>G45/'Fin Calc'!$C$7</f>
        <v>0.13163774947139992</v>
      </c>
      <c r="H48" s="412">
        <f>H45/'Fin Calc'!$C$7</f>
        <v>0.13736751205722172</v>
      </c>
      <c r="I48" s="52"/>
    </row>
    <row r="49" spans="2:10" ht="10.9" customHeight="1" thickBot="1" x14ac:dyDescent="0.25">
      <c r="B49" s="51"/>
      <c r="C49" s="19" t="s">
        <v>183</v>
      </c>
      <c r="D49" s="413">
        <f>(D40-D42-D44)/'Fin Calc'!$C$7</f>
        <v>0.1400093077001531</v>
      </c>
      <c r="E49" s="413">
        <f>(E40-E42-E44)/'Fin Calc'!$C$7</f>
        <v>0.1457489599823461</v>
      </c>
      <c r="F49" s="413">
        <f>(F40-F42-F44)/'Fin Calc'!$C$7</f>
        <v>0.15165593221488707</v>
      </c>
      <c r="G49" s="413">
        <f>(G40-G42-G44)/'Fin Calc'!$C$7</f>
        <v>0.15773514570618236</v>
      </c>
      <c r="H49" s="414">
        <f>(H40-H42-H44+H56-'Fin Calc'!C7-'Investor Returns'!J14)/'Fin Calc'!$C$7</f>
        <v>1.3443003781096332</v>
      </c>
      <c r="I49" s="52"/>
    </row>
    <row r="50" spans="2:10" ht="4.9000000000000004" customHeight="1" thickBot="1" x14ac:dyDescent="0.25">
      <c r="B50" s="51"/>
      <c r="C50" s="403"/>
      <c r="D50" s="404"/>
      <c r="E50" s="404"/>
      <c r="F50" s="404"/>
      <c r="G50" s="404"/>
      <c r="H50" s="405"/>
      <c r="I50" s="52"/>
    </row>
    <row r="51" spans="2:10" ht="10.5" x14ac:dyDescent="0.2">
      <c r="B51" s="51"/>
      <c r="C51" s="18" t="s">
        <v>55</v>
      </c>
      <c r="D51" s="406"/>
      <c r="E51" s="406"/>
      <c r="F51" s="406"/>
      <c r="G51" s="406"/>
      <c r="H51" s="407">
        <f>'Project Budget and Assumptions'!F12</f>
        <v>5.5E-2</v>
      </c>
      <c r="I51" s="52"/>
    </row>
    <row r="52" spans="2:10" ht="11" thickBot="1" x14ac:dyDescent="0.25">
      <c r="B52" s="51"/>
      <c r="C52" s="19" t="s">
        <v>56</v>
      </c>
      <c r="D52" s="54"/>
      <c r="E52" s="54"/>
      <c r="F52" s="54"/>
      <c r="G52" s="54"/>
      <c r="H52" s="337">
        <v>0.02</v>
      </c>
      <c r="I52" s="52"/>
    </row>
    <row r="53" spans="2:10" ht="10.5" x14ac:dyDescent="0.2">
      <c r="B53" s="51"/>
      <c r="C53" s="20" t="s">
        <v>31</v>
      </c>
      <c r="D53" s="55"/>
      <c r="E53" s="55"/>
      <c r="F53" s="55"/>
      <c r="G53" s="55"/>
      <c r="H53" s="381">
        <f>H40/H51</f>
        <v>31311680.156160492</v>
      </c>
      <c r="I53" s="52"/>
    </row>
    <row r="54" spans="2:10" ht="10.5" x14ac:dyDescent="0.2">
      <c r="B54" s="51"/>
      <c r="C54" s="17" t="s">
        <v>32</v>
      </c>
      <c r="D54" s="55"/>
      <c r="E54" s="55"/>
      <c r="F54" s="55"/>
      <c r="G54" s="55"/>
      <c r="H54" s="382">
        <f>'Am Table'!F72</f>
        <v>7634044.2760682339</v>
      </c>
      <c r="I54" s="52"/>
    </row>
    <row r="55" spans="2:10" ht="10.5" x14ac:dyDescent="0.2">
      <c r="B55" s="51"/>
      <c r="C55" s="17" t="s">
        <v>33</v>
      </c>
      <c r="D55" s="55"/>
      <c r="E55" s="55"/>
      <c r="F55" s="55"/>
      <c r="G55" s="55"/>
      <c r="H55" s="381">
        <f>H52*H53</f>
        <v>626233.6031232099</v>
      </c>
      <c r="I55" s="52"/>
    </row>
    <row r="56" spans="2:10" ht="11" thickBot="1" x14ac:dyDescent="0.3">
      <c r="B56" s="51"/>
      <c r="C56" s="19" t="s">
        <v>34</v>
      </c>
      <c r="D56" s="54"/>
      <c r="E56" s="54"/>
      <c r="F56" s="54"/>
      <c r="G56" s="54"/>
      <c r="H56" s="383">
        <f>H53-H54-H55</f>
        <v>23051402.276969049</v>
      </c>
      <c r="I56" s="52"/>
    </row>
    <row r="57" spans="2:10" ht="6.75" customHeight="1" thickBot="1" x14ac:dyDescent="0.25">
      <c r="B57" s="56"/>
      <c r="C57" s="57"/>
      <c r="D57" s="57"/>
      <c r="E57" s="57"/>
      <c r="F57" s="57"/>
      <c r="G57" s="57"/>
      <c r="H57" s="57"/>
      <c r="I57" s="58"/>
    </row>
    <row r="58" spans="2:10" ht="6" customHeight="1" thickTop="1" x14ac:dyDescent="0.2">
      <c r="C58" s="59"/>
      <c r="D58" s="59"/>
      <c r="E58" s="59"/>
      <c r="F58" s="59"/>
      <c r="G58" s="59"/>
      <c r="H58" s="59"/>
      <c r="I58" s="59"/>
    </row>
    <row r="59" spans="2:10" x14ac:dyDescent="0.2">
      <c r="D59" s="116"/>
      <c r="E59" s="116"/>
      <c r="F59" s="116"/>
      <c r="G59" s="116"/>
      <c r="H59" s="116"/>
    </row>
    <row r="60" spans="2:10" x14ac:dyDescent="0.2">
      <c r="I60" s="29">
        <v>2213832.5740459361</v>
      </c>
      <c r="J60" s="29">
        <v>1411353.3322453026</v>
      </c>
    </row>
    <row r="62" spans="2:10" x14ac:dyDescent="0.2">
      <c r="D62" s="92"/>
      <c r="E62" s="92"/>
      <c r="F62" s="92"/>
      <c r="G62" s="92"/>
      <c r="H62" s="92"/>
    </row>
  </sheetData>
  <customSheetViews>
    <customSheetView guid="{21726E00-23FB-473B-B23F-4139D4F7D4CA}" showPageBreaks="1" showGridLines="0" fitToPage="1" showRuler="0">
      <pageMargins left="0" right="0" top="0" bottom="0" header="0" footer="0"/>
      <printOptions horizontalCentered="1" verticalCentered="1"/>
      <pageSetup scale="79" orientation="landscape" horizontalDpi="4294967294"/>
      <headerFooter alignWithMargins="0"/>
    </customSheetView>
    <customSheetView guid="{8C149CFD-F183-4DEA-93BF-382069DDCC79}" showGridLines="0" fitToPage="1" showRuler="0">
      <pageMargins left="0" right="0" top="0" bottom="0" header="0" footer="0"/>
      <printOptions horizontalCentered="1" verticalCentered="1"/>
      <pageSetup scale="79" orientation="landscape" horizontalDpi="4294967294"/>
      <headerFooter alignWithMargins="0"/>
    </customSheetView>
  </customSheetViews>
  <phoneticPr fontId="0" type="noConversion"/>
  <printOptions horizontalCentered="1" verticalCentered="1"/>
  <pageMargins left="0.25" right="0.25" top="0.25" bottom="0" header="0.25" footer="0"/>
  <pageSetup scale="69" orientation="landscape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Q23"/>
  <sheetViews>
    <sheetView zoomScale="90" zoomScaleNormal="90" workbookViewId="0">
      <selection activeCell="H21" sqref="H21"/>
    </sheetView>
  </sheetViews>
  <sheetFormatPr defaultColWidth="11.453125" defaultRowHeight="12.5" x14ac:dyDescent="0.25"/>
  <cols>
    <col min="1" max="1" width="0.81640625" style="14" customWidth="1"/>
    <col min="2" max="2" width="1.1796875" style="14" customWidth="1"/>
    <col min="3" max="3" width="26.81640625" style="14" customWidth="1"/>
    <col min="4" max="4" width="14" style="14" customWidth="1"/>
    <col min="5" max="5" width="13.453125" style="14" bestFit="1" customWidth="1"/>
    <col min="6" max="6" width="13.453125" style="14" customWidth="1"/>
    <col min="7" max="7" width="15.26953125" style="14" bestFit="1" customWidth="1"/>
    <col min="8" max="8" width="15.26953125" style="14" customWidth="1"/>
    <col min="9" max="9" width="13.26953125" style="14" bestFit="1" customWidth="1"/>
    <col min="10" max="10" width="13.26953125" style="14" customWidth="1"/>
    <col min="11" max="11" width="10.7265625" style="14" customWidth="1"/>
    <col min="12" max="12" width="10.26953125" style="14" customWidth="1"/>
    <col min="13" max="13" width="1.1796875" style="14" customWidth="1"/>
    <col min="14" max="14" width="0.81640625" style="14" customWidth="1"/>
    <col min="15" max="16" width="11.453125" style="14"/>
    <col min="17" max="17" width="13" style="14" bestFit="1" customWidth="1"/>
    <col min="18" max="18" width="11.453125" style="14"/>
    <col min="19" max="19" width="13" style="14" bestFit="1" customWidth="1"/>
    <col min="20" max="16384" width="11.453125" style="14"/>
  </cols>
  <sheetData>
    <row r="1" spans="2:15" ht="4.5" customHeight="1" thickBot="1" x14ac:dyDescent="0.3"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</row>
    <row r="2" spans="2:15" ht="6" customHeight="1" thickTop="1" thickBot="1" x14ac:dyDescent="0.3">
      <c r="B2" s="72"/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  <c r="N2" s="69"/>
      <c r="O2" s="69"/>
    </row>
    <row r="3" spans="2:15" ht="21.75" customHeight="1" thickBot="1" x14ac:dyDescent="0.3">
      <c r="B3" s="75"/>
      <c r="C3" s="23" t="s">
        <v>204</v>
      </c>
      <c r="D3" s="24"/>
      <c r="E3" s="10"/>
      <c r="F3" s="10"/>
      <c r="G3" s="10"/>
      <c r="H3" s="10"/>
      <c r="I3" s="10"/>
      <c r="J3" s="11"/>
      <c r="K3" s="11"/>
      <c r="L3" s="25"/>
      <c r="M3" s="76"/>
      <c r="N3" s="69"/>
      <c r="O3" s="69"/>
    </row>
    <row r="4" spans="2:15" ht="6.75" customHeight="1" thickBot="1" x14ac:dyDescent="0.3">
      <c r="B4" s="77"/>
      <c r="C4" s="78"/>
      <c r="D4" s="78"/>
      <c r="E4" s="78"/>
      <c r="F4" s="78"/>
      <c r="G4" s="78"/>
      <c r="H4" s="78"/>
      <c r="I4" s="78"/>
      <c r="J4" s="78"/>
      <c r="K4" s="78"/>
      <c r="L4" s="78"/>
      <c r="M4" s="79"/>
      <c r="N4" s="69"/>
      <c r="O4" s="69"/>
    </row>
    <row r="5" spans="2:15" ht="6" customHeight="1" thickTop="1" x14ac:dyDescent="0.25"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</row>
    <row r="6" spans="2:15" ht="4.5" customHeight="1" thickBot="1" x14ac:dyDescent="0.3"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</row>
    <row r="7" spans="2:15" ht="6" customHeight="1" thickTop="1" thickBot="1" x14ac:dyDescent="0.3">
      <c r="B7" s="72"/>
      <c r="C7" s="73"/>
      <c r="D7" s="73"/>
      <c r="E7" s="73"/>
      <c r="F7" s="73"/>
      <c r="G7" s="73"/>
      <c r="H7" s="73"/>
      <c r="I7" s="73"/>
      <c r="J7" s="73"/>
      <c r="K7" s="73"/>
      <c r="L7" s="73"/>
      <c r="M7" s="74"/>
      <c r="N7" s="69"/>
      <c r="O7" s="69"/>
    </row>
    <row r="8" spans="2:15" ht="26.5" thickBot="1" x14ac:dyDescent="0.35">
      <c r="B8" s="75"/>
      <c r="C8" s="26" t="s">
        <v>35</v>
      </c>
      <c r="D8" s="27" t="s">
        <v>36</v>
      </c>
      <c r="E8" s="27" t="s">
        <v>37</v>
      </c>
      <c r="F8" s="27" t="s">
        <v>25</v>
      </c>
      <c r="G8" s="27" t="s">
        <v>38</v>
      </c>
      <c r="H8" s="27" t="s">
        <v>27</v>
      </c>
      <c r="I8" s="27" t="s">
        <v>28</v>
      </c>
      <c r="J8" s="27" t="s">
        <v>69</v>
      </c>
      <c r="K8" s="27" t="s">
        <v>39</v>
      </c>
      <c r="L8" s="27" t="s">
        <v>40</v>
      </c>
      <c r="M8" s="76"/>
      <c r="N8" s="69"/>
      <c r="O8" s="69"/>
    </row>
    <row r="9" spans="2:15" ht="13" x14ac:dyDescent="0.25">
      <c r="B9" s="75"/>
      <c r="C9" s="9" t="s">
        <v>41</v>
      </c>
      <c r="D9" s="80">
        <f>-'Fin Calc'!C7</f>
        <v>-8754200</v>
      </c>
      <c r="E9" s="81"/>
      <c r="F9" s="81"/>
      <c r="G9" s="81"/>
      <c r="H9" s="81"/>
      <c r="I9" s="81"/>
      <c r="J9" s="81"/>
      <c r="K9" s="82"/>
      <c r="L9" s="82"/>
      <c r="M9" s="76"/>
      <c r="N9" s="69"/>
      <c r="O9" s="69"/>
    </row>
    <row r="10" spans="2:15" ht="13" x14ac:dyDescent="0.25">
      <c r="B10" s="75"/>
      <c r="C10" s="12" t="s">
        <v>203</v>
      </c>
      <c r="D10" s="83"/>
      <c r="E10" s="84">
        <v>0</v>
      </c>
      <c r="F10" s="84">
        <f>'Annual Projections (Full)'!D45</f>
        <v>1010501.4901600033</v>
      </c>
      <c r="G10" s="84">
        <f>'Annual Projections (Full)'!E45</f>
        <v>1056404.5269009289</v>
      </c>
      <c r="H10" s="84">
        <f>'Annual Projections (Full)'!F45</f>
        <v>1103684.6547440817</v>
      </c>
      <c r="I10" s="84">
        <f>'Annual Projections (Full)'!G45</f>
        <v>1152383.1864225292</v>
      </c>
      <c r="J10" s="84">
        <f>'Annual Projections (Full)'!H45</f>
        <v>1202542.6740513304</v>
      </c>
      <c r="K10" s="82"/>
      <c r="L10" s="82"/>
      <c r="M10" s="76"/>
      <c r="N10" s="69"/>
      <c r="O10" s="69"/>
    </row>
    <row r="11" spans="2:15" ht="13" x14ac:dyDescent="0.25">
      <c r="B11" s="75"/>
      <c r="C11" s="13" t="s">
        <v>34</v>
      </c>
      <c r="D11" s="83"/>
      <c r="E11" s="83"/>
      <c r="F11" s="83"/>
      <c r="G11" s="83"/>
      <c r="H11" s="83"/>
      <c r="I11" s="83"/>
      <c r="J11" s="84">
        <f>'Annual Projections (Full)'!H56</f>
        <v>23051402.276969049</v>
      </c>
      <c r="K11" s="82"/>
      <c r="L11" s="82"/>
      <c r="M11" s="76"/>
      <c r="N11" s="69"/>
      <c r="O11" s="69"/>
    </row>
    <row r="12" spans="2:15" ht="13" x14ac:dyDescent="0.25">
      <c r="B12" s="75"/>
      <c r="C12" s="13" t="s">
        <v>42</v>
      </c>
      <c r="D12" s="85">
        <f t="shared" ref="D12:J12" si="0">SUM(D9:D11)</f>
        <v>-8754200</v>
      </c>
      <c r="E12" s="85">
        <f t="shared" si="0"/>
        <v>0</v>
      </c>
      <c r="F12" s="85">
        <f t="shared" si="0"/>
        <v>1010501.4901600033</v>
      </c>
      <c r="G12" s="85">
        <f t="shared" si="0"/>
        <v>1056404.5269009289</v>
      </c>
      <c r="H12" s="85">
        <f t="shared" si="0"/>
        <v>1103684.6547440817</v>
      </c>
      <c r="I12" s="85">
        <f t="shared" si="0"/>
        <v>1152383.1864225292</v>
      </c>
      <c r="J12" s="85">
        <f t="shared" si="0"/>
        <v>24253944.951020379</v>
      </c>
      <c r="K12" s="82"/>
      <c r="L12" s="82"/>
      <c r="M12" s="76"/>
      <c r="N12" s="69"/>
      <c r="O12" s="69"/>
    </row>
    <row r="13" spans="2:15" ht="4.5" customHeight="1" x14ac:dyDescent="0.25">
      <c r="B13" s="75"/>
      <c r="C13" s="7"/>
      <c r="D13" s="85"/>
      <c r="E13" s="85"/>
      <c r="F13" s="85"/>
      <c r="G13" s="85"/>
      <c r="H13" s="85"/>
      <c r="I13" s="85"/>
      <c r="J13" s="85"/>
      <c r="K13" s="82"/>
      <c r="L13" s="82"/>
      <c r="M13" s="76"/>
      <c r="N13" s="69"/>
      <c r="O13" s="69"/>
    </row>
    <row r="14" spans="2:15" ht="13" x14ac:dyDescent="0.25">
      <c r="B14" s="75"/>
      <c r="C14" s="12" t="s">
        <v>43</v>
      </c>
      <c r="D14" s="83"/>
      <c r="E14" s="83"/>
      <c r="F14" s="83"/>
      <c r="G14" s="83"/>
      <c r="H14" s="83"/>
      <c r="I14" s="83"/>
      <c r="J14" s="85">
        <f>SUM(F12+G12+H12+I12+J12+D9)*'Project Budget and Assumptions'!F20</f>
        <v>3964543.7618495845</v>
      </c>
      <c r="K14" s="419"/>
      <c r="L14" s="82"/>
      <c r="M14" s="76"/>
      <c r="N14" s="69"/>
      <c r="O14" s="69"/>
    </row>
    <row r="15" spans="2:15" ht="13" x14ac:dyDescent="0.25">
      <c r="B15" s="75"/>
      <c r="C15" s="7" t="s">
        <v>44</v>
      </c>
      <c r="D15" s="85">
        <f t="shared" ref="D15:I15" si="1">D12+D14</f>
        <v>-8754200</v>
      </c>
      <c r="E15" s="85">
        <f t="shared" si="1"/>
        <v>0</v>
      </c>
      <c r="F15" s="85">
        <f t="shared" si="1"/>
        <v>1010501.4901600033</v>
      </c>
      <c r="G15" s="85">
        <f t="shared" si="1"/>
        <v>1056404.5269009289</v>
      </c>
      <c r="H15" s="85">
        <f t="shared" si="1"/>
        <v>1103684.6547440817</v>
      </c>
      <c r="I15" s="85">
        <f t="shared" si="1"/>
        <v>1152383.1864225292</v>
      </c>
      <c r="J15" s="85">
        <f>J12-J14</f>
        <v>20289401.189170793</v>
      </c>
      <c r="K15" s="420">
        <f>IRR(D15:J15)</f>
        <v>0.20885996519907191</v>
      </c>
      <c r="L15" s="386">
        <f>-SUM(E15:J15)/D15</f>
        <v>2.8114933457538478</v>
      </c>
      <c r="M15" s="76"/>
      <c r="N15" s="69"/>
      <c r="O15" s="86"/>
    </row>
    <row r="16" spans="2:15" ht="13.5" thickBot="1" x14ac:dyDescent="0.3">
      <c r="B16" s="75"/>
      <c r="C16" s="8" t="s">
        <v>45</v>
      </c>
      <c r="D16" s="87"/>
      <c r="E16" s="87">
        <f>E15/D15</f>
        <v>0</v>
      </c>
      <c r="F16" s="421">
        <f>F15/-D15</f>
        <v>0.11543047796029372</v>
      </c>
      <c r="G16" s="421">
        <f>G15/-D15</f>
        <v>0.12067402240078236</v>
      </c>
      <c r="H16" s="421">
        <f>H15/-D15</f>
        <v>0.12607487317448557</v>
      </c>
      <c r="I16" s="421">
        <f>I15/-D15</f>
        <v>0.13163774947139992</v>
      </c>
      <c r="J16" s="421">
        <f>J15/-D15</f>
        <v>2.3176762227468863</v>
      </c>
      <c r="K16" s="88"/>
      <c r="L16" s="88"/>
      <c r="M16" s="76"/>
      <c r="N16" s="86"/>
    </row>
    <row r="17" spans="2:17" ht="13" thickBot="1" x14ac:dyDescent="0.3">
      <c r="B17" s="77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9"/>
      <c r="N17" s="69"/>
    </row>
    <row r="18" spans="2:17" ht="13" thickTop="1" x14ac:dyDescent="0.25"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</row>
    <row r="19" spans="2:17" ht="13" thickBot="1" x14ac:dyDescent="0.3"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</row>
    <row r="20" spans="2:17" ht="13" x14ac:dyDescent="0.3">
      <c r="B20" s="69"/>
      <c r="C20" s="560" t="s">
        <v>196</v>
      </c>
      <c r="D20" s="561"/>
      <c r="E20" s="69"/>
      <c r="F20" s="69"/>
      <c r="G20" s="69"/>
      <c r="H20" s="69"/>
      <c r="I20" s="69"/>
      <c r="J20" s="69"/>
      <c r="K20" s="69"/>
      <c r="L20" s="69"/>
      <c r="M20" s="69"/>
    </row>
    <row r="21" spans="2:17" ht="13" x14ac:dyDescent="0.3">
      <c r="B21" s="69"/>
      <c r="C21" s="399" t="s">
        <v>197</v>
      </c>
      <c r="D21" s="400">
        <f>SUM('Annual Projections (Full)'!D48:H48)/6</f>
        <v>0.10519743917736389</v>
      </c>
      <c r="E21" s="69"/>
      <c r="F21" s="69"/>
      <c r="G21" s="69"/>
      <c r="H21" s="69"/>
      <c r="I21" s="69"/>
      <c r="J21" s="69"/>
      <c r="K21" s="69"/>
      <c r="L21" s="69"/>
      <c r="M21" s="69"/>
      <c r="Q21" s="103"/>
    </row>
    <row r="22" spans="2:17" ht="13" x14ac:dyDescent="0.3">
      <c r="C22" s="399" t="s">
        <v>199</v>
      </c>
      <c r="D22" s="400">
        <f>SUM('Annual Projections (Full)'!D49:H49)/6</f>
        <v>0.32324162061886696</v>
      </c>
      <c r="E22" s="69"/>
      <c r="F22" s="69"/>
      <c r="G22" s="69"/>
      <c r="H22" s="69"/>
      <c r="I22" s="69"/>
      <c r="J22" s="69"/>
      <c r="K22" s="69"/>
      <c r="L22" s="69"/>
    </row>
    <row r="23" spans="2:17" ht="13.5" thickBot="1" x14ac:dyDescent="0.35">
      <c r="C23" s="401" t="s">
        <v>198</v>
      </c>
      <c r="D23" s="402">
        <f>K15</f>
        <v>0.20885996519907191</v>
      </c>
      <c r="E23" s="69"/>
      <c r="F23" s="69"/>
      <c r="G23" s="69"/>
      <c r="H23" s="69"/>
      <c r="I23" s="69"/>
      <c r="J23" s="69"/>
      <c r="K23" s="69"/>
      <c r="L23" s="69"/>
    </row>
  </sheetData>
  <mergeCells count="1">
    <mergeCell ref="C20:D20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476"/>
  <sheetViews>
    <sheetView showGridLines="0" workbookViewId="0">
      <selection activeCell="G12" sqref="G12"/>
    </sheetView>
  </sheetViews>
  <sheetFormatPr defaultColWidth="8.81640625" defaultRowHeight="12.5" x14ac:dyDescent="0.25"/>
  <cols>
    <col min="2" max="2" width="15" bestFit="1" customWidth="1"/>
    <col min="3" max="3" width="12.26953125" bestFit="1" customWidth="1"/>
    <col min="4" max="4" width="13.453125" bestFit="1" customWidth="1"/>
    <col min="5" max="5" width="11.26953125" bestFit="1" customWidth="1"/>
    <col min="6" max="6" width="14.81640625" bestFit="1" customWidth="1"/>
    <col min="7" max="8" width="11.7265625" bestFit="1" customWidth="1"/>
  </cols>
  <sheetData>
    <row r="1" spans="1:8" x14ac:dyDescent="0.25">
      <c r="A1" t="s">
        <v>57</v>
      </c>
      <c r="E1" t="s">
        <v>58</v>
      </c>
    </row>
    <row r="3" spans="1:8" x14ac:dyDescent="0.25">
      <c r="A3" t="s">
        <v>59</v>
      </c>
      <c r="B3" s="6">
        <f>'Fin Calc'!C6</f>
        <v>8754200</v>
      </c>
      <c r="G3" s="1"/>
    </row>
    <row r="4" spans="1:8" ht="13" x14ac:dyDescent="0.3">
      <c r="A4" t="s">
        <v>60</v>
      </c>
      <c r="B4" s="66">
        <v>0.02</v>
      </c>
      <c r="C4" s="117"/>
    </row>
    <row r="5" spans="1:8" x14ac:dyDescent="0.25">
      <c r="A5" t="s">
        <v>61</v>
      </c>
      <c r="B5" s="67">
        <v>30</v>
      </c>
      <c r="H5" s="1"/>
    </row>
    <row r="6" spans="1:8" x14ac:dyDescent="0.25">
      <c r="A6" t="s">
        <v>62</v>
      </c>
      <c r="B6" s="2">
        <f>PMT(B4/12,B5*12,+B3)*-1</f>
        <v>32357.22787812473</v>
      </c>
      <c r="D6" s="1">
        <f>B6*12</f>
        <v>388286.73453749676</v>
      </c>
      <c r="H6" s="1"/>
    </row>
    <row r="7" spans="1:8" x14ac:dyDescent="0.25">
      <c r="H7" s="1"/>
    </row>
    <row r="8" spans="1:8" x14ac:dyDescent="0.25">
      <c r="B8" t="s">
        <v>63</v>
      </c>
      <c r="C8" t="s">
        <v>64</v>
      </c>
      <c r="D8" t="s">
        <v>65</v>
      </c>
      <c r="E8" t="s">
        <v>66</v>
      </c>
      <c r="F8" t="s">
        <v>67</v>
      </c>
    </row>
    <row r="9" spans="1:8" x14ac:dyDescent="0.25">
      <c r="A9" s="35">
        <v>1</v>
      </c>
      <c r="B9" s="36">
        <f>+B3</f>
        <v>8754200</v>
      </c>
      <c r="C9" s="36">
        <f>+$B$6</f>
        <v>32357.22787812473</v>
      </c>
      <c r="D9" s="36">
        <f>+B9*($B$4/12)</f>
        <v>14590.333333333334</v>
      </c>
      <c r="E9" s="36">
        <f>+C9-D9</f>
        <v>17766.894544791394</v>
      </c>
      <c r="F9" s="36">
        <f>+B9-E9</f>
        <v>8736433.1054552086</v>
      </c>
    </row>
    <row r="10" spans="1:8" x14ac:dyDescent="0.25">
      <c r="A10" s="35">
        <v>2</v>
      </c>
      <c r="B10" s="36">
        <f>+F9</f>
        <v>8736433.1054552086</v>
      </c>
      <c r="C10" s="36">
        <f t="shared" ref="C10:C77" si="0">+$B$6</f>
        <v>32357.22787812473</v>
      </c>
      <c r="D10" s="36">
        <f t="shared" ref="D10:D77" si="1">+B10*($B$4/12)</f>
        <v>14560.721842425348</v>
      </c>
      <c r="E10" s="36">
        <f t="shared" ref="E10:E77" si="2">+C10-D10</f>
        <v>17796.506035699382</v>
      </c>
      <c r="F10" s="36">
        <f t="shared" ref="F10:F77" si="3">+B10-E10</f>
        <v>8718636.59941951</v>
      </c>
      <c r="H10" s="68"/>
    </row>
    <row r="11" spans="1:8" x14ac:dyDescent="0.25">
      <c r="A11" s="35">
        <v>3</v>
      </c>
      <c r="B11" s="36">
        <f t="shared" ref="B11:B78" si="4">+F10</f>
        <v>8718636.59941951</v>
      </c>
      <c r="C11" s="36">
        <f t="shared" si="0"/>
        <v>32357.22787812473</v>
      </c>
      <c r="D11" s="36">
        <f t="shared" si="1"/>
        <v>14531.060999032517</v>
      </c>
      <c r="E11" s="36">
        <f t="shared" si="2"/>
        <v>17826.166879092212</v>
      </c>
      <c r="F11" s="36">
        <f t="shared" si="3"/>
        <v>8700810.4325404186</v>
      </c>
    </row>
    <row r="12" spans="1:8" x14ac:dyDescent="0.25">
      <c r="A12" s="35">
        <v>4</v>
      </c>
      <c r="B12" s="36">
        <f t="shared" si="4"/>
        <v>8700810.4325404186</v>
      </c>
      <c r="C12" s="36">
        <f t="shared" si="0"/>
        <v>32357.22787812473</v>
      </c>
      <c r="D12" s="36">
        <f t="shared" si="1"/>
        <v>14501.350720900698</v>
      </c>
      <c r="E12" s="36">
        <f t="shared" si="2"/>
        <v>17855.877157224029</v>
      </c>
      <c r="F12" s="36">
        <f t="shared" si="3"/>
        <v>8682954.5553831942</v>
      </c>
    </row>
    <row r="13" spans="1:8" x14ac:dyDescent="0.25">
      <c r="A13" s="35">
        <v>5</v>
      </c>
      <c r="B13" s="36">
        <f t="shared" si="4"/>
        <v>8682954.5553831942</v>
      </c>
      <c r="C13" s="36">
        <f t="shared" si="0"/>
        <v>32357.22787812473</v>
      </c>
      <c r="D13" s="36">
        <f t="shared" si="1"/>
        <v>14471.590925638659</v>
      </c>
      <c r="E13" s="36">
        <f t="shared" si="2"/>
        <v>17885.636952486071</v>
      </c>
      <c r="F13" s="36">
        <f t="shared" si="3"/>
        <v>8665068.9184307083</v>
      </c>
    </row>
    <row r="14" spans="1:8" x14ac:dyDescent="0.25">
      <c r="A14" s="35">
        <v>6</v>
      </c>
      <c r="B14" s="36">
        <f t="shared" si="4"/>
        <v>8665068.9184307083</v>
      </c>
      <c r="C14" s="36">
        <f t="shared" si="0"/>
        <v>32357.22787812473</v>
      </c>
      <c r="D14" s="36">
        <f t="shared" si="1"/>
        <v>14441.781530717848</v>
      </c>
      <c r="E14" s="36">
        <f t="shared" si="2"/>
        <v>17915.446347406883</v>
      </c>
      <c r="F14" s="36">
        <f t="shared" si="3"/>
        <v>8647153.4720833022</v>
      </c>
    </row>
    <row r="15" spans="1:8" x14ac:dyDescent="0.25">
      <c r="A15" s="35">
        <v>7</v>
      </c>
      <c r="B15" s="36">
        <f t="shared" si="4"/>
        <v>8647153.4720833022</v>
      </c>
      <c r="C15" s="36">
        <f t="shared" si="0"/>
        <v>32357.22787812473</v>
      </c>
      <c r="D15" s="36">
        <f t="shared" si="1"/>
        <v>14411.922453472171</v>
      </c>
      <c r="E15" s="36">
        <f t="shared" si="2"/>
        <v>17945.305424652557</v>
      </c>
      <c r="F15" s="36">
        <f t="shared" si="3"/>
        <v>8629208.1666586492</v>
      </c>
    </row>
    <row r="16" spans="1:8" x14ac:dyDescent="0.25">
      <c r="A16" s="35">
        <v>8</v>
      </c>
      <c r="B16" s="36">
        <f t="shared" si="4"/>
        <v>8629208.1666586492</v>
      </c>
      <c r="C16" s="36">
        <f t="shared" si="0"/>
        <v>32357.22787812473</v>
      </c>
      <c r="D16" s="36">
        <f t="shared" si="1"/>
        <v>14382.013611097749</v>
      </c>
      <c r="E16" s="36">
        <f t="shared" si="2"/>
        <v>17975.214267026982</v>
      </c>
      <c r="F16" s="36">
        <f t="shared" si="3"/>
        <v>8611232.9523916226</v>
      </c>
    </row>
    <row r="17" spans="1:8" x14ac:dyDescent="0.25">
      <c r="A17" s="35">
        <v>9</v>
      </c>
      <c r="B17" s="36">
        <f t="shared" si="4"/>
        <v>8611232.9523916226</v>
      </c>
      <c r="C17" s="36">
        <f t="shared" si="0"/>
        <v>32357.22787812473</v>
      </c>
      <c r="D17" s="36">
        <f t="shared" si="1"/>
        <v>14352.054920652705</v>
      </c>
      <c r="E17" s="36">
        <f t="shared" si="2"/>
        <v>18005.172957472023</v>
      </c>
      <c r="F17" s="36">
        <f t="shared" si="3"/>
        <v>8593227.7794341501</v>
      </c>
    </row>
    <row r="18" spans="1:8" x14ac:dyDescent="0.25">
      <c r="A18" s="35">
        <v>10</v>
      </c>
      <c r="B18" s="36">
        <f t="shared" si="4"/>
        <v>8593227.7794341501</v>
      </c>
      <c r="C18" s="36">
        <f t="shared" si="0"/>
        <v>32357.22787812473</v>
      </c>
      <c r="D18" s="36">
        <f t="shared" si="1"/>
        <v>14322.046299056918</v>
      </c>
      <c r="E18" s="36">
        <f t="shared" si="2"/>
        <v>18035.181579067812</v>
      </c>
      <c r="F18" s="36">
        <f t="shared" si="3"/>
        <v>8575192.5978550818</v>
      </c>
      <c r="H18" s="91" t="s">
        <v>68</v>
      </c>
    </row>
    <row r="19" spans="1:8" x14ac:dyDescent="0.25">
      <c r="A19" s="35">
        <v>11</v>
      </c>
      <c r="B19" s="36">
        <f t="shared" si="4"/>
        <v>8575192.5978550818</v>
      </c>
      <c r="C19" s="36">
        <f t="shared" si="0"/>
        <v>32357.22787812473</v>
      </c>
      <c r="D19" s="36">
        <f t="shared" si="1"/>
        <v>14291.987663091804</v>
      </c>
      <c r="E19" s="36">
        <f t="shared" si="2"/>
        <v>18065.240215032925</v>
      </c>
      <c r="F19" s="36">
        <f t="shared" si="3"/>
        <v>8557127.3576400485</v>
      </c>
    </row>
    <row r="20" spans="1:8" x14ac:dyDescent="0.25">
      <c r="A20" s="35">
        <v>12</v>
      </c>
      <c r="B20" s="36">
        <f t="shared" si="4"/>
        <v>8557127.3576400485</v>
      </c>
      <c r="C20" s="36">
        <f t="shared" si="0"/>
        <v>32357.22787812473</v>
      </c>
      <c r="D20" s="36">
        <f t="shared" si="1"/>
        <v>14261.878929400082</v>
      </c>
      <c r="E20" s="36">
        <f t="shared" si="2"/>
        <v>18095.348948724648</v>
      </c>
      <c r="F20" s="36">
        <f t="shared" si="3"/>
        <v>8539032.0086913239</v>
      </c>
    </row>
    <row r="21" spans="1:8" ht="13" x14ac:dyDescent="0.3">
      <c r="A21" s="316" t="s">
        <v>170</v>
      </c>
      <c r="B21" s="36"/>
      <c r="C21" s="315">
        <f>SUM(C9:C20)</f>
        <v>388286.73453749687</v>
      </c>
      <c r="D21" s="315">
        <f t="shared" ref="D21:E21" si="5">SUM(D9:D20)</f>
        <v>173118.74322881983</v>
      </c>
      <c r="E21" s="315">
        <f t="shared" si="5"/>
        <v>215167.99130867692</v>
      </c>
      <c r="F21" s="36"/>
    </row>
    <row r="22" spans="1:8" x14ac:dyDescent="0.25">
      <c r="A22" s="41">
        <v>13</v>
      </c>
      <c r="B22" s="42">
        <f>+F20</f>
        <v>8539032.0086913239</v>
      </c>
      <c r="C22" s="42">
        <f t="shared" si="0"/>
        <v>32357.22787812473</v>
      </c>
      <c r="D22" s="42">
        <f t="shared" si="1"/>
        <v>14231.720014485541</v>
      </c>
      <c r="E22" s="42">
        <f t="shared" si="2"/>
        <v>18125.507863639188</v>
      </c>
      <c r="F22" s="42">
        <f t="shared" si="3"/>
        <v>8520906.500827685</v>
      </c>
    </row>
    <row r="23" spans="1:8" x14ac:dyDescent="0.25">
      <c r="A23" s="41">
        <v>14</v>
      </c>
      <c r="B23" s="42">
        <f t="shared" si="4"/>
        <v>8520906.500827685</v>
      </c>
      <c r="C23" s="42">
        <f t="shared" si="0"/>
        <v>32357.22787812473</v>
      </c>
      <c r="D23" s="42">
        <f t="shared" si="1"/>
        <v>14201.51083471281</v>
      </c>
      <c r="E23" s="42">
        <f t="shared" si="2"/>
        <v>18155.717043411918</v>
      </c>
      <c r="F23" s="42">
        <f t="shared" si="3"/>
        <v>8502750.783784274</v>
      </c>
    </row>
    <row r="24" spans="1:8" x14ac:dyDescent="0.25">
      <c r="A24" s="41">
        <v>15</v>
      </c>
      <c r="B24" s="42">
        <f t="shared" si="4"/>
        <v>8502750.783784274</v>
      </c>
      <c r="C24" s="42">
        <f t="shared" si="0"/>
        <v>32357.22787812473</v>
      </c>
      <c r="D24" s="42">
        <f t="shared" si="1"/>
        <v>14171.251306307124</v>
      </c>
      <c r="E24" s="42">
        <f t="shared" si="2"/>
        <v>18185.976571817606</v>
      </c>
      <c r="F24" s="42">
        <f t="shared" si="3"/>
        <v>8484564.8072124571</v>
      </c>
    </row>
    <row r="25" spans="1:8" x14ac:dyDescent="0.25">
      <c r="A25" s="41">
        <v>16</v>
      </c>
      <c r="B25" s="42">
        <f t="shared" si="4"/>
        <v>8484564.8072124571</v>
      </c>
      <c r="C25" s="42">
        <f t="shared" si="0"/>
        <v>32357.22787812473</v>
      </c>
      <c r="D25" s="42">
        <f t="shared" si="1"/>
        <v>14140.941345354096</v>
      </c>
      <c r="E25" s="42">
        <f t="shared" si="2"/>
        <v>18216.286532770631</v>
      </c>
      <c r="F25" s="42">
        <f t="shared" si="3"/>
        <v>8466348.5206796862</v>
      </c>
    </row>
    <row r="26" spans="1:8" x14ac:dyDescent="0.25">
      <c r="A26" s="41">
        <v>17</v>
      </c>
      <c r="B26" s="42">
        <f t="shared" si="4"/>
        <v>8466348.5206796862</v>
      </c>
      <c r="C26" s="42">
        <f t="shared" si="0"/>
        <v>32357.22787812473</v>
      </c>
      <c r="D26" s="42">
        <f t="shared" si="1"/>
        <v>14110.580867799477</v>
      </c>
      <c r="E26" s="42">
        <f t="shared" si="2"/>
        <v>18246.64701032525</v>
      </c>
      <c r="F26" s="42">
        <f t="shared" si="3"/>
        <v>8448101.8736693617</v>
      </c>
    </row>
    <row r="27" spans="1:8" x14ac:dyDescent="0.25">
      <c r="A27" s="41">
        <v>18</v>
      </c>
      <c r="B27" s="42">
        <f t="shared" si="4"/>
        <v>8448101.8736693617</v>
      </c>
      <c r="C27" s="42">
        <f t="shared" si="0"/>
        <v>32357.22787812473</v>
      </c>
      <c r="D27" s="42">
        <f t="shared" si="1"/>
        <v>14080.169789448937</v>
      </c>
      <c r="E27" s="42">
        <f t="shared" si="2"/>
        <v>18277.058088675793</v>
      </c>
      <c r="F27" s="42">
        <f t="shared" si="3"/>
        <v>8429824.8155806866</v>
      </c>
    </row>
    <row r="28" spans="1:8" x14ac:dyDescent="0.25">
      <c r="A28" s="41">
        <v>19</v>
      </c>
      <c r="B28" s="42">
        <f t="shared" si="4"/>
        <v>8429824.8155806866</v>
      </c>
      <c r="C28" s="42">
        <f t="shared" si="0"/>
        <v>32357.22787812473</v>
      </c>
      <c r="D28" s="42">
        <f t="shared" si="1"/>
        <v>14049.708025967811</v>
      </c>
      <c r="E28" s="42">
        <f t="shared" si="2"/>
        <v>18307.519852156918</v>
      </c>
      <c r="F28" s="42">
        <f t="shared" si="3"/>
        <v>8411517.2957285289</v>
      </c>
    </row>
    <row r="29" spans="1:8" x14ac:dyDescent="0.25">
      <c r="A29" s="41">
        <v>20</v>
      </c>
      <c r="B29" s="42">
        <f t="shared" si="4"/>
        <v>8411517.2957285289</v>
      </c>
      <c r="C29" s="42">
        <f t="shared" si="0"/>
        <v>32357.22787812473</v>
      </c>
      <c r="D29" s="42">
        <f t="shared" si="1"/>
        <v>14019.195492880883</v>
      </c>
      <c r="E29" s="42">
        <f t="shared" si="2"/>
        <v>18338.032385243845</v>
      </c>
      <c r="F29" s="42">
        <f t="shared" si="3"/>
        <v>8393179.2633432858</v>
      </c>
    </row>
    <row r="30" spans="1:8" x14ac:dyDescent="0.25">
      <c r="A30" s="41">
        <v>21</v>
      </c>
      <c r="B30" s="42">
        <f t="shared" si="4"/>
        <v>8393179.2633432858</v>
      </c>
      <c r="C30" s="42">
        <f t="shared" si="0"/>
        <v>32357.22787812473</v>
      </c>
      <c r="D30" s="42">
        <f t="shared" si="1"/>
        <v>13988.632105572144</v>
      </c>
      <c r="E30" s="42">
        <f t="shared" si="2"/>
        <v>18368.595772552588</v>
      </c>
      <c r="F30" s="42">
        <f t="shared" si="3"/>
        <v>8374810.6675707335</v>
      </c>
    </row>
    <row r="31" spans="1:8" x14ac:dyDescent="0.25">
      <c r="A31" s="41">
        <v>22</v>
      </c>
      <c r="B31" s="42">
        <f t="shared" si="4"/>
        <v>8374810.6675707335</v>
      </c>
      <c r="C31" s="42">
        <f t="shared" si="0"/>
        <v>32357.22787812473</v>
      </c>
      <c r="D31" s="42">
        <f t="shared" si="1"/>
        <v>13958.017779284557</v>
      </c>
      <c r="E31" s="42">
        <f t="shared" si="2"/>
        <v>18399.210098840173</v>
      </c>
      <c r="F31" s="42">
        <f t="shared" si="3"/>
        <v>8356411.4574718932</v>
      </c>
    </row>
    <row r="32" spans="1:8" x14ac:dyDescent="0.25">
      <c r="A32" s="41">
        <v>23</v>
      </c>
      <c r="B32" s="42">
        <f t="shared" si="4"/>
        <v>8356411.4574718932</v>
      </c>
      <c r="C32" s="42">
        <f t="shared" si="0"/>
        <v>32357.22787812473</v>
      </c>
      <c r="D32" s="42">
        <f t="shared" si="1"/>
        <v>13927.352429119823</v>
      </c>
      <c r="E32" s="42">
        <f t="shared" si="2"/>
        <v>18429.875449004907</v>
      </c>
      <c r="F32" s="42">
        <f t="shared" si="3"/>
        <v>8337981.5820228886</v>
      </c>
    </row>
    <row r="33" spans="1:6" x14ac:dyDescent="0.25">
      <c r="A33" s="41">
        <v>24</v>
      </c>
      <c r="B33" s="42">
        <f t="shared" si="4"/>
        <v>8337981.5820228886</v>
      </c>
      <c r="C33" s="42">
        <f t="shared" si="0"/>
        <v>32357.22787812473</v>
      </c>
      <c r="D33" s="42">
        <f t="shared" si="1"/>
        <v>13896.635970038149</v>
      </c>
      <c r="E33" s="42">
        <f t="shared" si="2"/>
        <v>18460.591908086579</v>
      </c>
      <c r="F33" s="42">
        <f t="shared" si="3"/>
        <v>8319520.9901148016</v>
      </c>
    </row>
    <row r="34" spans="1:6" s="319" customFormat="1" ht="13" x14ac:dyDescent="0.3">
      <c r="A34" s="317" t="s">
        <v>171</v>
      </c>
      <c r="B34" s="318"/>
      <c r="C34" s="318">
        <f>SUM(C22:C33)</f>
        <v>388286.73453749687</v>
      </c>
      <c r="D34" s="318">
        <f t="shared" ref="D34:E34" si="6">SUM(D22:D33)</f>
        <v>168775.71596097137</v>
      </c>
      <c r="E34" s="318">
        <f t="shared" si="6"/>
        <v>219511.01857652538</v>
      </c>
      <c r="F34" s="318"/>
    </row>
    <row r="35" spans="1:6" x14ac:dyDescent="0.25">
      <c r="A35" s="39">
        <v>25</v>
      </c>
      <c r="B35" s="40">
        <f>+F33</f>
        <v>8319520.9901148016</v>
      </c>
      <c r="C35" s="40">
        <f t="shared" si="0"/>
        <v>32357.22787812473</v>
      </c>
      <c r="D35" s="40">
        <f t="shared" si="1"/>
        <v>13865.868316858003</v>
      </c>
      <c r="E35" s="40">
        <f t="shared" si="2"/>
        <v>18491.359561266727</v>
      </c>
      <c r="F35" s="40">
        <f t="shared" si="3"/>
        <v>8301029.6305535352</v>
      </c>
    </row>
    <row r="36" spans="1:6" x14ac:dyDescent="0.25">
      <c r="A36" s="39">
        <v>26</v>
      </c>
      <c r="B36" s="40">
        <f t="shared" si="4"/>
        <v>8301029.6305535352</v>
      </c>
      <c r="C36" s="40">
        <f t="shared" si="0"/>
        <v>32357.22787812473</v>
      </c>
      <c r="D36" s="40">
        <f t="shared" si="1"/>
        <v>13835.049384255894</v>
      </c>
      <c r="E36" s="40">
        <f t="shared" si="2"/>
        <v>18522.178493868836</v>
      </c>
      <c r="F36" s="40">
        <f t="shared" si="3"/>
        <v>8282507.4520596666</v>
      </c>
    </row>
    <row r="37" spans="1:6" x14ac:dyDescent="0.25">
      <c r="A37" s="39">
        <v>27</v>
      </c>
      <c r="B37" s="40">
        <f t="shared" si="4"/>
        <v>8282507.4520596666</v>
      </c>
      <c r="C37" s="40">
        <f t="shared" si="0"/>
        <v>32357.22787812473</v>
      </c>
      <c r="D37" s="40">
        <f t="shared" si="1"/>
        <v>13804.179086766111</v>
      </c>
      <c r="E37" s="40">
        <f t="shared" si="2"/>
        <v>18553.048791358618</v>
      </c>
      <c r="F37" s="40">
        <f t="shared" si="3"/>
        <v>8263954.4032683084</v>
      </c>
    </row>
    <row r="38" spans="1:6" x14ac:dyDescent="0.25">
      <c r="A38" s="39">
        <v>28</v>
      </c>
      <c r="B38" s="40">
        <f t="shared" si="4"/>
        <v>8263954.4032683084</v>
      </c>
      <c r="C38" s="40">
        <f t="shared" si="0"/>
        <v>32357.22787812473</v>
      </c>
      <c r="D38" s="40">
        <f t="shared" si="1"/>
        <v>13773.257338780515</v>
      </c>
      <c r="E38" s="40">
        <f t="shared" si="2"/>
        <v>18583.970539344213</v>
      </c>
      <c r="F38" s="40">
        <f t="shared" si="3"/>
        <v>8245370.4327289639</v>
      </c>
    </row>
    <row r="39" spans="1:6" x14ac:dyDescent="0.25">
      <c r="A39" s="39">
        <v>29</v>
      </c>
      <c r="B39" s="40">
        <f t="shared" si="4"/>
        <v>8245370.4327289639</v>
      </c>
      <c r="C39" s="40">
        <f t="shared" si="0"/>
        <v>32357.22787812473</v>
      </c>
      <c r="D39" s="40">
        <f t="shared" si="1"/>
        <v>13742.284054548274</v>
      </c>
      <c r="E39" s="40">
        <f t="shared" si="2"/>
        <v>18614.943823576454</v>
      </c>
      <c r="F39" s="40">
        <f t="shared" si="3"/>
        <v>8226755.488905387</v>
      </c>
    </row>
    <row r="40" spans="1:6" x14ac:dyDescent="0.25">
      <c r="A40" s="39">
        <v>30</v>
      </c>
      <c r="B40" s="40">
        <f t="shared" si="4"/>
        <v>8226755.488905387</v>
      </c>
      <c r="C40" s="40">
        <f t="shared" si="0"/>
        <v>32357.22787812473</v>
      </c>
      <c r="D40" s="40">
        <f t="shared" si="1"/>
        <v>13711.259148175646</v>
      </c>
      <c r="E40" s="40">
        <f t="shared" si="2"/>
        <v>18645.968729949083</v>
      </c>
      <c r="F40" s="40">
        <f t="shared" si="3"/>
        <v>8208109.5201754384</v>
      </c>
    </row>
    <row r="41" spans="1:6" x14ac:dyDescent="0.25">
      <c r="A41" s="39">
        <v>31</v>
      </c>
      <c r="B41" s="40">
        <f t="shared" si="4"/>
        <v>8208109.5201754384</v>
      </c>
      <c r="C41" s="40">
        <f t="shared" si="0"/>
        <v>32357.22787812473</v>
      </c>
      <c r="D41" s="40">
        <f t="shared" si="1"/>
        <v>13680.182533625732</v>
      </c>
      <c r="E41" s="40">
        <f t="shared" si="2"/>
        <v>18677.045344498998</v>
      </c>
      <c r="F41" s="40">
        <f t="shared" si="3"/>
        <v>8189432.4748309394</v>
      </c>
    </row>
    <row r="42" spans="1:6" x14ac:dyDescent="0.25">
      <c r="A42" s="39">
        <v>32</v>
      </c>
      <c r="B42" s="40">
        <f t="shared" si="4"/>
        <v>8189432.4748309394</v>
      </c>
      <c r="C42" s="40">
        <f t="shared" si="0"/>
        <v>32357.22787812473</v>
      </c>
      <c r="D42" s="40">
        <f t="shared" si="1"/>
        <v>13649.054124718234</v>
      </c>
      <c r="E42" s="40">
        <f t="shared" si="2"/>
        <v>18708.173753406496</v>
      </c>
      <c r="F42" s="40">
        <f t="shared" si="3"/>
        <v>8170724.3010775326</v>
      </c>
    </row>
    <row r="43" spans="1:6" x14ac:dyDescent="0.25">
      <c r="A43" s="39">
        <v>33</v>
      </c>
      <c r="B43" s="40">
        <f t="shared" si="4"/>
        <v>8170724.3010775326</v>
      </c>
      <c r="C43" s="40">
        <f t="shared" si="0"/>
        <v>32357.22787812473</v>
      </c>
      <c r="D43" s="40">
        <f t="shared" si="1"/>
        <v>13617.873835129221</v>
      </c>
      <c r="E43" s="40">
        <f t="shared" si="2"/>
        <v>18739.35404299551</v>
      </c>
      <c r="F43" s="40">
        <f t="shared" si="3"/>
        <v>8151984.9470345369</v>
      </c>
    </row>
    <row r="44" spans="1:6" x14ac:dyDescent="0.25">
      <c r="A44" s="39">
        <v>34</v>
      </c>
      <c r="B44" s="40">
        <f t="shared" si="4"/>
        <v>8151984.9470345369</v>
      </c>
      <c r="C44" s="40">
        <f t="shared" si="0"/>
        <v>32357.22787812473</v>
      </c>
      <c r="D44" s="40">
        <f t="shared" si="1"/>
        <v>13586.641578390896</v>
      </c>
      <c r="E44" s="40">
        <f t="shared" si="2"/>
        <v>18770.586299733834</v>
      </c>
      <c r="F44" s="40">
        <f t="shared" si="3"/>
        <v>8133214.3607348027</v>
      </c>
    </row>
    <row r="45" spans="1:6" x14ac:dyDescent="0.25">
      <c r="A45" s="39">
        <v>35</v>
      </c>
      <c r="B45" s="40">
        <f t="shared" si="4"/>
        <v>8133214.3607348027</v>
      </c>
      <c r="C45" s="40">
        <f t="shared" si="0"/>
        <v>32357.22787812473</v>
      </c>
      <c r="D45" s="40">
        <f t="shared" si="1"/>
        <v>13555.357267891339</v>
      </c>
      <c r="E45" s="40">
        <f t="shared" si="2"/>
        <v>18801.870610233389</v>
      </c>
      <c r="F45" s="40">
        <f t="shared" si="3"/>
        <v>8114412.4901245693</v>
      </c>
    </row>
    <row r="46" spans="1:6" x14ac:dyDescent="0.25">
      <c r="A46" s="39">
        <v>36</v>
      </c>
      <c r="B46" s="40">
        <f t="shared" si="4"/>
        <v>8114412.4901245693</v>
      </c>
      <c r="C46" s="40">
        <f t="shared" si="0"/>
        <v>32357.22787812473</v>
      </c>
      <c r="D46" s="40">
        <f t="shared" si="1"/>
        <v>13524.020816874283</v>
      </c>
      <c r="E46" s="40">
        <f t="shared" si="2"/>
        <v>18833.207061250447</v>
      </c>
      <c r="F46" s="40">
        <f t="shared" si="3"/>
        <v>8095579.2830633186</v>
      </c>
    </row>
    <row r="47" spans="1:6" s="319" customFormat="1" ht="13" x14ac:dyDescent="0.3">
      <c r="A47" s="320" t="s">
        <v>172</v>
      </c>
      <c r="B47" s="321"/>
      <c r="C47" s="321">
        <f>SUM(C35:C46)</f>
        <v>388286.73453749687</v>
      </c>
      <c r="D47" s="321">
        <f t="shared" ref="D47:E47" si="7">SUM(D35:D46)</f>
        <v>164345.02748601415</v>
      </c>
      <c r="E47" s="321">
        <f t="shared" si="7"/>
        <v>223941.70705148263</v>
      </c>
      <c r="F47" s="321"/>
    </row>
    <row r="48" spans="1:6" x14ac:dyDescent="0.25">
      <c r="A48" s="37">
        <v>37</v>
      </c>
      <c r="B48" s="38">
        <f>+F46</f>
        <v>8095579.2830633186</v>
      </c>
      <c r="C48" s="38">
        <f t="shared" si="0"/>
        <v>32357.22787812473</v>
      </c>
      <c r="D48" s="38">
        <f t="shared" si="1"/>
        <v>13492.632138438865</v>
      </c>
      <c r="E48" s="38">
        <f t="shared" si="2"/>
        <v>18864.595739685865</v>
      </c>
      <c r="F48" s="38">
        <f t="shared" si="3"/>
        <v>8076714.6873236327</v>
      </c>
    </row>
    <row r="49" spans="1:6" x14ac:dyDescent="0.25">
      <c r="A49" s="37">
        <v>38</v>
      </c>
      <c r="B49" s="38">
        <f t="shared" si="4"/>
        <v>8076714.6873236327</v>
      </c>
      <c r="C49" s="38">
        <f t="shared" si="0"/>
        <v>32357.22787812473</v>
      </c>
      <c r="D49" s="38">
        <f t="shared" si="1"/>
        <v>13461.191145539389</v>
      </c>
      <c r="E49" s="38">
        <f t="shared" si="2"/>
        <v>18896.03673258534</v>
      </c>
      <c r="F49" s="38">
        <f t="shared" si="3"/>
        <v>8057818.6505910475</v>
      </c>
    </row>
    <row r="50" spans="1:6" x14ac:dyDescent="0.25">
      <c r="A50" s="37">
        <v>39</v>
      </c>
      <c r="B50" s="38">
        <f t="shared" si="4"/>
        <v>8057818.6505910475</v>
      </c>
      <c r="C50" s="38">
        <f t="shared" si="0"/>
        <v>32357.22787812473</v>
      </c>
      <c r="D50" s="38">
        <f t="shared" si="1"/>
        <v>13429.69775098508</v>
      </c>
      <c r="E50" s="38">
        <f t="shared" si="2"/>
        <v>18927.530127139649</v>
      </c>
      <c r="F50" s="38">
        <f t="shared" si="3"/>
        <v>8038891.1204639077</v>
      </c>
    </row>
    <row r="51" spans="1:6" x14ac:dyDescent="0.25">
      <c r="A51" s="37">
        <v>40</v>
      </c>
      <c r="B51" s="38">
        <f t="shared" si="4"/>
        <v>8038891.1204639077</v>
      </c>
      <c r="C51" s="38">
        <f t="shared" si="0"/>
        <v>32357.22787812473</v>
      </c>
      <c r="D51" s="38">
        <f t="shared" si="1"/>
        <v>13398.151867439847</v>
      </c>
      <c r="E51" s="38">
        <f t="shared" si="2"/>
        <v>18959.076010684883</v>
      </c>
      <c r="F51" s="38">
        <f t="shared" si="3"/>
        <v>8019932.0444532232</v>
      </c>
    </row>
    <row r="52" spans="1:6" x14ac:dyDescent="0.25">
      <c r="A52" s="37">
        <v>41</v>
      </c>
      <c r="B52" s="38">
        <f t="shared" si="4"/>
        <v>8019932.0444532232</v>
      </c>
      <c r="C52" s="38">
        <f t="shared" si="0"/>
        <v>32357.22787812473</v>
      </c>
      <c r="D52" s="38">
        <f t="shared" si="1"/>
        <v>13366.55340742204</v>
      </c>
      <c r="E52" s="38">
        <f t="shared" si="2"/>
        <v>18990.674470702688</v>
      </c>
      <c r="F52" s="38">
        <f t="shared" si="3"/>
        <v>8000941.3699825201</v>
      </c>
    </row>
    <row r="53" spans="1:6" x14ac:dyDescent="0.25">
      <c r="A53" s="37">
        <v>42</v>
      </c>
      <c r="B53" s="38">
        <f t="shared" si="4"/>
        <v>8000941.3699825201</v>
      </c>
      <c r="C53" s="38">
        <f t="shared" si="0"/>
        <v>32357.22787812473</v>
      </c>
      <c r="D53" s="38">
        <f t="shared" si="1"/>
        <v>13334.902283304202</v>
      </c>
      <c r="E53" s="38">
        <f t="shared" si="2"/>
        <v>19022.325594820526</v>
      </c>
      <c r="F53" s="38">
        <f t="shared" si="3"/>
        <v>7981919.0443877</v>
      </c>
    </row>
    <row r="54" spans="1:6" x14ac:dyDescent="0.25">
      <c r="A54" s="37">
        <v>43</v>
      </c>
      <c r="B54" s="38">
        <f t="shared" si="4"/>
        <v>7981919.0443877</v>
      </c>
      <c r="C54" s="38">
        <f t="shared" si="0"/>
        <v>32357.22787812473</v>
      </c>
      <c r="D54" s="38">
        <f t="shared" si="1"/>
        <v>13303.198407312835</v>
      </c>
      <c r="E54" s="38">
        <f t="shared" si="2"/>
        <v>19054.029470811896</v>
      </c>
      <c r="F54" s="38">
        <f t="shared" si="3"/>
        <v>7962865.0149168884</v>
      </c>
    </row>
    <row r="55" spans="1:6" x14ac:dyDescent="0.25">
      <c r="A55" s="37">
        <v>44</v>
      </c>
      <c r="B55" s="38">
        <f t="shared" si="4"/>
        <v>7962865.0149168884</v>
      </c>
      <c r="C55" s="38">
        <f t="shared" si="0"/>
        <v>32357.22787812473</v>
      </c>
      <c r="D55" s="38">
        <f t="shared" si="1"/>
        <v>13271.441691528149</v>
      </c>
      <c r="E55" s="38">
        <f t="shared" si="2"/>
        <v>19085.786186596582</v>
      </c>
      <c r="F55" s="38">
        <f t="shared" si="3"/>
        <v>7943779.2287302921</v>
      </c>
    </row>
    <row r="56" spans="1:6" x14ac:dyDescent="0.25">
      <c r="A56" s="37">
        <v>45</v>
      </c>
      <c r="B56" s="38">
        <f t="shared" si="4"/>
        <v>7943779.2287302921</v>
      </c>
      <c r="C56" s="38">
        <f t="shared" si="0"/>
        <v>32357.22787812473</v>
      </c>
      <c r="D56" s="38">
        <f t="shared" si="1"/>
        <v>13239.632047883821</v>
      </c>
      <c r="E56" s="38">
        <f t="shared" si="2"/>
        <v>19117.595830240909</v>
      </c>
      <c r="F56" s="38">
        <f t="shared" si="3"/>
        <v>7924661.6329000508</v>
      </c>
    </row>
    <row r="57" spans="1:6" x14ac:dyDescent="0.25">
      <c r="A57" s="37">
        <v>46</v>
      </c>
      <c r="B57" s="38">
        <f t="shared" si="4"/>
        <v>7924661.6329000508</v>
      </c>
      <c r="C57" s="38">
        <f t="shared" si="0"/>
        <v>32357.22787812473</v>
      </c>
      <c r="D57" s="38">
        <f t="shared" si="1"/>
        <v>13207.769388166753</v>
      </c>
      <c r="E57" s="38">
        <f t="shared" si="2"/>
        <v>19149.458489957979</v>
      </c>
      <c r="F57" s="38">
        <f t="shared" si="3"/>
        <v>7905512.1744100926</v>
      </c>
    </row>
    <row r="58" spans="1:6" x14ac:dyDescent="0.25">
      <c r="A58" s="37">
        <v>47</v>
      </c>
      <c r="B58" s="38">
        <f t="shared" si="4"/>
        <v>7905512.1744100926</v>
      </c>
      <c r="C58" s="38">
        <f t="shared" si="0"/>
        <v>32357.22787812473</v>
      </c>
      <c r="D58" s="38">
        <f t="shared" si="1"/>
        <v>13175.853624016821</v>
      </c>
      <c r="E58" s="38">
        <f t="shared" si="2"/>
        <v>19181.374254107908</v>
      </c>
      <c r="F58" s="38">
        <f t="shared" si="3"/>
        <v>7886330.8001559852</v>
      </c>
    </row>
    <row r="59" spans="1:6" x14ac:dyDescent="0.25">
      <c r="A59" s="37">
        <v>48</v>
      </c>
      <c r="B59" s="38">
        <f t="shared" si="4"/>
        <v>7886330.8001559852</v>
      </c>
      <c r="C59" s="38">
        <f t="shared" si="0"/>
        <v>32357.22787812473</v>
      </c>
      <c r="D59" s="38">
        <f t="shared" si="1"/>
        <v>13143.884666926642</v>
      </c>
      <c r="E59" s="38">
        <f t="shared" si="2"/>
        <v>19213.343211198087</v>
      </c>
      <c r="F59" s="38">
        <f t="shared" si="3"/>
        <v>7867117.4569447869</v>
      </c>
    </row>
    <row r="60" spans="1:6" s="319" customFormat="1" ht="13" x14ac:dyDescent="0.3">
      <c r="A60" s="322" t="s">
        <v>173</v>
      </c>
      <c r="B60" s="323"/>
      <c r="C60" s="323">
        <f>SUM(C48:C59)</f>
        <v>388286.73453749687</v>
      </c>
      <c r="D60" s="323">
        <f t="shared" ref="D60:E60" si="8">SUM(D48:D59)</f>
        <v>159824.90841896445</v>
      </c>
      <c r="E60" s="323">
        <f t="shared" si="8"/>
        <v>228461.82611853228</v>
      </c>
      <c r="F60" s="323"/>
    </row>
    <row r="61" spans="1:6" x14ac:dyDescent="0.25">
      <c r="A61" s="43">
        <v>49</v>
      </c>
      <c r="B61" s="44">
        <f>+F59</f>
        <v>7867117.4569447869</v>
      </c>
      <c r="C61" s="44">
        <f t="shared" si="0"/>
        <v>32357.22787812473</v>
      </c>
      <c r="D61" s="44">
        <f t="shared" si="1"/>
        <v>13111.862428241313</v>
      </c>
      <c r="E61" s="44">
        <f t="shared" si="2"/>
        <v>19245.365449883415</v>
      </c>
      <c r="F61" s="44">
        <f t="shared" si="3"/>
        <v>7847872.0914949039</v>
      </c>
    </row>
    <row r="62" spans="1:6" x14ac:dyDescent="0.25">
      <c r="A62" s="43">
        <v>50</v>
      </c>
      <c r="B62" s="44">
        <f t="shared" si="4"/>
        <v>7847872.0914949039</v>
      </c>
      <c r="C62" s="44">
        <f t="shared" si="0"/>
        <v>32357.22787812473</v>
      </c>
      <c r="D62" s="44">
        <f t="shared" si="1"/>
        <v>13079.786819158175</v>
      </c>
      <c r="E62" s="44">
        <f t="shared" si="2"/>
        <v>19277.441058966557</v>
      </c>
      <c r="F62" s="44">
        <f t="shared" si="3"/>
        <v>7828594.6504359376</v>
      </c>
    </row>
    <row r="63" spans="1:6" x14ac:dyDescent="0.25">
      <c r="A63" s="43">
        <v>51</v>
      </c>
      <c r="B63" s="44">
        <f t="shared" si="4"/>
        <v>7828594.6504359376</v>
      </c>
      <c r="C63" s="44">
        <f t="shared" si="0"/>
        <v>32357.22787812473</v>
      </c>
      <c r="D63" s="44">
        <f t="shared" si="1"/>
        <v>13047.657750726563</v>
      </c>
      <c r="E63" s="44">
        <f t="shared" si="2"/>
        <v>19309.570127398169</v>
      </c>
      <c r="F63" s="44">
        <f t="shared" si="3"/>
        <v>7809285.0803085398</v>
      </c>
    </row>
    <row r="64" spans="1:6" x14ac:dyDescent="0.25">
      <c r="A64" s="43">
        <v>52</v>
      </c>
      <c r="B64" s="44">
        <f t="shared" si="4"/>
        <v>7809285.0803085398</v>
      </c>
      <c r="C64" s="44">
        <f t="shared" si="0"/>
        <v>32357.22787812473</v>
      </c>
      <c r="D64" s="44">
        <f t="shared" si="1"/>
        <v>13015.475133847567</v>
      </c>
      <c r="E64" s="44">
        <f t="shared" si="2"/>
        <v>19341.752744277161</v>
      </c>
      <c r="F64" s="44">
        <f t="shared" si="3"/>
        <v>7789943.3275642628</v>
      </c>
    </row>
    <row r="65" spans="1:6" x14ac:dyDescent="0.25">
      <c r="A65" s="43">
        <v>53</v>
      </c>
      <c r="B65" s="44">
        <f t="shared" si="4"/>
        <v>7789943.3275642628</v>
      </c>
      <c r="C65" s="44">
        <f t="shared" si="0"/>
        <v>32357.22787812473</v>
      </c>
      <c r="D65" s="44">
        <f t="shared" si="1"/>
        <v>12983.238879273773</v>
      </c>
      <c r="E65" s="44">
        <f t="shared" si="2"/>
        <v>19373.988998850957</v>
      </c>
      <c r="F65" s="44">
        <f t="shared" si="3"/>
        <v>7770569.338565412</v>
      </c>
    </row>
    <row r="66" spans="1:6" x14ac:dyDescent="0.25">
      <c r="A66" s="43">
        <v>54</v>
      </c>
      <c r="B66" s="44">
        <f t="shared" si="4"/>
        <v>7770569.338565412</v>
      </c>
      <c r="C66" s="44">
        <f t="shared" si="0"/>
        <v>32357.22787812473</v>
      </c>
      <c r="D66" s="44">
        <f t="shared" si="1"/>
        <v>12950.948897609022</v>
      </c>
      <c r="E66" s="44">
        <f t="shared" si="2"/>
        <v>19406.278980515708</v>
      </c>
      <c r="F66" s="44">
        <f t="shared" si="3"/>
        <v>7751163.0595848961</v>
      </c>
    </row>
    <row r="67" spans="1:6" x14ac:dyDescent="0.25">
      <c r="A67" s="43">
        <v>55</v>
      </c>
      <c r="B67" s="44">
        <f t="shared" si="4"/>
        <v>7751163.0595848961</v>
      </c>
      <c r="C67" s="44">
        <f t="shared" si="0"/>
        <v>32357.22787812473</v>
      </c>
      <c r="D67" s="44">
        <f t="shared" si="1"/>
        <v>12918.605099308161</v>
      </c>
      <c r="E67" s="44">
        <f t="shared" si="2"/>
        <v>19438.622778816571</v>
      </c>
      <c r="F67" s="44">
        <f t="shared" si="3"/>
        <v>7731724.4368060799</v>
      </c>
    </row>
    <row r="68" spans="1:6" x14ac:dyDescent="0.25">
      <c r="A68" s="43">
        <v>56</v>
      </c>
      <c r="B68" s="44">
        <f t="shared" si="4"/>
        <v>7731724.4368060799</v>
      </c>
      <c r="C68" s="44">
        <f t="shared" si="0"/>
        <v>32357.22787812473</v>
      </c>
      <c r="D68" s="44">
        <f t="shared" si="1"/>
        <v>12886.207394676801</v>
      </c>
      <c r="E68" s="44">
        <f t="shared" si="2"/>
        <v>19471.02048344793</v>
      </c>
      <c r="F68" s="44">
        <f t="shared" si="3"/>
        <v>7712253.4163226318</v>
      </c>
    </row>
    <row r="69" spans="1:6" x14ac:dyDescent="0.25">
      <c r="A69" s="43">
        <v>57</v>
      </c>
      <c r="B69" s="44">
        <f t="shared" si="4"/>
        <v>7712253.4163226318</v>
      </c>
      <c r="C69" s="44">
        <f t="shared" si="0"/>
        <v>32357.22787812473</v>
      </c>
      <c r="D69" s="44">
        <f t="shared" si="1"/>
        <v>12853.755693871053</v>
      </c>
      <c r="E69" s="44">
        <f t="shared" si="2"/>
        <v>19503.472184253675</v>
      </c>
      <c r="F69" s="44">
        <f t="shared" si="3"/>
        <v>7692749.9441383779</v>
      </c>
    </row>
    <row r="70" spans="1:6" x14ac:dyDescent="0.25">
      <c r="A70" s="43">
        <v>58</v>
      </c>
      <c r="B70" s="44">
        <f t="shared" si="4"/>
        <v>7692749.9441383779</v>
      </c>
      <c r="C70" s="44">
        <f t="shared" si="0"/>
        <v>32357.22787812473</v>
      </c>
      <c r="D70" s="44">
        <f t="shared" si="1"/>
        <v>12821.249906897297</v>
      </c>
      <c r="E70" s="44">
        <f t="shared" si="2"/>
        <v>19535.977971227432</v>
      </c>
      <c r="F70" s="44">
        <f t="shared" si="3"/>
        <v>7673213.9661671501</v>
      </c>
    </row>
    <row r="71" spans="1:6" x14ac:dyDescent="0.25">
      <c r="A71" s="43">
        <v>59</v>
      </c>
      <c r="B71" s="44">
        <f t="shared" si="4"/>
        <v>7673213.9661671501</v>
      </c>
      <c r="C71" s="44">
        <f t="shared" si="0"/>
        <v>32357.22787812473</v>
      </c>
      <c r="D71" s="44">
        <f t="shared" si="1"/>
        <v>12788.689943611918</v>
      </c>
      <c r="E71" s="44">
        <f t="shared" si="2"/>
        <v>19568.537934512809</v>
      </c>
      <c r="F71" s="44">
        <f t="shared" si="3"/>
        <v>7653645.4282326372</v>
      </c>
    </row>
    <row r="72" spans="1:6" x14ac:dyDescent="0.25">
      <c r="A72" s="43">
        <v>60</v>
      </c>
      <c r="B72" s="44">
        <f t="shared" si="4"/>
        <v>7653645.4282326372</v>
      </c>
      <c r="C72" s="44">
        <f t="shared" si="0"/>
        <v>32357.22787812473</v>
      </c>
      <c r="D72" s="44">
        <f t="shared" si="1"/>
        <v>12756.075713721062</v>
      </c>
      <c r="E72" s="44">
        <f t="shared" si="2"/>
        <v>19601.152164403669</v>
      </c>
      <c r="F72" s="44">
        <f t="shared" si="3"/>
        <v>7634044.2760682339</v>
      </c>
    </row>
    <row r="73" spans="1:6" s="319" customFormat="1" ht="13" x14ac:dyDescent="0.3">
      <c r="A73" s="324" t="s">
        <v>174</v>
      </c>
      <c r="B73" s="325"/>
      <c r="C73" s="325">
        <f>SUM(C61:C72)</f>
        <v>388286.73453749687</v>
      </c>
      <c r="D73" s="325">
        <f t="shared" ref="D73:E73" si="9">SUM(D61:D72)</f>
        <v>155213.55366094271</v>
      </c>
      <c r="E73" s="325">
        <f t="shared" si="9"/>
        <v>233073.18087655405</v>
      </c>
      <c r="F73" s="325"/>
    </row>
    <row r="74" spans="1:6" x14ac:dyDescent="0.25">
      <c r="A74">
        <v>61</v>
      </c>
      <c r="B74" s="5">
        <f>+F72</f>
        <v>7634044.2760682339</v>
      </c>
      <c r="C74" s="5">
        <f t="shared" si="0"/>
        <v>32357.22787812473</v>
      </c>
      <c r="D74" s="5">
        <f t="shared" si="1"/>
        <v>12723.40712678039</v>
      </c>
      <c r="E74" s="5">
        <f t="shared" si="2"/>
        <v>19633.820751344341</v>
      </c>
      <c r="F74" s="5">
        <f t="shared" si="3"/>
        <v>7614410.4553168891</v>
      </c>
    </row>
    <row r="75" spans="1:6" x14ac:dyDescent="0.25">
      <c r="A75">
        <v>62</v>
      </c>
      <c r="B75" s="5">
        <f t="shared" si="4"/>
        <v>7614410.4553168891</v>
      </c>
      <c r="C75" s="5">
        <f t="shared" si="0"/>
        <v>32357.22787812473</v>
      </c>
      <c r="D75" s="5">
        <f t="shared" si="1"/>
        <v>12690.684092194815</v>
      </c>
      <c r="E75" s="5">
        <f t="shared" si="2"/>
        <v>19666.543785929913</v>
      </c>
      <c r="F75" s="5">
        <f t="shared" si="3"/>
        <v>7594743.9115309594</v>
      </c>
    </row>
    <row r="76" spans="1:6" x14ac:dyDescent="0.25">
      <c r="A76">
        <v>63</v>
      </c>
      <c r="B76" s="5">
        <f t="shared" si="4"/>
        <v>7594743.9115309594</v>
      </c>
      <c r="C76" s="5">
        <f t="shared" si="0"/>
        <v>32357.22787812473</v>
      </c>
      <c r="D76" s="5">
        <f t="shared" si="1"/>
        <v>12657.906519218266</v>
      </c>
      <c r="E76" s="5">
        <f t="shared" si="2"/>
        <v>19699.321358906462</v>
      </c>
      <c r="F76" s="5">
        <f t="shared" si="3"/>
        <v>7575044.5901720533</v>
      </c>
    </row>
    <row r="77" spans="1:6" x14ac:dyDescent="0.25">
      <c r="A77">
        <v>64</v>
      </c>
      <c r="B77" s="5">
        <f t="shared" si="4"/>
        <v>7575044.5901720533</v>
      </c>
      <c r="C77" s="5">
        <f t="shared" si="0"/>
        <v>32357.22787812473</v>
      </c>
      <c r="D77" s="5">
        <f t="shared" si="1"/>
        <v>12625.074316953423</v>
      </c>
      <c r="E77" s="5">
        <f t="shared" si="2"/>
        <v>19732.153561171304</v>
      </c>
      <c r="F77" s="5">
        <f t="shared" si="3"/>
        <v>7555312.4366108822</v>
      </c>
    </row>
    <row r="78" spans="1:6" x14ac:dyDescent="0.25">
      <c r="A78">
        <v>65</v>
      </c>
      <c r="B78" s="5">
        <f t="shared" si="4"/>
        <v>7555312.4366108822</v>
      </c>
      <c r="C78" s="5">
        <f t="shared" ref="C78:C141" si="10">+$B$6</f>
        <v>32357.22787812473</v>
      </c>
      <c r="D78" s="5">
        <f t="shared" ref="D78:D141" si="11">+B78*($B$4/12)</f>
        <v>12592.187394351471</v>
      </c>
      <c r="E78" s="5">
        <f t="shared" ref="E78:E141" si="12">+C78-D78</f>
        <v>19765.040483773257</v>
      </c>
      <c r="F78" s="5">
        <f t="shared" ref="F78:F141" si="13">+B78-E78</f>
        <v>7535547.3961271085</v>
      </c>
    </row>
    <row r="79" spans="1:6" x14ac:dyDescent="0.25">
      <c r="A79">
        <v>66</v>
      </c>
      <c r="B79" s="5">
        <f t="shared" ref="B79:B142" si="14">+F78</f>
        <v>7535547.3961271085</v>
      </c>
      <c r="C79" s="5">
        <f t="shared" si="10"/>
        <v>32357.22787812473</v>
      </c>
      <c r="D79" s="5">
        <f t="shared" si="11"/>
        <v>12559.245660211849</v>
      </c>
      <c r="E79" s="5">
        <f t="shared" si="12"/>
        <v>19797.982217912882</v>
      </c>
      <c r="F79" s="5">
        <f t="shared" si="13"/>
        <v>7515749.4139091959</v>
      </c>
    </row>
    <row r="80" spans="1:6" x14ac:dyDescent="0.25">
      <c r="A80">
        <v>67</v>
      </c>
      <c r="B80" s="5">
        <f t="shared" si="14"/>
        <v>7515749.4139091959</v>
      </c>
      <c r="C80" s="5">
        <f t="shared" si="10"/>
        <v>32357.22787812473</v>
      </c>
      <c r="D80" s="5">
        <f t="shared" si="11"/>
        <v>12526.249023181994</v>
      </c>
      <c r="E80" s="5">
        <f t="shared" si="12"/>
        <v>19830.978854942736</v>
      </c>
      <c r="F80" s="5">
        <f t="shared" si="13"/>
        <v>7495918.4350542529</v>
      </c>
    </row>
    <row r="81" spans="1:6" x14ac:dyDescent="0.25">
      <c r="A81">
        <v>68</v>
      </c>
      <c r="B81" s="5">
        <f t="shared" si="14"/>
        <v>7495918.4350542529</v>
      </c>
      <c r="C81" s="5">
        <f t="shared" si="10"/>
        <v>32357.22787812473</v>
      </c>
      <c r="D81" s="5">
        <f t="shared" si="11"/>
        <v>12493.197391757089</v>
      </c>
      <c r="E81" s="5">
        <f t="shared" si="12"/>
        <v>19864.030486367643</v>
      </c>
      <c r="F81" s="5">
        <f t="shared" si="13"/>
        <v>7476054.4045678852</v>
      </c>
    </row>
    <row r="82" spans="1:6" x14ac:dyDescent="0.25">
      <c r="A82">
        <v>69</v>
      </c>
      <c r="B82" s="5">
        <f t="shared" si="14"/>
        <v>7476054.4045678852</v>
      </c>
      <c r="C82" s="5">
        <f t="shared" si="10"/>
        <v>32357.22787812473</v>
      </c>
      <c r="D82" s="5">
        <f t="shared" si="11"/>
        <v>12460.090674279809</v>
      </c>
      <c r="E82" s="5">
        <f t="shared" si="12"/>
        <v>19897.137203844919</v>
      </c>
      <c r="F82" s="5">
        <f t="shared" si="13"/>
        <v>7456157.26736404</v>
      </c>
    </row>
    <row r="83" spans="1:6" x14ac:dyDescent="0.25">
      <c r="A83">
        <v>70</v>
      </c>
      <c r="B83" s="5">
        <f t="shared" si="14"/>
        <v>7456157.26736404</v>
      </c>
      <c r="C83" s="5">
        <f t="shared" si="10"/>
        <v>32357.22787812473</v>
      </c>
      <c r="D83" s="5">
        <f t="shared" si="11"/>
        <v>12426.928778940068</v>
      </c>
      <c r="E83" s="5">
        <f t="shared" si="12"/>
        <v>19930.29909918466</v>
      </c>
      <c r="F83" s="5">
        <f t="shared" si="13"/>
        <v>7436226.9682648554</v>
      </c>
    </row>
    <row r="84" spans="1:6" x14ac:dyDescent="0.25">
      <c r="A84">
        <v>71</v>
      </c>
      <c r="B84" s="5">
        <f t="shared" si="14"/>
        <v>7436226.9682648554</v>
      </c>
      <c r="C84" s="5">
        <f t="shared" si="10"/>
        <v>32357.22787812473</v>
      </c>
      <c r="D84" s="5">
        <f t="shared" si="11"/>
        <v>12393.71161377476</v>
      </c>
      <c r="E84" s="5">
        <f t="shared" si="12"/>
        <v>19963.516264349972</v>
      </c>
      <c r="F84" s="5">
        <f t="shared" si="13"/>
        <v>7416263.4520005053</v>
      </c>
    </row>
    <row r="85" spans="1:6" x14ac:dyDescent="0.25">
      <c r="A85">
        <v>72</v>
      </c>
      <c r="B85" s="5">
        <f t="shared" si="14"/>
        <v>7416263.4520005053</v>
      </c>
      <c r="C85" s="5">
        <f t="shared" si="10"/>
        <v>32357.22787812473</v>
      </c>
      <c r="D85" s="5">
        <f t="shared" si="11"/>
        <v>12360.439086667509</v>
      </c>
      <c r="E85" s="5">
        <f t="shared" si="12"/>
        <v>19996.78879145722</v>
      </c>
      <c r="F85" s="5">
        <f t="shared" si="13"/>
        <v>7396266.6632090481</v>
      </c>
    </row>
    <row r="86" spans="1:6" x14ac:dyDescent="0.25">
      <c r="A86">
        <v>73</v>
      </c>
      <c r="B86" s="5">
        <f t="shared" si="14"/>
        <v>7396266.6632090481</v>
      </c>
      <c r="C86" s="5">
        <f t="shared" si="10"/>
        <v>32357.22787812473</v>
      </c>
      <c r="D86" s="5">
        <f t="shared" si="11"/>
        <v>12327.111105348415</v>
      </c>
      <c r="E86" s="5">
        <f t="shared" si="12"/>
        <v>20030.116772776317</v>
      </c>
      <c r="F86" s="5">
        <f t="shared" si="13"/>
        <v>7376236.5464362716</v>
      </c>
    </row>
    <row r="87" spans="1:6" x14ac:dyDescent="0.25">
      <c r="A87">
        <v>74</v>
      </c>
      <c r="B87" s="5">
        <f t="shared" si="14"/>
        <v>7376236.5464362716</v>
      </c>
      <c r="C87" s="5">
        <f t="shared" si="10"/>
        <v>32357.22787812473</v>
      </c>
      <c r="D87" s="5">
        <f t="shared" si="11"/>
        <v>12293.727577393787</v>
      </c>
      <c r="E87" s="5">
        <f t="shared" si="12"/>
        <v>20063.500300730942</v>
      </c>
      <c r="F87" s="5">
        <f t="shared" si="13"/>
        <v>7356173.0461355411</v>
      </c>
    </row>
    <row r="88" spans="1:6" x14ac:dyDescent="0.25">
      <c r="A88">
        <v>75</v>
      </c>
      <c r="B88" s="5">
        <f t="shared" si="14"/>
        <v>7356173.0461355411</v>
      </c>
      <c r="C88" s="5">
        <f t="shared" si="10"/>
        <v>32357.22787812473</v>
      </c>
      <c r="D88" s="5">
        <f t="shared" si="11"/>
        <v>12260.288410225903</v>
      </c>
      <c r="E88" s="5">
        <f t="shared" si="12"/>
        <v>20096.939467898825</v>
      </c>
      <c r="F88" s="5">
        <f t="shared" si="13"/>
        <v>7336076.1066676425</v>
      </c>
    </row>
    <row r="89" spans="1:6" x14ac:dyDescent="0.25">
      <c r="A89">
        <v>76</v>
      </c>
      <c r="B89" s="5">
        <f t="shared" si="14"/>
        <v>7336076.1066676425</v>
      </c>
      <c r="C89" s="5">
        <f t="shared" si="10"/>
        <v>32357.22787812473</v>
      </c>
      <c r="D89" s="5">
        <f t="shared" si="11"/>
        <v>12226.793511112739</v>
      </c>
      <c r="E89" s="5">
        <f t="shared" si="12"/>
        <v>20130.434367011992</v>
      </c>
      <c r="F89" s="5">
        <f t="shared" si="13"/>
        <v>7315945.6723006302</v>
      </c>
    </row>
    <row r="90" spans="1:6" x14ac:dyDescent="0.25">
      <c r="A90">
        <v>77</v>
      </c>
      <c r="B90" s="5">
        <f t="shared" si="14"/>
        <v>7315945.6723006302</v>
      </c>
      <c r="C90" s="5">
        <f t="shared" si="10"/>
        <v>32357.22787812473</v>
      </c>
      <c r="D90" s="5">
        <f t="shared" si="11"/>
        <v>12193.242787167717</v>
      </c>
      <c r="E90" s="5">
        <f t="shared" si="12"/>
        <v>20163.985090957012</v>
      </c>
      <c r="F90" s="5">
        <f t="shared" si="13"/>
        <v>7295781.6872096732</v>
      </c>
    </row>
    <row r="91" spans="1:6" x14ac:dyDescent="0.25">
      <c r="A91">
        <v>78</v>
      </c>
      <c r="B91" s="5">
        <f t="shared" si="14"/>
        <v>7295781.6872096732</v>
      </c>
      <c r="C91" s="5">
        <f t="shared" si="10"/>
        <v>32357.22787812473</v>
      </c>
      <c r="D91" s="5">
        <f t="shared" si="11"/>
        <v>12159.636145349456</v>
      </c>
      <c r="E91" s="5">
        <f t="shared" si="12"/>
        <v>20197.591732775276</v>
      </c>
      <c r="F91" s="5">
        <f t="shared" si="13"/>
        <v>7275584.0954768984</v>
      </c>
    </row>
    <row r="92" spans="1:6" x14ac:dyDescent="0.25">
      <c r="A92">
        <v>79</v>
      </c>
      <c r="B92" s="5">
        <f t="shared" si="14"/>
        <v>7275584.0954768984</v>
      </c>
      <c r="C92" s="5">
        <f t="shared" si="10"/>
        <v>32357.22787812473</v>
      </c>
      <c r="D92" s="5">
        <f t="shared" si="11"/>
        <v>12125.973492461499</v>
      </c>
      <c r="E92" s="5">
        <f t="shared" si="12"/>
        <v>20231.254385663233</v>
      </c>
      <c r="F92" s="5">
        <f t="shared" si="13"/>
        <v>7255352.8410912352</v>
      </c>
    </row>
    <row r="93" spans="1:6" x14ac:dyDescent="0.25">
      <c r="A93">
        <v>80</v>
      </c>
      <c r="B93" s="5">
        <f t="shared" si="14"/>
        <v>7255352.8410912352</v>
      </c>
      <c r="C93" s="5">
        <f t="shared" si="10"/>
        <v>32357.22787812473</v>
      </c>
      <c r="D93" s="5">
        <f t="shared" si="11"/>
        <v>12092.254735152059</v>
      </c>
      <c r="E93" s="5">
        <f t="shared" si="12"/>
        <v>20264.973142972671</v>
      </c>
      <c r="F93" s="5">
        <f t="shared" si="13"/>
        <v>7235087.867948263</v>
      </c>
    </row>
    <row r="94" spans="1:6" x14ac:dyDescent="0.25">
      <c r="A94">
        <v>81</v>
      </c>
      <c r="B94" s="5">
        <f t="shared" si="14"/>
        <v>7235087.867948263</v>
      </c>
      <c r="C94" s="5">
        <f t="shared" si="10"/>
        <v>32357.22787812473</v>
      </c>
      <c r="D94" s="5">
        <f t="shared" si="11"/>
        <v>12058.479779913772</v>
      </c>
      <c r="E94" s="5">
        <f t="shared" si="12"/>
        <v>20298.748098210956</v>
      </c>
      <c r="F94" s="5">
        <f t="shared" si="13"/>
        <v>7214789.1198500516</v>
      </c>
    </row>
    <row r="95" spans="1:6" x14ac:dyDescent="0.25">
      <c r="A95">
        <v>82</v>
      </c>
      <c r="B95" s="5">
        <f t="shared" si="14"/>
        <v>7214789.1198500516</v>
      </c>
      <c r="C95" s="5">
        <f t="shared" si="10"/>
        <v>32357.22787812473</v>
      </c>
      <c r="D95" s="5">
        <f t="shared" si="11"/>
        <v>12024.64853308342</v>
      </c>
      <c r="E95" s="5">
        <f t="shared" si="12"/>
        <v>20332.579345041311</v>
      </c>
      <c r="F95" s="5">
        <f t="shared" si="13"/>
        <v>7194456.5405050106</v>
      </c>
    </row>
    <row r="96" spans="1:6" x14ac:dyDescent="0.25">
      <c r="A96">
        <v>83</v>
      </c>
      <c r="B96" s="5">
        <f t="shared" si="14"/>
        <v>7194456.5405050106</v>
      </c>
      <c r="C96" s="5">
        <f t="shared" si="10"/>
        <v>32357.22787812473</v>
      </c>
      <c r="D96" s="5">
        <f t="shared" si="11"/>
        <v>11990.760900841686</v>
      </c>
      <c r="E96" s="5">
        <f t="shared" si="12"/>
        <v>20366.466977283046</v>
      </c>
      <c r="F96" s="5">
        <f t="shared" si="13"/>
        <v>7174090.0735277273</v>
      </c>
    </row>
    <row r="97" spans="1:6" x14ac:dyDescent="0.25">
      <c r="A97">
        <v>84</v>
      </c>
      <c r="B97" s="5">
        <f t="shared" si="14"/>
        <v>7174090.0735277273</v>
      </c>
      <c r="C97" s="5">
        <f t="shared" si="10"/>
        <v>32357.22787812473</v>
      </c>
      <c r="D97" s="5">
        <f t="shared" si="11"/>
        <v>11956.81678921288</v>
      </c>
      <c r="E97" s="5">
        <f t="shared" si="12"/>
        <v>20400.411088911849</v>
      </c>
      <c r="F97" s="5">
        <f t="shared" si="13"/>
        <v>7153689.6624388155</v>
      </c>
    </row>
    <row r="98" spans="1:6" x14ac:dyDescent="0.25">
      <c r="A98">
        <v>85</v>
      </c>
      <c r="B98" s="5">
        <f t="shared" si="14"/>
        <v>7153689.6624388155</v>
      </c>
      <c r="C98" s="5">
        <f t="shared" si="10"/>
        <v>32357.22787812473</v>
      </c>
      <c r="D98" s="5">
        <f t="shared" si="11"/>
        <v>11922.816104064694</v>
      </c>
      <c r="E98" s="5">
        <f t="shared" si="12"/>
        <v>20434.411774060034</v>
      </c>
      <c r="F98" s="5">
        <f t="shared" si="13"/>
        <v>7133255.2506647557</v>
      </c>
    </row>
    <row r="99" spans="1:6" x14ac:dyDescent="0.25">
      <c r="A99">
        <v>86</v>
      </c>
      <c r="B99" s="5">
        <f t="shared" si="14"/>
        <v>7133255.2506647557</v>
      </c>
      <c r="C99" s="5">
        <f t="shared" si="10"/>
        <v>32357.22787812473</v>
      </c>
      <c r="D99" s="5">
        <f t="shared" si="11"/>
        <v>11888.758751107927</v>
      </c>
      <c r="E99" s="5">
        <f t="shared" si="12"/>
        <v>20468.469127016804</v>
      </c>
      <c r="F99" s="5">
        <f t="shared" si="13"/>
        <v>7112786.7815377386</v>
      </c>
    </row>
    <row r="100" spans="1:6" x14ac:dyDescent="0.25">
      <c r="A100">
        <v>87</v>
      </c>
      <c r="B100" s="5">
        <f t="shared" si="14"/>
        <v>7112786.7815377386</v>
      </c>
      <c r="C100" s="5">
        <f t="shared" si="10"/>
        <v>32357.22787812473</v>
      </c>
      <c r="D100" s="5">
        <f t="shared" si="11"/>
        <v>11854.644635896231</v>
      </c>
      <c r="E100" s="5">
        <f t="shared" si="12"/>
        <v>20502.583242228498</v>
      </c>
      <c r="F100" s="5">
        <f t="shared" si="13"/>
        <v>7092284.1982955104</v>
      </c>
    </row>
    <row r="101" spans="1:6" x14ac:dyDescent="0.25">
      <c r="A101">
        <v>88</v>
      </c>
      <c r="B101" s="5">
        <f t="shared" si="14"/>
        <v>7092284.1982955104</v>
      </c>
      <c r="C101" s="5">
        <f t="shared" si="10"/>
        <v>32357.22787812473</v>
      </c>
      <c r="D101" s="5">
        <f t="shared" si="11"/>
        <v>11820.473663825851</v>
      </c>
      <c r="E101" s="5">
        <f t="shared" si="12"/>
        <v>20536.754214298879</v>
      </c>
      <c r="F101" s="5">
        <f t="shared" si="13"/>
        <v>7071747.4440812115</v>
      </c>
    </row>
    <row r="102" spans="1:6" x14ac:dyDescent="0.25">
      <c r="A102">
        <v>89</v>
      </c>
      <c r="B102" s="5">
        <f t="shared" si="14"/>
        <v>7071747.4440812115</v>
      </c>
      <c r="C102" s="5">
        <f t="shared" si="10"/>
        <v>32357.22787812473</v>
      </c>
      <c r="D102" s="5">
        <f t="shared" si="11"/>
        <v>11786.245740135353</v>
      </c>
      <c r="E102" s="5">
        <f t="shared" si="12"/>
        <v>20570.982137989376</v>
      </c>
      <c r="F102" s="5">
        <f t="shared" si="13"/>
        <v>7051176.4619432222</v>
      </c>
    </row>
    <row r="103" spans="1:6" x14ac:dyDescent="0.25">
      <c r="A103">
        <v>90</v>
      </c>
      <c r="B103" s="5">
        <f t="shared" si="14"/>
        <v>7051176.4619432222</v>
      </c>
      <c r="C103" s="5">
        <f t="shared" si="10"/>
        <v>32357.22787812473</v>
      </c>
      <c r="D103" s="5">
        <f t="shared" si="11"/>
        <v>11751.96076990537</v>
      </c>
      <c r="E103" s="5">
        <f t="shared" si="12"/>
        <v>20605.267108219359</v>
      </c>
      <c r="F103" s="5">
        <f t="shared" si="13"/>
        <v>7030571.1948350025</v>
      </c>
    </row>
    <row r="104" spans="1:6" x14ac:dyDescent="0.25">
      <c r="A104">
        <v>91</v>
      </c>
      <c r="B104" s="5">
        <f t="shared" si="14"/>
        <v>7030571.1948350025</v>
      </c>
      <c r="C104" s="5">
        <f t="shared" si="10"/>
        <v>32357.22787812473</v>
      </c>
      <c r="D104" s="5">
        <f t="shared" si="11"/>
        <v>11717.618658058338</v>
      </c>
      <c r="E104" s="5">
        <f t="shared" si="12"/>
        <v>20639.609220066392</v>
      </c>
      <c r="F104" s="5">
        <f t="shared" si="13"/>
        <v>7009931.5856149364</v>
      </c>
    </row>
    <row r="105" spans="1:6" x14ac:dyDescent="0.25">
      <c r="A105">
        <v>92</v>
      </c>
      <c r="B105" s="5">
        <f t="shared" si="14"/>
        <v>7009931.5856149364</v>
      </c>
      <c r="C105" s="5">
        <f t="shared" si="10"/>
        <v>32357.22787812473</v>
      </c>
      <c r="D105" s="5">
        <f t="shared" si="11"/>
        <v>11683.219309358228</v>
      </c>
      <c r="E105" s="5">
        <f t="shared" si="12"/>
        <v>20674.008568766501</v>
      </c>
      <c r="F105" s="5">
        <f t="shared" si="13"/>
        <v>6989257.5770461699</v>
      </c>
    </row>
    <row r="106" spans="1:6" x14ac:dyDescent="0.25">
      <c r="A106">
        <v>93</v>
      </c>
      <c r="B106" s="5">
        <f t="shared" si="14"/>
        <v>6989257.5770461699</v>
      </c>
      <c r="C106" s="5">
        <f t="shared" si="10"/>
        <v>32357.22787812473</v>
      </c>
      <c r="D106" s="5">
        <f t="shared" si="11"/>
        <v>11648.762628410284</v>
      </c>
      <c r="E106" s="5">
        <f t="shared" si="12"/>
        <v>20708.465249714445</v>
      </c>
      <c r="F106" s="5">
        <f t="shared" si="13"/>
        <v>6968549.1117964555</v>
      </c>
    </row>
    <row r="107" spans="1:6" x14ac:dyDescent="0.25">
      <c r="A107">
        <v>94</v>
      </c>
      <c r="B107" s="5">
        <f t="shared" si="14"/>
        <v>6968549.1117964555</v>
      </c>
      <c r="C107" s="5">
        <f t="shared" si="10"/>
        <v>32357.22787812473</v>
      </c>
      <c r="D107" s="5">
        <f t="shared" si="11"/>
        <v>11614.248519660759</v>
      </c>
      <c r="E107" s="5">
        <f t="shared" si="12"/>
        <v>20742.97935846397</v>
      </c>
      <c r="F107" s="5">
        <f t="shared" si="13"/>
        <v>6947806.1324379919</v>
      </c>
    </row>
    <row r="108" spans="1:6" x14ac:dyDescent="0.25">
      <c r="A108">
        <v>95</v>
      </c>
      <c r="B108" s="5">
        <f t="shared" si="14"/>
        <v>6947806.1324379919</v>
      </c>
      <c r="C108" s="5">
        <f t="shared" si="10"/>
        <v>32357.22787812473</v>
      </c>
      <c r="D108" s="5">
        <f t="shared" si="11"/>
        <v>11579.676887396654</v>
      </c>
      <c r="E108" s="5">
        <f t="shared" si="12"/>
        <v>20777.550990728076</v>
      </c>
      <c r="F108" s="5">
        <f t="shared" si="13"/>
        <v>6927028.5814472642</v>
      </c>
    </row>
    <row r="109" spans="1:6" x14ac:dyDescent="0.25">
      <c r="A109">
        <v>96</v>
      </c>
      <c r="B109" s="5">
        <f t="shared" si="14"/>
        <v>6927028.5814472642</v>
      </c>
      <c r="C109" s="5">
        <f t="shared" si="10"/>
        <v>32357.22787812473</v>
      </c>
      <c r="D109" s="5">
        <f t="shared" si="11"/>
        <v>11545.047635745441</v>
      </c>
      <c r="E109" s="5">
        <f t="shared" si="12"/>
        <v>20812.180242379291</v>
      </c>
      <c r="F109" s="5">
        <f t="shared" si="13"/>
        <v>6906216.401204885</v>
      </c>
    </row>
    <row r="110" spans="1:6" x14ac:dyDescent="0.25">
      <c r="A110">
        <v>97</v>
      </c>
      <c r="B110" s="5">
        <f t="shared" si="14"/>
        <v>6906216.401204885</v>
      </c>
      <c r="C110" s="5">
        <f t="shared" si="10"/>
        <v>32357.22787812473</v>
      </c>
      <c r="D110" s="5">
        <f t="shared" si="11"/>
        <v>11510.36066867481</v>
      </c>
      <c r="E110" s="5">
        <f t="shared" si="12"/>
        <v>20846.86720944992</v>
      </c>
      <c r="F110" s="5">
        <f t="shared" si="13"/>
        <v>6885369.5339954346</v>
      </c>
    </row>
    <row r="111" spans="1:6" x14ac:dyDescent="0.25">
      <c r="A111">
        <v>98</v>
      </c>
      <c r="B111" s="5">
        <f t="shared" si="14"/>
        <v>6885369.5339954346</v>
      </c>
      <c r="C111" s="5">
        <f t="shared" si="10"/>
        <v>32357.22787812473</v>
      </c>
      <c r="D111" s="5">
        <f t="shared" si="11"/>
        <v>11475.615889992392</v>
      </c>
      <c r="E111" s="5">
        <f t="shared" si="12"/>
        <v>20881.611988132339</v>
      </c>
      <c r="F111" s="5">
        <f t="shared" si="13"/>
        <v>6864487.9220073028</v>
      </c>
    </row>
    <row r="112" spans="1:6" x14ac:dyDescent="0.25">
      <c r="A112">
        <v>99</v>
      </c>
      <c r="B112" s="5">
        <f t="shared" si="14"/>
        <v>6864487.9220073028</v>
      </c>
      <c r="C112" s="5">
        <f t="shared" si="10"/>
        <v>32357.22787812473</v>
      </c>
      <c r="D112" s="5">
        <f t="shared" si="11"/>
        <v>11440.813203345506</v>
      </c>
      <c r="E112" s="5">
        <f t="shared" si="12"/>
        <v>20916.414674779226</v>
      </c>
      <c r="F112" s="5">
        <f t="shared" si="13"/>
        <v>6843571.5073325234</v>
      </c>
    </row>
    <row r="113" spans="1:6" x14ac:dyDescent="0.25">
      <c r="A113">
        <v>100</v>
      </c>
      <c r="B113" s="5">
        <f t="shared" si="14"/>
        <v>6843571.5073325234</v>
      </c>
      <c r="C113" s="5">
        <f t="shared" si="10"/>
        <v>32357.22787812473</v>
      </c>
      <c r="D113" s="5">
        <f t="shared" si="11"/>
        <v>11405.952512220872</v>
      </c>
      <c r="E113" s="5">
        <f t="shared" si="12"/>
        <v>20951.275365903857</v>
      </c>
      <c r="F113" s="5">
        <f t="shared" si="13"/>
        <v>6822620.2319666194</v>
      </c>
    </row>
    <row r="114" spans="1:6" x14ac:dyDescent="0.25">
      <c r="A114">
        <v>101</v>
      </c>
      <c r="B114" s="5">
        <f t="shared" si="14"/>
        <v>6822620.2319666194</v>
      </c>
      <c r="C114" s="5">
        <f t="shared" si="10"/>
        <v>32357.22787812473</v>
      </c>
      <c r="D114" s="5">
        <f t="shared" si="11"/>
        <v>11371.033719944366</v>
      </c>
      <c r="E114" s="5">
        <f t="shared" si="12"/>
        <v>20986.194158180362</v>
      </c>
      <c r="F114" s="5">
        <f t="shared" si="13"/>
        <v>6801634.0378084388</v>
      </c>
    </row>
    <row r="115" spans="1:6" x14ac:dyDescent="0.25">
      <c r="A115">
        <v>102</v>
      </c>
      <c r="B115" s="5">
        <f t="shared" si="14"/>
        <v>6801634.0378084388</v>
      </c>
      <c r="C115" s="5">
        <f t="shared" si="10"/>
        <v>32357.22787812473</v>
      </c>
      <c r="D115" s="5">
        <f t="shared" si="11"/>
        <v>11336.056729680731</v>
      </c>
      <c r="E115" s="5">
        <f t="shared" si="12"/>
        <v>21021.171148443998</v>
      </c>
      <c r="F115" s="5">
        <f t="shared" si="13"/>
        <v>6780612.8666599952</v>
      </c>
    </row>
    <row r="116" spans="1:6" x14ac:dyDescent="0.25">
      <c r="A116">
        <v>103</v>
      </c>
      <c r="B116" s="5">
        <f t="shared" si="14"/>
        <v>6780612.8666599952</v>
      </c>
      <c r="C116" s="5">
        <f t="shared" si="10"/>
        <v>32357.22787812473</v>
      </c>
      <c r="D116" s="5">
        <f t="shared" si="11"/>
        <v>11301.021444433327</v>
      </c>
      <c r="E116" s="5">
        <f t="shared" si="12"/>
        <v>21056.206433691405</v>
      </c>
      <c r="F116" s="5">
        <f t="shared" si="13"/>
        <v>6759556.6602263041</v>
      </c>
    </row>
    <row r="117" spans="1:6" x14ac:dyDescent="0.25">
      <c r="A117">
        <v>104</v>
      </c>
      <c r="B117" s="5">
        <f t="shared" si="14"/>
        <v>6759556.6602263041</v>
      </c>
      <c r="C117" s="5">
        <f t="shared" si="10"/>
        <v>32357.22787812473</v>
      </c>
      <c r="D117" s="5">
        <f t="shared" si="11"/>
        <v>11265.927767043841</v>
      </c>
      <c r="E117" s="5">
        <f t="shared" si="12"/>
        <v>21091.300111080891</v>
      </c>
      <c r="F117" s="5">
        <f t="shared" si="13"/>
        <v>6738465.3601152236</v>
      </c>
    </row>
    <row r="118" spans="1:6" x14ac:dyDescent="0.25">
      <c r="A118">
        <v>105</v>
      </c>
      <c r="B118" s="5">
        <f t="shared" si="14"/>
        <v>6738465.3601152236</v>
      </c>
      <c r="C118" s="5">
        <f t="shared" si="10"/>
        <v>32357.22787812473</v>
      </c>
      <c r="D118" s="5">
        <f t="shared" si="11"/>
        <v>11230.775600192041</v>
      </c>
      <c r="E118" s="5">
        <f t="shared" si="12"/>
        <v>21126.452277932687</v>
      </c>
      <c r="F118" s="5">
        <f t="shared" si="13"/>
        <v>6717338.9078372912</v>
      </c>
    </row>
    <row r="119" spans="1:6" x14ac:dyDescent="0.25">
      <c r="A119">
        <v>106</v>
      </c>
      <c r="B119" s="5">
        <f t="shared" si="14"/>
        <v>6717338.9078372912</v>
      </c>
      <c r="C119" s="5">
        <f t="shared" si="10"/>
        <v>32357.22787812473</v>
      </c>
      <c r="D119" s="5">
        <f t="shared" si="11"/>
        <v>11195.564846395486</v>
      </c>
      <c r="E119" s="5">
        <f t="shared" si="12"/>
        <v>21161.663031729244</v>
      </c>
      <c r="F119" s="5">
        <f t="shared" si="13"/>
        <v>6696177.2448055623</v>
      </c>
    </row>
    <row r="120" spans="1:6" x14ac:dyDescent="0.25">
      <c r="A120">
        <v>107</v>
      </c>
      <c r="B120" s="5">
        <f t="shared" si="14"/>
        <v>6696177.2448055623</v>
      </c>
      <c r="C120" s="5">
        <f t="shared" si="10"/>
        <v>32357.22787812473</v>
      </c>
      <c r="D120" s="5">
        <f t="shared" si="11"/>
        <v>11160.295408009271</v>
      </c>
      <c r="E120" s="5">
        <f t="shared" si="12"/>
        <v>21196.932470115458</v>
      </c>
      <c r="F120" s="5">
        <f t="shared" si="13"/>
        <v>6674980.3123354465</v>
      </c>
    </row>
    <row r="121" spans="1:6" x14ac:dyDescent="0.25">
      <c r="A121">
        <v>108</v>
      </c>
      <c r="B121" s="5">
        <f t="shared" si="14"/>
        <v>6674980.3123354465</v>
      </c>
      <c r="C121" s="5">
        <f t="shared" si="10"/>
        <v>32357.22787812473</v>
      </c>
      <c r="D121" s="5">
        <f t="shared" si="11"/>
        <v>11124.967187225744</v>
      </c>
      <c r="E121" s="5">
        <f t="shared" si="12"/>
        <v>21232.260690898984</v>
      </c>
      <c r="F121" s="5">
        <f t="shared" si="13"/>
        <v>6653748.0516445478</v>
      </c>
    </row>
    <row r="122" spans="1:6" x14ac:dyDescent="0.25">
      <c r="A122">
        <v>109</v>
      </c>
      <c r="B122" s="5">
        <f t="shared" si="14"/>
        <v>6653748.0516445478</v>
      </c>
      <c r="C122" s="5">
        <f t="shared" si="10"/>
        <v>32357.22787812473</v>
      </c>
      <c r="D122" s="5">
        <f t="shared" si="11"/>
        <v>11089.580086074247</v>
      </c>
      <c r="E122" s="5">
        <f t="shared" si="12"/>
        <v>21267.647792050484</v>
      </c>
      <c r="F122" s="5">
        <f t="shared" si="13"/>
        <v>6632480.4038524972</v>
      </c>
    </row>
    <row r="123" spans="1:6" x14ac:dyDescent="0.25">
      <c r="A123">
        <v>110</v>
      </c>
      <c r="B123" s="5">
        <f t="shared" si="14"/>
        <v>6632480.4038524972</v>
      </c>
      <c r="C123" s="5">
        <f t="shared" si="10"/>
        <v>32357.22787812473</v>
      </c>
      <c r="D123" s="5">
        <f t="shared" si="11"/>
        <v>11054.134006420829</v>
      </c>
      <c r="E123" s="5">
        <f t="shared" si="12"/>
        <v>21303.093871703903</v>
      </c>
      <c r="F123" s="5">
        <f t="shared" si="13"/>
        <v>6611177.3099807929</v>
      </c>
    </row>
    <row r="124" spans="1:6" x14ac:dyDescent="0.25">
      <c r="A124">
        <v>111</v>
      </c>
      <c r="B124" s="5">
        <f t="shared" si="14"/>
        <v>6611177.3099807929</v>
      </c>
      <c r="C124" s="5">
        <f t="shared" si="10"/>
        <v>32357.22787812473</v>
      </c>
      <c r="D124" s="5">
        <f t="shared" si="11"/>
        <v>11018.628849967989</v>
      </c>
      <c r="E124" s="5">
        <f t="shared" si="12"/>
        <v>21338.599028156743</v>
      </c>
      <c r="F124" s="5">
        <f t="shared" si="13"/>
        <v>6589838.7109526359</v>
      </c>
    </row>
    <row r="125" spans="1:6" x14ac:dyDescent="0.25">
      <c r="A125">
        <v>112</v>
      </c>
      <c r="B125" s="5">
        <f t="shared" si="14"/>
        <v>6589838.7109526359</v>
      </c>
      <c r="C125" s="5">
        <f t="shared" si="10"/>
        <v>32357.22787812473</v>
      </c>
      <c r="D125" s="5">
        <f t="shared" si="11"/>
        <v>10983.064518254394</v>
      </c>
      <c r="E125" s="5">
        <f t="shared" si="12"/>
        <v>21374.163359870334</v>
      </c>
      <c r="F125" s="5">
        <f t="shared" si="13"/>
        <v>6568464.5475927657</v>
      </c>
    </row>
    <row r="126" spans="1:6" x14ac:dyDescent="0.25">
      <c r="A126">
        <v>113</v>
      </c>
      <c r="B126" s="5">
        <f t="shared" si="14"/>
        <v>6568464.5475927657</v>
      </c>
      <c r="C126" s="5">
        <f t="shared" si="10"/>
        <v>32357.22787812473</v>
      </c>
      <c r="D126" s="5">
        <f t="shared" si="11"/>
        <v>10947.440912654611</v>
      </c>
      <c r="E126" s="5">
        <f t="shared" si="12"/>
        <v>21409.786965470121</v>
      </c>
      <c r="F126" s="5">
        <f t="shared" si="13"/>
        <v>6547054.7606272958</v>
      </c>
    </row>
    <row r="127" spans="1:6" x14ac:dyDescent="0.25">
      <c r="A127">
        <v>114</v>
      </c>
      <c r="B127" s="5">
        <f t="shared" si="14"/>
        <v>6547054.7606272958</v>
      </c>
      <c r="C127" s="5">
        <f t="shared" si="10"/>
        <v>32357.22787812473</v>
      </c>
      <c r="D127" s="5">
        <f t="shared" si="11"/>
        <v>10911.757934378827</v>
      </c>
      <c r="E127" s="5">
        <f t="shared" si="12"/>
        <v>21445.469943745902</v>
      </c>
      <c r="F127" s="5">
        <f t="shared" si="13"/>
        <v>6525609.2906835498</v>
      </c>
    </row>
    <row r="128" spans="1:6" x14ac:dyDescent="0.25">
      <c r="A128">
        <v>115</v>
      </c>
      <c r="B128" s="5">
        <f t="shared" si="14"/>
        <v>6525609.2906835498</v>
      </c>
      <c r="C128" s="5">
        <f t="shared" si="10"/>
        <v>32357.22787812473</v>
      </c>
      <c r="D128" s="5">
        <f t="shared" si="11"/>
        <v>10876.015484472584</v>
      </c>
      <c r="E128" s="5">
        <f t="shared" si="12"/>
        <v>21481.212393652146</v>
      </c>
      <c r="F128" s="5">
        <f t="shared" si="13"/>
        <v>6504128.0782898981</v>
      </c>
    </row>
    <row r="129" spans="1:6" x14ac:dyDescent="0.25">
      <c r="A129">
        <v>116</v>
      </c>
      <c r="B129" s="5">
        <f t="shared" si="14"/>
        <v>6504128.0782898981</v>
      </c>
      <c r="C129" s="5">
        <f t="shared" si="10"/>
        <v>32357.22787812473</v>
      </c>
      <c r="D129" s="5">
        <f t="shared" si="11"/>
        <v>10840.213463816497</v>
      </c>
      <c r="E129" s="5">
        <f t="shared" si="12"/>
        <v>21517.014414308233</v>
      </c>
      <c r="F129" s="5">
        <f t="shared" si="13"/>
        <v>6482611.0638755895</v>
      </c>
    </row>
    <row r="130" spans="1:6" x14ac:dyDescent="0.25">
      <c r="A130">
        <v>117</v>
      </c>
      <c r="B130" s="5">
        <f t="shared" si="14"/>
        <v>6482611.0638755895</v>
      </c>
      <c r="C130" s="5">
        <f t="shared" si="10"/>
        <v>32357.22787812473</v>
      </c>
      <c r="D130" s="5">
        <f t="shared" si="11"/>
        <v>10804.351773125984</v>
      </c>
      <c r="E130" s="5">
        <f t="shared" si="12"/>
        <v>21552.876104998744</v>
      </c>
      <c r="F130" s="5">
        <f t="shared" si="13"/>
        <v>6461058.1877705911</v>
      </c>
    </row>
    <row r="131" spans="1:6" x14ac:dyDescent="0.25">
      <c r="A131">
        <v>118</v>
      </c>
      <c r="B131" s="5">
        <f t="shared" si="14"/>
        <v>6461058.1877705911</v>
      </c>
      <c r="C131" s="5">
        <f t="shared" si="10"/>
        <v>32357.22787812473</v>
      </c>
      <c r="D131" s="5">
        <f t="shared" si="11"/>
        <v>10768.430312950986</v>
      </c>
      <c r="E131" s="5">
        <f t="shared" si="12"/>
        <v>21588.797565173743</v>
      </c>
      <c r="F131" s="5">
        <f t="shared" si="13"/>
        <v>6439469.3902054178</v>
      </c>
    </row>
    <row r="132" spans="1:6" x14ac:dyDescent="0.25">
      <c r="A132">
        <v>119</v>
      </c>
      <c r="B132" s="5">
        <f t="shared" si="14"/>
        <v>6439469.3902054178</v>
      </c>
      <c r="C132" s="5">
        <f t="shared" si="10"/>
        <v>32357.22787812473</v>
      </c>
      <c r="D132" s="5">
        <f t="shared" si="11"/>
        <v>10732.448983675697</v>
      </c>
      <c r="E132" s="5">
        <f t="shared" si="12"/>
        <v>21624.778894449031</v>
      </c>
      <c r="F132" s="5">
        <f t="shared" si="13"/>
        <v>6417844.6113109691</v>
      </c>
    </row>
    <row r="133" spans="1:6" x14ac:dyDescent="0.25">
      <c r="A133">
        <v>120</v>
      </c>
      <c r="B133" s="5">
        <f t="shared" si="14"/>
        <v>6417844.6113109691</v>
      </c>
      <c r="C133" s="5">
        <f t="shared" si="10"/>
        <v>32357.22787812473</v>
      </c>
      <c r="D133" s="5">
        <f t="shared" si="11"/>
        <v>10696.407685518283</v>
      </c>
      <c r="E133" s="5">
        <f t="shared" si="12"/>
        <v>21660.820192606447</v>
      </c>
      <c r="F133" s="5">
        <f t="shared" si="13"/>
        <v>6396183.7911183629</v>
      </c>
    </row>
    <row r="134" spans="1:6" x14ac:dyDescent="0.25">
      <c r="A134">
        <v>121</v>
      </c>
      <c r="B134" s="5">
        <f t="shared" si="14"/>
        <v>6396183.7911183629</v>
      </c>
      <c r="C134" s="5">
        <f t="shared" si="10"/>
        <v>32357.22787812473</v>
      </c>
      <c r="D134" s="5">
        <f t="shared" si="11"/>
        <v>10660.306318530605</v>
      </c>
      <c r="E134" s="5">
        <f t="shared" si="12"/>
        <v>21696.921559594124</v>
      </c>
      <c r="F134" s="5">
        <f t="shared" si="13"/>
        <v>6374486.8695587683</v>
      </c>
    </row>
    <row r="135" spans="1:6" x14ac:dyDescent="0.25">
      <c r="A135">
        <v>122</v>
      </c>
      <c r="B135" s="5">
        <f t="shared" si="14"/>
        <v>6374486.8695587683</v>
      </c>
      <c r="C135" s="5">
        <f t="shared" si="10"/>
        <v>32357.22787812473</v>
      </c>
      <c r="D135" s="5">
        <f t="shared" si="11"/>
        <v>10624.144782597949</v>
      </c>
      <c r="E135" s="5">
        <f t="shared" si="12"/>
        <v>21733.083095526781</v>
      </c>
      <c r="F135" s="5">
        <f t="shared" si="13"/>
        <v>6352753.786463242</v>
      </c>
    </row>
    <row r="136" spans="1:6" x14ac:dyDescent="0.25">
      <c r="A136">
        <v>123</v>
      </c>
      <c r="B136" s="5">
        <f t="shared" si="14"/>
        <v>6352753.786463242</v>
      </c>
      <c r="C136" s="5">
        <f t="shared" si="10"/>
        <v>32357.22787812473</v>
      </c>
      <c r="D136" s="5">
        <f t="shared" si="11"/>
        <v>10587.922977438737</v>
      </c>
      <c r="E136" s="5">
        <f t="shared" si="12"/>
        <v>21769.304900685995</v>
      </c>
      <c r="F136" s="5">
        <f t="shared" si="13"/>
        <v>6330984.4815625558</v>
      </c>
    </row>
    <row r="137" spans="1:6" x14ac:dyDescent="0.25">
      <c r="A137">
        <v>124</v>
      </c>
      <c r="B137" s="5">
        <f t="shared" si="14"/>
        <v>6330984.4815625558</v>
      </c>
      <c r="C137" s="5">
        <f t="shared" si="10"/>
        <v>32357.22787812473</v>
      </c>
      <c r="D137" s="5">
        <f t="shared" si="11"/>
        <v>10551.640802604261</v>
      </c>
      <c r="E137" s="5">
        <f t="shared" si="12"/>
        <v>21805.587075520467</v>
      </c>
      <c r="F137" s="5">
        <f t="shared" si="13"/>
        <v>6309178.8944870355</v>
      </c>
    </row>
    <row r="138" spans="1:6" x14ac:dyDescent="0.25">
      <c r="A138">
        <v>125</v>
      </c>
      <c r="B138" s="5">
        <f t="shared" si="14"/>
        <v>6309178.8944870355</v>
      </c>
      <c r="C138" s="5">
        <f t="shared" si="10"/>
        <v>32357.22787812473</v>
      </c>
      <c r="D138" s="5">
        <f t="shared" si="11"/>
        <v>10515.298157478393</v>
      </c>
      <c r="E138" s="5">
        <f t="shared" si="12"/>
        <v>21841.929720646338</v>
      </c>
      <c r="F138" s="5">
        <f t="shared" si="13"/>
        <v>6287336.9647663888</v>
      </c>
    </row>
    <row r="139" spans="1:6" x14ac:dyDescent="0.25">
      <c r="A139">
        <v>126</v>
      </c>
      <c r="B139" s="5">
        <f t="shared" si="14"/>
        <v>6287336.9647663888</v>
      </c>
      <c r="C139" s="5">
        <f t="shared" si="10"/>
        <v>32357.22787812473</v>
      </c>
      <c r="D139" s="5">
        <f t="shared" si="11"/>
        <v>10478.894941277315</v>
      </c>
      <c r="E139" s="5">
        <f t="shared" si="12"/>
        <v>21878.332936847415</v>
      </c>
      <c r="F139" s="5">
        <f t="shared" si="13"/>
        <v>6265458.6318295412</v>
      </c>
    </row>
    <row r="140" spans="1:6" x14ac:dyDescent="0.25">
      <c r="A140">
        <v>127</v>
      </c>
      <c r="B140" s="5">
        <f t="shared" si="14"/>
        <v>6265458.6318295412</v>
      </c>
      <c r="C140" s="5">
        <f t="shared" si="10"/>
        <v>32357.22787812473</v>
      </c>
      <c r="D140" s="5">
        <f t="shared" si="11"/>
        <v>10442.431053049237</v>
      </c>
      <c r="E140" s="5">
        <f t="shared" si="12"/>
        <v>21914.796825075493</v>
      </c>
      <c r="F140" s="5">
        <f t="shared" si="13"/>
        <v>6243543.8350044657</v>
      </c>
    </row>
    <row r="141" spans="1:6" x14ac:dyDescent="0.25">
      <c r="A141">
        <v>128</v>
      </c>
      <c r="B141" s="5">
        <f t="shared" si="14"/>
        <v>6243543.8350044657</v>
      </c>
      <c r="C141" s="5">
        <f t="shared" si="10"/>
        <v>32357.22787812473</v>
      </c>
      <c r="D141" s="5">
        <f t="shared" si="11"/>
        <v>10405.906391674111</v>
      </c>
      <c r="E141" s="5">
        <f t="shared" si="12"/>
        <v>21951.321486450619</v>
      </c>
      <c r="F141" s="5">
        <f t="shared" si="13"/>
        <v>6221592.5135180149</v>
      </c>
    </row>
    <row r="142" spans="1:6" x14ac:dyDescent="0.25">
      <c r="A142">
        <v>129</v>
      </c>
      <c r="B142" s="5">
        <f t="shared" si="14"/>
        <v>6221592.5135180149</v>
      </c>
      <c r="C142" s="5">
        <f t="shared" ref="C142:C205" si="15">+$B$6</f>
        <v>32357.22787812473</v>
      </c>
      <c r="D142" s="5">
        <f t="shared" ref="D142:D205" si="16">+B142*($B$4/12)</f>
        <v>10369.32085586336</v>
      </c>
      <c r="E142" s="5">
        <f t="shared" ref="E142:E205" si="17">+C142-D142</f>
        <v>21987.90702226137</v>
      </c>
      <c r="F142" s="5">
        <f t="shared" ref="F142:F205" si="18">+B142-E142</f>
        <v>6199604.6064957539</v>
      </c>
    </row>
    <row r="143" spans="1:6" x14ac:dyDescent="0.25">
      <c r="A143">
        <v>130</v>
      </c>
      <c r="B143" s="5">
        <f t="shared" ref="B143:B206" si="19">+F142</f>
        <v>6199604.6064957539</v>
      </c>
      <c r="C143" s="5">
        <f t="shared" si="15"/>
        <v>32357.22787812473</v>
      </c>
      <c r="D143" s="5">
        <f t="shared" si="16"/>
        <v>10332.67434415959</v>
      </c>
      <c r="E143" s="5">
        <f t="shared" si="17"/>
        <v>22024.55353396514</v>
      </c>
      <c r="F143" s="5">
        <f t="shared" si="18"/>
        <v>6177580.0529617891</v>
      </c>
    </row>
    <row r="144" spans="1:6" x14ac:dyDescent="0.25">
      <c r="A144">
        <v>131</v>
      </c>
      <c r="B144" s="5">
        <f t="shared" si="19"/>
        <v>6177580.0529617891</v>
      </c>
      <c r="C144" s="5">
        <f t="shared" si="15"/>
        <v>32357.22787812473</v>
      </c>
      <c r="D144" s="5">
        <f t="shared" si="16"/>
        <v>10295.966754936317</v>
      </c>
      <c r="E144" s="5">
        <f t="shared" si="17"/>
        <v>22061.261123188415</v>
      </c>
      <c r="F144" s="5">
        <f t="shared" si="18"/>
        <v>6155518.7918386003</v>
      </c>
    </row>
    <row r="145" spans="1:6" x14ac:dyDescent="0.25">
      <c r="A145">
        <v>132</v>
      </c>
      <c r="B145" s="5">
        <f t="shared" si="19"/>
        <v>6155518.7918386003</v>
      </c>
      <c r="C145" s="5">
        <f t="shared" si="15"/>
        <v>32357.22787812473</v>
      </c>
      <c r="D145" s="5">
        <f t="shared" si="16"/>
        <v>10259.197986397669</v>
      </c>
      <c r="E145" s="5">
        <f t="shared" si="17"/>
        <v>22098.029891727063</v>
      </c>
      <c r="F145" s="5">
        <f t="shared" si="18"/>
        <v>6133420.7619468728</v>
      </c>
    </row>
    <row r="146" spans="1:6" x14ac:dyDescent="0.25">
      <c r="A146">
        <v>133</v>
      </c>
      <c r="B146" s="5">
        <f t="shared" si="19"/>
        <v>6133420.7619468728</v>
      </c>
      <c r="C146" s="5">
        <f t="shared" si="15"/>
        <v>32357.22787812473</v>
      </c>
      <c r="D146" s="5">
        <f t="shared" si="16"/>
        <v>10222.367936578123</v>
      </c>
      <c r="E146" s="5">
        <f t="shared" si="17"/>
        <v>22134.859941546609</v>
      </c>
      <c r="F146" s="5">
        <f t="shared" si="18"/>
        <v>6111285.902005326</v>
      </c>
    </row>
    <row r="147" spans="1:6" x14ac:dyDescent="0.25">
      <c r="A147">
        <v>134</v>
      </c>
      <c r="B147" s="5">
        <f t="shared" si="19"/>
        <v>6111285.902005326</v>
      </c>
      <c r="C147" s="5">
        <f t="shared" si="15"/>
        <v>32357.22787812473</v>
      </c>
      <c r="D147" s="5">
        <f t="shared" si="16"/>
        <v>10185.47650334221</v>
      </c>
      <c r="E147" s="5">
        <f t="shared" si="17"/>
        <v>22171.751374782521</v>
      </c>
      <c r="F147" s="5">
        <f t="shared" si="18"/>
        <v>6089114.1506305439</v>
      </c>
    </row>
    <row r="148" spans="1:6" x14ac:dyDescent="0.25">
      <c r="A148">
        <v>135</v>
      </c>
      <c r="B148" s="5">
        <f t="shared" si="19"/>
        <v>6089114.1506305439</v>
      </c>
      <c r="C148" s="5">
        <f t="shared" si="15"/>
        <v>32357.22787812473</v>
      </c>
      <c r="D148" s="5">
        <f t="shared" si="16"/>
        <v>10148.52358438424</v>
      </c>
      <c r="E148" s="5">
        <f t="shared" si="17"/>
        <v>22208.704293740491</v>
      </c>
      <c r="F148" s="5">
        <f t="shared" si="18"/>
        <v>6066905.446336803</v>
      </c>
    </row>
    <row r="149" spans="1:6" x14ac:dyDescent="0.25">
      <c r="A149">
        <v>136</v>
      </c>
      <c r="B149" s="5">
        <f t="shared" si="19"/>
        <v>6066905.446336803</v>
      </c>
      <c r="C149" s="5">
        <f t="shared" si="15"/>
        <v>32357.22787812473</v>
      </c>
      <c r="D149" s="5">
        <f t="shared" si="16"/>
        <v>10111.509077228005</v>
      </c>
      <c r="E149" s="5">
        <f t="shared" si="17"/>
        <v>22245.718800896724</v>
      </c>
      <c r="F149" s="5">
        <f t="shared" si="18"/>
        <v>6044659.7275359062</v>
      </c>
    </row>
    <row r="150" spans="1:6" x14ac:dyDescent="0.25">
      <c r="A150">
        <v>137</v>
      </c>
      <c r="B150" s="5">
        <f t="shared" si="19"/>
        <v>6044659.7275359062</v>
      </c>
      <c r="C150" s="5">
        <f t="shared" si="15"/>
        <v>32357.22787812473</v>
      </c>
      <c r="D150" s="5">
        <f t="shared" si="16"/>
        <v>10074.432879226511</v>
      </c>
      <c r="E150" s="5">
        <f t="shared" si="17"/>
        <v>22282.794998898218</v>
      </c>
      <c r="F150" s="5">
        <f t="shared" si="18"/>
        <v>6022376.9325370081</v>
      </c>
    </row>
    <row r="151" spans="1:6" x14ac:dyDescent="0.25">
      <c r="A151">
        <v>138</v>
      </c>
      <c r="B151" s="5">
        <f t="shared" si="19"/>
        <v>6022376.9325370081</v>
      </c>
      <c r="C151" s="5">
        <f t="shared" si="15"/>
        <v>32357.22787812473</v>
      </c>
      <c r="D151" s="5">
        <f t="shared" si="16"/>
        <v>10037.29488756168</v>
      </c>
      <c r="E151" s="5">
        <f t="shared" si="17"/>
        <v>22319.932990563051</v>
      </c>
      <c r="F151" s="5">
        <f t="shared" si="18"/>
        <v>6000056.999546445</v>
      </c>
    </row>
    <row r="152" spans="1:6" x14ac:dyDescent="0.25">
      <c r="A152">
        <v>139</v>
      </c>
      <c r="B152" s="5">
        <f t="shared" si="19"/>
        <v>6000056.999546445</v>
      </c>
      <c r="C152" s="5">
        <f t="shared" si="15"/>
        <v>32357.22787812473</v>
      </c>
      <c r="D152" s="5">
        <f t="shared" si="16"/>
        <v>10000.094999244076</v>
      </c>
      <c r="E152" s="5">
        <f t="shared" si="17"/>
        <v>22357.132878880653</v>
      </c>
      <c r="F152" s="5">
        <f t="shared" si="18"/>
        <v>5977699.866667564</v>
      </c>
    </row>
    <row r="153" spans="1:6" x14ac:dyDescent="0.25">
      <c r="A153">
        <v>140</v>
      </c>
      <c r="B153" s="5">
        <f t="shared" si="19"/>
        <v>5977699.866667564</v>
      </c>
      <c r="C153" s="5">
        <f t="shared" si="15"/>
        <v>32357.22787812473</v>
      </c>
      <c r="D153" s="5">
        <f t="shared" si="16"/>
        <v>9962.8331111126081</v>
      </c>
      <c r="E153" s="5">
        <f t="shared" si="17"/>
        <v>22394.39476701212</v>
      </c>
      <c r="F153" s="5">
        <f t="shared" si="18"/>
        <v>5955305.4719005516</v>
      </c>
    </row>
    <row r="154" spans="1:6" x14ac:dyDescent="0.25">
      <c r="A154">
        <v>141</v>
      </c>
      <c r="B154" s="5">
        <f t="shared" si="19"/>
        <v>5955305.4719005516</v>
      </c>
      <c r="C154" s="5">
        <f t="shared" si="15"/>
        <v>32357.22787812473</v>
      </c>
      <c r="D154" s="5">
        <f t="shared" si="16"/>
        <v>9925.5091198342525</v>
      </c>
      <c r="E154" s="5">
        <f t="shared" si="17"/>
        <v>22431.718758290477</v>
      </c>
      <c r="F154" s="5">
        <f t="shared" si="18"/>
        <v>5932873.7531422609</v>
      </c>
    </row>
    <row r="155" spans="1:6" x14ac:dyDescent="0.25">
      <c r="A155">
        <v>142</v>
      </c>
      <c r="B155" s="5">
        <f t="shared" si="19"/>
        <v>5932873.7531422609</v>
      </c>
      <c r="C155" s="5">
        <f t="shared" si="15"/>
        <v>32357.22787812473</v>
      </c>
      <c r="D155" s="5">
        <f t="shared" si="16"/>
        <v>9888.1229219037687</v>
      </c>
      <c r="E155" s="5">
        <f t="shared" si="17"/>
        <v>22469.104956220959</v>
      </c>
      <c r="F155" s="5">
        <f t="shared" si="18"/>
        <v>5910404.6481860401</v>
      </c>
    </row>
    <row r="156" spans="1:6" x14ac:dyDescent="0.25">
      <c r="A156">
        <v>143</v>
      </c>
      <c r="B156" s="5">
        <f t="shared" si="19"/>
        <v>5910404.6481860401</v>
      </c>
      <c r="C156" s="5">
        <f t="shared" si="15"/>
        <v>32357.22787812473</v>
      </c>
      <c r="D156" s="5">
        <f t="shared" si="16"/>
        <v>9850.6744136434008</v>
      </c>
      <c r="E156" s="5">
        <f t="shared" si="17"/>
        <v>22506.553464481331</v>
      </c>
      <c r="F156" s="5">
        <f t="shared" si="18"/>
        <v>5887898.0947215585</v>
      </c>
    </row>
    <row r="157" spans="1:6" x14ac:dyDescent="0.25">
      <c r="A157">
        <v>144</v>
      </c>
      <c r="B157" s="5">
        <f t="shared" si="19"/>
        <v>5887898.0947215585</v>
      </c>
      <c r="C157" s="5">
        <f t="shared" si="15"/>
        <v>32357.22787812473</v>
      </c>
      <c r="D157" s="5">
        <f t="shared" si="16"/>
        <v>9813.1634912025984</v>
      </c>
      <c r="E157" s="5">
        <f t="shared" si="17"/>
        <v>22544.064386922131</v>
      </c>
      <c r="F157" s="5">
        <f t="shared" si="18"/>
        <v>5865354.0303346366</v>
      </c>
    </row>
    <row r="158" spans="1:6" x14ac:dyDescent="0.25">
      <c r="A158">
        <v>145</v>
      </c>
      <c r="B158" s="5">
        <f t="shared" si="19"/>
        <v>5865354.0303346366</v>
      </c>
      <c r="C158" s="5">
        <f t="shared" si="15"/>
        <v>32357.22787812473</v>
      </c>
      <c r="D158" s="5">
        <f t="shared" si="16"/>
        <v>9775.5900505577283</v>
      </c>
      <c r="E158" s="5">
        <f t="shared" si="17"/>
        <v>22581.637827566999</v>
      </c>
      <c r="F158" s="5">
        <f t="shared" si="18"/>
        <v>5842772.3925070697</v>
      </c>
    </row>
    <row r="159" spans="1:6" x14ac:dyDescent="0.25">
      <c r="A159">
        <v>146</v>
      </c>
      <c r="B159" s="5">
        <f t="shared" si="19"/>
        <v>5842772.3925070697</v>
      </c>
      <c r="C159" s="5">
        <f t="shared" si="15"/>
        <v>32357.22787812473</v>
      </c>
      <c r="D159" s="5">
        <f t="shared" si="16"/>
        <v>9737.9539875117844</v>
      </c>
      <c r="E159" s="5">
        <f t="shared" si="17"/>
        <v>22619.273890612945</v>
      </c>
      <c r="F159" s="5">
        <f t="shared" si="18"/>
        <v>5820153.1186164571</v>
      </c>
    </row>
    <row r="160" spans="1:6" x14ac:dyDescent="0.25">
      <c r="A160">
        <v>147</v>
      </c>
      <c r="B160" s="5">
        <f t="shared" si="19"/>
        <v>5820153.1186164571</v>
      </c>
      <c r="C160" s="5">
        <f t="shared" si="15"/>
        <v>32357.22787812473</v>
      </c>
      <c r="D160" s="5">
        <f t="shared" si="16"/>
        <v>9700.2551976940958</v>
      </c>
      <c r="E160" s="5">
        <f t="shared" si="17"/>
        <v>22656.972680430634</v>
      </c>
      <c r="F160" s="5">
        <f t="shared" si="18"/>
        <v>5797496.1459360262</v>
      </c>
    </row>
    <row r="161" spans="1:6" x14ac:dyDescent="0.25">
      <c r="A161">
        <v>148</v>
      </c>
      <c r="B161" s="5">
        <f t="shared" si="19"/>
        <v>5797496.1459360262</v>
      </c>
      <c r="C161" s="5">
        <f t="shared" si="15"/>
        <v>32357.22787812473</v>
      </c>
      <c r="D161" s="5">
        <f t="shared" si="16"/>
        <v>9662.4935765600439</v>
      </c>
      <c r="E161" s="5">
        <f t="shared" si="17"/>
        <v>22694.734301564684</v>
      </c>
      <c r="F161" s="5">
        <f t="shared" si="18"/>
        <v>5774801.411634462</v>
      </c>
    </row>
    <row r="162" spans="1:6" x14ac:dyDescent="0.25">
      <c r="A162">
        <v>149</v>
      </c>
      <c r="B162" s="5">
        <f t="shared" si="19"/>
        <v>5774801.411634462</v>
      </c>
      <c r="C162" s="5">
        <f t="shared" si="15"/>
        <v>32357.22787812473</v>
      </c>
      <c r="D162" s="5">
        <f t="shared" si="16"/>
        <v>9624.6690193907707</v>
      </c>
      <c r="E162" s="5">
        <f t="shared" si="17"/>
        <v>22732.558858733959</v>
      </c>
      <c r="F162" s="5">
        <f t="shared" si="18"/>
        <v>5752068.8527757283</v>
      </c>
    </row>
    <row r="163" spans="1:6" x14ac:dyDescent="0.25">
      <c r="A163">
        <v>150</v>
      </c>
      <c r="B163" s="5">
        <f t="shared" si="19"/>
        <v>5752068.8527757283</v>
      </c>
      <c r="C163" s="5">
        <f t="shared" si="15"/>
        <v>32357.22787812473</v>
      </c>
      <c r="D163" s="5">
        <f t="shared" si="16"/>
        <v>9586.7814212928806</v>
      </c>
      <c r="E163" s="5">
        <f t="shared" si="17"/>
        <v>22770.446456831851</v>
      </c>
      <c r="F163" s="5">
        <f t="shared" si="18"/>
        <v>5729298.4063188965</v>
      </c>
    </row>
    <row r="164" spans="1:6" x14ac:dyDescent="0.25">
      <c r="A164">
        <v>151</v>
      </c>
      <c r="B164" s="5">
        <f t="shared" si="19"/>
        <v>5729298.4063188965</v>
      </c>
      <c r="C164" s="5">
        <f t="shared" si="15"/>
        <v>32357.22787812473</v>
      </c>
      <c r="D164" s="5">
        <f t="shared" si="16"/>
        <v>9548.8306771981606</v>
      </c>
      <c r="E164" s="5">
        <f t="shared" si="17"/>
        <v>22808.397200926571</v>
      </c>
      <c r="F164" s="5">
        <f t="shared" si="18"/>
        <v>5706490.0091179702</v>
      </c>
    </row>
    <row r="165" spans="1:6" x14ac:dyDescent="0.25">
      <c r="A165">
        <v>152</v>
      </c>
      <c r="B165" s="5">
        <f t="shared" si="19"/>
        <v>5706490.0091179702</v>
      </c>
      <c r="C165" s="5">
        <f t="shared" si="15"/>
        <v>32357.22787812473</v>
      </c>
      <c r="D165" s="5">
        <f t="shared" si="16"/>
        <v>9510.8166818632835</v>
      </c>
      <c r="E165" s="5">
        <f t="shared" si="17"/>
        <v>22846.411196261448</v>
      </c>
      <c r="F165" s="5">
        <f t="shared" si="18"/>
        <v>5683643.5979217086</v>
      </c>
    </row>
    <row r="166" spans="1:6" x14ac:dyDescent="0.25">
      <c r="A166">
        <v>153</v>
      </c>
      <c r="B166" s="5">
        <f t="shared" si="19"/>
        <v>5683643.5979217086</v>
      </c>
      <c r="C166" s="5">
        <f t="shared" si="15"/>
        <v>32357.22787812473</v>
      </c>
      <c r="D166" s="5">
        <f t="shared" si="16"/>
        <v>9472.7393298695151</v>
      </c>
      <c r="E166" s="5">
        <f t="shared" si="17"/>
        <v>22884.488548255213</v>
      </c>
      <c r="F166" s="5">
        <f t="shared" si="18"/>
        <v>5660759.1093734531</v>
      </c>
    </row>
    <row r="167" spans="1:6" x14ac:dyDescent="0.25">
      <c r="A167">
        <v>154</v>
      </c>
      <c r="B167" s="5">
        <f t="shared" si="19"/>
        <v>5660759.1093734531</v>
      </c>
      <c r="C167" s="5">
        <f t="shared" si="15"/>
        <v>32357.22787812473</v>
      </c>
      <c r="D167" s="5">
        <f t="shared" si="16"/>
        <v>9434.5985156224233</v>
      </c>
      <c r="E167" s="5">
        <f t="shared" si="17"/>
        <v>22922.629362502306</v>
      </c>
      <c r="F167" s="5">
        <f t="shared" si="18"/>
        <v>5637836.4800109509</v>
      </c>
    </row>
    <row r="168" spans="1:6" x14ac:dyDescent="0.25">
      <c r="A168">
        <v>155</v>
      </c>
      <c r="B168" s="5">
        <f t="shared" si="19"/>
        <v>5637836.4800109509</v>
      </c>
      <c r="C168" s="5">
        <f t="shared" si="15"/>
        <v>32357.22787812473</v>
      </c>
      <c r="D168" s="5">
        <f t="shared" si="16"/>
        <v>9396.394133351585</v>
      </c>
      <c r="E168" s="5">
        <f t="shared" si="17"/>
        <v>22960.833744773146</v>
      </c>
      <c r="F168" s="5">
        <f t="shared" si="18"/>
        <v>5614875.6462661782</v>
      </c>
    </row>
    <row r="169" spans="1:6" x14ac:dyDescent="0.25">
      <c r="A169">
        <v>156</v>
      </c>
      <c r="B169" s="5">
        <f t="shared" si="19"/>
        <v>5614875.6462661782</v>
      </c>
      <c r="C169" s="5">
        <f t="shared" si="15"/>
        <v>32357.22787812473</v>
      </c>
      <c r="D169" s="5">
        <f t="shared" si="16"/>
        <v>9358.126077110297</v>
      </c>
      <c r="E169" s="5">
        <f t="shared" si="17"/>
        <v>22999.101801014433</v>
      </c>
      <c r="F169" s="5">
        <f t="shared" si="18"/>
        <v>5591876.5444651637</v>
      </c>
    </row>
    <row r="170" spans="1:6" x14ac:dyDescent="0.25">
      <c r="A170">
        <v>157</v>
      </c>
      <c r="B170" s="5">
        <f t="shared" si="19"/>
        <v>5591876.5444651637</v>
      </c>
      <c r="C170" s="5">
        <f t="shared" si="15"/>
        <v>32357.22787812473</v>
      </c>
      <c r="D170" s="5">
        <f t="shared" si="16"/>
        <v>9319.7942407752744</v>
      </c>
      <c r="E170" s="5">
        <f t="shared" si="17"/>
        <v>23037.433637349455</v>
      </c>
      <c r="F170" s="5">
        <f t="shared" si="18"/>
        <v>5568839.1108278139</v>
      </c>
    </row>
    <row r="171" spans="1:6" x14ac:dyDescent="0.25">
      <c r="A171">
        <v>158</v>
      </c>
      <c r="B171" s="5">
        <f t="shared" si="19"/>
        <v>5568839.1108278139</v>
      </c>
      <c r="C171" s="5">
        <f t="shared" si="15"/>
        <v>32357.22787812473</v>
      </c>
      <c r="D171" s="5">
        <f t="shared" si="16"/>
        <v>9281.3985180463569</v>
      </c>
      <c r="E171" s="5">
        <f t="shared" si="17"/>
        <v>23075.829360078373</v>
      </c>
      <c r="F171" s="5">
        <f t="shared" si="18"/>
        <v>5545763.2814677358</v>
      </c>
    </row>
    <row r="172" spans="1:6" x14ac:dyDescent="0.25">
      <c r="A172">
        <v>159</v>
      </c>
      <c r="B172" s="5">
        <f t="shared" si="19"/>
        <v>5545763.2814677358</v>
      </c>
      <c r="C172" s="5">
        <f t="shared" si="15"/>
        <v>32357.22787812473</v>
      </c>
      <c r="D172" s="5">
        <f t="shared" si="16"/>
        <v>9242.938802446226</v>
      </c>
      <c r="E172" s="5">
        <f t="shared" si="17"/>
        <v>23114.289075678505</v>
      </c>
      <c r="F172" s="5">
        <f t="shared" si="18"/>
        <v>5522648.9923920576</v>
      </c>
    </row>
    <row r="173" spans="1:6" x14ac:dyDescent="0.25">
      <c r="A173">
        <v>160</v>
      </c>
      <c r="B173" s="5">
        <f t="shared" si="19"/>
        <v>5522648.9923920576</v>
      </c>
      <c r="C173" s="5">
        <f t="shared" si="15"/>
        <v>32357.22787812473</v>
      </c>
      <c r="D173" s="5">
        <f t="shared" si="16"/>
        <v>9204.4149873200968</v>
      </c>
      <c r="E173" s="5">
        <f t="shared" si="17"/>
        <v>23152.812890804635</v>
      </c>
      <c r="F173" s="5">
        <f t="shared" si="18"/>
        <v>5499496.1795012532</v>
      </c>
    </row>
    <row r="174" spans="1:6" x14ac:dyDescent="0.25">
      <c r="A174">
        <v>161</v>
      </c>
      <c r="B174" s="5">
        <f t="shared" si="19"/>
        <v>5499496.1795012532</v>
      </c>
      <c r="C174" s="5">
        <f t="shared" si="15"/>
        <v>32357.22787812473</v>
      </c>
      <c r="D174" s="5">
        <f t="shared" si="16"/>
        <v>9165.826965835422</v>
      </c>
      <c r="E174" s="5">
        <f t="shared" si="17"/>
        <v>23191.400912289308</v>
      </c>
      <c r="F174" s="5">
        <f t="shared" si="18"/>
        <v>5476304.7785889637</v>
      </c>
    </row>
    <row r="175" spans="1:6" x14ac:dyDescent="0.25">
      <c r="A175">
        <v>162</v>
      </c>
      <c r="B175" s="5">
        <f t="shared" si="19"/>
        <v>5476304.7785889637</v>
      </c>
      <c r="C175" s="5">
        <f t="shared" si="15"/>
        <v>32357.22787812473</v>
      </c>
      <c r="D175" s="5">
        <f t="shared" si="16"/>
        <v>9127.1746309816062</v>
      </c>
      <c r="E175" s="5">
        <f t="shared" si="17"/>
        <v>23230.053247143122</v>
      </c>
      <c r="F175" s="5">
        <f t="shared" si="18"/>
        <v>5453074.7253418202</v>
      </c>
    </row>
    <row r="176" spans="1:6" x14ac:dyDescent="0.25">
      <c r="A176">
        <v>163</v>
      </c>
      <c r="B176" s="5">
        <f t="shared" si="19"/>
        <v>5453074.7253418202</v>
      </c>
      <c r="C176" s="5">
        <f t="shared" si="15"/>
        <v>32357.22787812473</v>
      </c>
      <c r="D176" s="5">
        <f t="shared" si="16"/>
        <v>9088.4578755697003</v>
      </c>
      <c r="E176" s="5">
        <f t="shared" si="17"/>
        <v>23268.770002555029</v>
      </c>
      <c r="F176" s="5">
        <f t="shared" si="18"/>
        <v>5429805.9553392651</v>
      </c>
    </row>
    <row r="177" spans="1:6" x14ac:dyDescent="0.25">
      <c r="A177">
        <v>164</v>
      </c>
      <c r="B177" s="5">
        <f t="shared" si="19"/>
        <v>5429805.9553392651</v>
      </c>
      <c r="C177" s="5">
        <f t="shared" si="15"/>
        <v>32357.22787812473</v>
      </c>
      <c r="D177" s="5">
        <f t="shared" si="16"/>
        <v>9049.6765922321083</v>
      </c>
      <c r="E177" s="5">
        <f t="shared" si="17"/>
        <v>23307.551285892623</v>
      </c>
      <c r="F177" s="5">
        <f t="shared" si="18"/>
        <v>5406498.4040533723</v>
      </c>
    </row>
    <row r="178" spans="1:6" x14ac:dyDescent="0.25">
      <c r="A178">
        <v>165</v>
      </c>
      <c r="B178" s="5">
        <f t="shared" si="19"/>
        <v>5406498.4040533723</v>
      </c>
      <c r="C178" s="5">
        <f t="shared" si="15"/>
        <v>32357.22787812473</v>
      </c>
      <c r="D178" s="5">
        <f t="shared" si="16"/>
        <v>9010.8306734222879</v>
      </c>
      <c r="E178" s="5">
        <f t="shared" si="17"/>
        <v>23346.397204702444</v>
      </c>
      <c r="F178" s="5">
        <f t="shared" si="18"/>
        <v>5383152.0068486696</v>
      </c>
    </row>
    <row r="179" spans="1:6" x14ac:dyDescent="0.25">
      <c r="A179">
        <v>166</v>
      </c>
      <c r="B179" s="5">
        <f t="shared" si="19"/>
        <v>5383152.0068486696</v>
      </c>
      <c r="C179" s="5">
        <f t="shared" si="15"/>
        <v>32357.22787812473</v>
      </c>
      <c r="D179" s="5">
        <f t="shared" si="16"/>
        <v>8971.9200114144496</v>
      </c>
      <c r="E179" s="5">
        <f t="shared" si="17"/>
        <v>23385.307866710282</v>
      </c>
      <c r="F179" s="5">
        <f t="shared" si="18"/>
        <v>5359766.6989819594</v>
      </c>
    </row>
    <row r="180" spans="1:6" x14ac:dyDescent="0.25">
      <c r="A180">
        <v>167</v>
      </c>
      <c r="B180" s="5">
        <f t="shared" si="19"/>
        <v>5359766.6989819594</v>
      </c>
      <c r="C180" s="5">
        <f t="shared" si="15"/>
        <v>32357.22787812473</v>
      </c>
      <c r="D180" s="5">
        <f t="shared" si="16"/>
        <v>8932.9444983032663</v>
      </c>
      <c r="E180" s="5">
        <f t="shared" si="17"/>
        <v>23424.283379821463</v>
      </c>
      <c r="F180" s="5">
        <f t="shared" si="18"/>
        <v>5336342.4156021383</v>
      </c>
    </row>
    <row r="181" spans="1:6" x14ac:dyDescent="0.25">
      <c r="A181">
        <v>168</v>
      </c>
      <c r="B181" s="5">
        <f t="shared" si="19"/>
        <v>5336342.4156021383</v>
      </c>
      <c r="C181" s="5">
        <f t="shared" si="15"/>
        <v>32357.22787812473</v>
      </c>
      <c r="D181" s="5">
        <f t="shared" si="16"/>
        <v>8893.9040260035636</v>
      </c>
      <c r="E181" s="5">
        <f t="shared" si="17"/>
        <v>23463.323852121168</v>
      </c>
      <c r="F181" s="5">
        <f t="shared" si="18"/>
        <v>5312879.0917500174</v>
      </c>
    </row>
    <row r="182" spans="1:6" x14ac:dyDescent="0.25">
      <c r="A182">
        <v>169</v>
      </c>
      <c r="B182" s="5">
        <f t="shared" si="19"/>
        <v>5312879.0917500174</v>
      </c>
      <c r="C182" s="5">
        <f t="shared" si="15"/>
        <v>32357.22787812473</v>
      </c>
      <c r="D182" s="5">
        <f t="shared" si="16"/>
        <v>8854.7984862500289</v>
      </c>
      <c r="E182" s="5">
        <f t="shared" si="17"/>
        <v>23502.429391874699</v>
      </c>
      <c r="F182" s="5">
        <f t="shared" si="18"/>
        <v>5289376.6623581424</v>
      </c>
    </row>
    <row r="183" spans="1:6" x14ac:dyDescent="0.25">
      <c r="A183">
        <v>170</v>
      </c>
      <c r="B183" s="5">
        <f t="shared" si="19"/>
        <v>5289376.6623581424</v>
      </c>
      <c r="C183" s="5">
        <f t="shared" si="15"/>
        <v>32357.22787812473</v>
      </c>
      <c r="D183" s="5">
        <f t="shared" si="16"/>
        <v>8815.6277705969042</v>
      </c>
      <c r="E183" s="5">
        <f t="shared" si="17"/>
        <v>23541.600107527825</v>
      </c>
      <c r="F183" s="5">
        <f t="shared" si="18"/>
        <v>5265835.0622506142</v>
      </c>
    </row>
    <row r="184" spans="1:6" x14ac:dyDescent="0.25">
      <c r="A184">
        <v>171</v>
      </c>
      <c r="B184" s="5">
        <f t="shared" si="19"/>
        <v>5265835.0622506142</v>
      </c>
      <c r="C184" s="5">
        <f t="shared" si="15"/>
        <v>32357.22787812473</v>
      </c>
      <c r="D184" s="5">
        <f t="shared" si="16"/>
        <v>8776.3917704176911</v>
      </c>
      <c r="E184" s="5">
        <f t="shared" si="17"/>
        <v>23580.836107707037</v>
      </c>
      <c r="F184" s="5">
        <f t="shared" si="18"/>
        <v>5242254.2261429075</v>
      </c>
    </row>
    <row r="185" spans="1:6" x14ac:dyDescent="0.25">
      <c r="A185">
        <v>172</v>
      </c>
      <c r="B185" s="5">
        <f t="shared" si="19"/>
        <v>5242254.2261429075</v>
      </c>
      <c r="C185" s="5">
        <f t="shared" si="15"/>
        <v>32357.22787812473</v>
      </c>
      <c r="D185" s="5">
        <f t="shared" si="16"/>
        <v>8737.0903769048473</v>
      </c>
      <c r="E185" s="5">
        <f t="shared" si="17"/>
        <v>23620.137501219884</v>
      </c>
      <c r="F185" s="5">
        <f t="shared" si="18"/>
        <v>5218634.0886416873</v>
      </c>
    </row>
    <row r="186" spans="1:6" x14ac:dyDescent="0.25">
      <c r="A186">
        <v>173</v>
      </c>
      <c r="B186" s="5">
        <f t="shared" si="19"/>
        <v>5218634.0886416873</v>
      </c>
      <c r="C186" s="5">
        <f t="shared" si="15"/>
        <v>32357.22787812473</v>
      </c>
      <c r="D186" s="5">
        <f t="shared" si="16"/>
        <v>8697.723481069479</v>
      </c>
      <c r="E186" s="5">
        <f t="shared" si="17"/>
        <v>23659.504397055251</v>
      </c>
      <c r="F186" s="5">
        <f t="shared" si="18"/>
        <v>5194974.5842446322</v>
      </c>
    </row>
    <row r="187" spans="1:6" x14ac:dyDescent="0.25">
      <c r="A187">
        <v>174</v>
      </c>
      <c r="B187" s="5">
        <f t="shared" si="19"/>
        <v>5194974.5842446322</v>
      </c>
      <c r="C187" s="5">
        <f t="shared" si="15"/>
        <v>32357.22787812473</v>
      </c>
      <c r="D187" s="5">
        <f t="shared" si="16"/>
        <v>8658.2909737410537</v>
      </c>
      <c r="E187" s="5">
        <f t="shared" si="17"/>
        <v>23698.936904383678</v>
      </c>
      <c r="F187" s="5">
        <f t="shared" si="18"/>
        <v>5171275.6473402483</v>
      </c>
    </row>
    <row r="188" spans="1:6" x14ac:dyDescent="0.25">
      <c r="A188">
        <v>175</v>
      </c>
      <c r="B188" s="5">
        <f t="shared" si="19"/>
        <v>5171275.6473402483</v>
      </c>
      <c r="C188" s="5">
        <f t="shared" si="15"/>
        <v>32357.22787812473</v>
      </c>
      <c r="D188" s="5">
        <f t="shared" si="16"/>
        <v>8618.7927455670815</v>
      </c>
      <c r="E188" s="5">
        <f t="shared" si="17"/>
        <v>23738.43513255765</v>
      </c>
      <c r="F188" s="5">
        <f t="shared" si="18"/>
        <v>5147537.2122076908</v>
      </c>
    </row>
    <row r="189" spans="1:6" x14ac:dyDescent="0.25">
      <c r="A189">
        <v>176</v>
      </c>
      <c r="B189" s="5">
        <f t="shared" si="19"/>
        <v>5147537.2122076908</v>
      </c>
      <c r="C189" s="5">
        <f t="shared" si="15"/>
        <v>32357.22787812473</v>
      </c>
      <c r="D189" s="5">
        <f t="shared" si="16"/>
        <v>8579.2286870128191</v>
      </c>
      <c r="E189" s="5">
        <f t="shared" si="17"/>
        <v>23777.99919111191</v>
      </c>
      <c r="F189" s="5">
        <f t="shared" si="18"/>
        <v>5123759.2130165789</v>
      </c>
    </row>
    <row r="190" spans="1:6" x14ac:dyDescent="0.25">
      <c r="A190">
        <v>177</v>
      </c>
      <c r="B190" s="5">
        <f t="shared" si="19"/>
        <v>5123759.2130165789</v>
      </c>
      <c r="C190" s="5">
        <f t="shared" si="15"/>
        <v>32357.22787812473</v>
      </c>
      <c r="D190" s="5">
        <f t="shared" si="16"/>
        <v>8539.5986883609658</v>
      </c>
      <c r="E190" s="5">
        <f t="shared" si="17"/>
        <v>23817.629189763764</v>
      </c>
      <c r="F190" s="5">
        <f t="shared" si="18"/>
        <v>5099941.5838268148</v>
      </c>
    </row>
    <row r="191" spans="1:6" x14ac:dyDescent="0.25">
      <c r="A191">
        <v>178</v>
      </c>
      <c r="B191" s="5">
        <f t="shared" si="19"/>
        <v>5099941.5838268148</v>
      </c>
      <c r="C191" s="5">
        <f t="shared" si="15"/>
        <v>32357.22787812473</v>
      </c>
      <c r="D191" s="5">
        <f t="shared" si="16"/>
        <v>8499.9026397113594</v>
      </c>
      <c r="E191" s="5">
        <f t="shared" si="17"/>
        <v>23857.32523841337</v>
      </c>
      <c r="F191" s="5">
        <f t="shared" si="18"/>
        <v>5076084.2585884016</v>
      </c>
    </row>
    <row r="192" spans="1:6" x14ac:dyDescent="0.25">
      <c r="A192">
        <v>179</v>
      </c>
      <c r="B192" s="5">
        <f t="shared" si="19"/>
        <v>5076084.2585884016</v>
      </c>
      <c r="C192" s="5">
        <f t="shared" si="15"/>
        <v>32357.22787812473</v>
      </c>
      <c r="D192" s="5">
        <f t="shared" si="16"/>
        <v>8460.1404309806694</v>
      </c>
      <c r="E192" s="5">
        <f t="shared" si="17"/>
        <v>23897.087447144062</v>
      </c>
      <c r="F192" s="5">
        <f t="shared" si="18"/>
        <v>5052187.1711412575</v>
      </c>
    </row>
    <row r="193" spans="1:6" x14ac:dyDescent="0.25">
      <c r="A193" s="3">
        <v>180</v>
      </c>
      <c r="B193" s="4">
        <f t="shared" si="19"/>
        <v>5052187.1711412575</v>
      </c>
      <c r="C193" s="4">
        <f t="shared" si="15"/>
        <v>32357.22787812473</v>
      </c>
      <c r="D193" s="4">
        <f t="shared" si="16"/>
        <v>8420.3119519020966</v>
      </c>
      <c r="E193" s="4">
        <f t="shared" si="17"/>
        <v>23936.915926222631</v>
      </c>
      <c r="F193" s="4">
        <f t="shared" si="18"/>
        <v>5028250.2552150348</v>
      </c>
    </row>
    <row r="194" spans="1:6" x14ac:dyDescent="0.25">
      <c r="A194">
        <v>181</v>
      </c>
      <c r="B194" s="5">
        <f t="shared" si="19"/>
        <v>5028250.2552150348</v>
      </c>
      <c r="C194" s="5">
        <f t="shared" si="15"/>
        <v>32357.22787812473</v>
      </c>
      <c r="D194" s="5">
        <f t="shared" si="16"/>
        <v>8380.4170920250581</v>
      </c>
      <c r="E194" s="5">
        <f t="shared" si="17"/>
        <v>23976.810786099672</v>
      </c>
      <c r="F194" s="5">
        <f t="shared" si="18"/>
        <v>5004273.4444289347</v>
      </c>
    </row>
    <row r="195" spans="1:6" x14ac:dyDescent="0.25">
      <c r="A195">
        <v>182</v>
      </c>
      <c r="B195" s="5">
        <f t="shared" si="19"/>
        <v>5004273.4444289347</v>
      </c>
      <c r="C195" s="5">
        <f t="shared" si="15"/>
        <v>32357.22787812473</v>
      </c>
      <c r="D195" s="5">
        <f t="shared" si="16"/>
        <v>8340.4557407148914</v>
      </c>
      <c r="E195" s="5">
        <f t="shared" si="17"/>
        <v>24016.77213740984</v>
      </c>
      <c r="F195" s="5">
        <f t="shared" si="18"/>
        <v>4980256.6722915247</v>
      </c>
    </row>
    <row r="196" spans="1:6" x14ac:dyDescent="0.25">
      <c r="A196">
        <v>183</v>
      </c>
      <c r="B196" s="5">
        <f t="shared" si="19"/>
        <v>4980256.6722915247</v>
      </c>
      <c r="C196" s="5">
        <f t="shared" si="15"/>
        <v>32357.22787812473</v>
      </c>
      <c r="D196" s="5">
        <f t="shared" si="16"/>
        <v>8300.427787152541</v>
      </c>
      <c r="E196" s="5">
        <f t="shared" si="17"/>
        <v>24056.800090972189</v>
      </c>
      <c r="F196" s="5">
        <f t="shared" si="18"/>
        <v>4956199.8722005524</v>
      </c>
    </row>
    <row r="197" spans="1:6" x14ac:dyDescent="0.25">
      <c r="A197">
        <v>184</v>
      </c>
      <c r="B197" s="5">
        <f t="shared" si="19"/>
        <v>4956199.8722005524</v>
      </c>
      <c r="C197" s="5">
        <f t="shared" si="15"/>
        <v>32357.22787812473</v>
      </c>
      <c r="D197" s="5">
        <f t="shared" si="16"/>
        <v>8260.333120334255</v>
      </c>
      <c r="E197" s="5">
        <f t="shared" si="17"/>
        <v>24096.894757790476</v>
      </c>
      <c r="F197" s="5">
        <f t="shared" si="18"/>
        <v>4932102.9774427619</v>
      </c>
    </row>
    <row r="198" spans="1:6" x14ac:dyDescent="0.25">
      <c r="A198">
        <v>185</v>
      </c>
      <c r="B198" s="5">
        <f t="shared" si="19"/>
        <v>4932102.9774427619</v>
      </c>
      <c r="C198" s="5">
        <f t="shared" si="15"/>
        <v>32357.22787812473</v>
      </c>
      <c r="D198" s="5">
        <f t="shared" si="16"/>
        <v>8220.1716290712702</v>
      </c>
      <c r="E198" s="5">
        <f t="shared" si="17"/>
        <v>24137.056249053458</v>
      </c>
      <c r="F198" s="5">
        <f t="shared" si="18"/>
        <v>4907965.9211937087</v>
      </c>
    </row>
    <row r="199" spans="1:6" x14ac:dyDescent="0.25">
      <c r="A199">
        <v>186</v>
      </c>
      <c r="B199" s="5">
        <f t="shared" si="19"/>
        <v>4907965.9211937087</v>
      </c>
      <c r="C199" s="5">
        <f t="shared" si="15"/>
        <v>32357.22787812473</v>
      </c>
      <c r="D199" s="5">
        <f t="shared" si="16"/>
        <v>8179.9432019895148</v>
      </c>
      <c r="E199" s="5">
        <f t="shared" si="17"/>
        <v>24177.284676135216</v>
      </c>
      <c r="F199" s="5">
        <f t="shared" si="18"/>
        <v>4883788.6365175731</v>
      </c>
    </row>
    <row r="200" spans="1:6" x14ac:dyDescent="0.25">
      <c r="A200">
        <v>187</v>
      </c>
      <c r="B200" s="5">
        <f t="shared" si="19"/>
        <v>4883788.6365175731</v>
      </c>
      <c r="C200" s="5">
        <f t="shared" si="15"/>
        <v>32357.22787812473</v>
      </c>
      <c r="D200" s="5">
        <f t="shared" si="16"/>
        <v>8139.6477275292891</v>
      </c>
      <c r="E200" s="5">
        <f t="shared" si="17"/>
        <v>24217.580150595441</v>
      </c>
      <c r="F200" s="5">
        <f t="shared" si="18"/>
        <v>4859571.0563669773</v>
      </c>
    </row>
    <row r="201" spans="1:6" x14ac:dyDescent="0.25">
      <c r="A201">
        <v>188</v>
      </c>
      <c r="B201" s="5">
        <f t="shared" si="19"/>
        <v>4859571.0563669773</v>
      </c>
      <c r="C201" s="5">
        <f t="shared" si="15"/>
        <v>32357.22787812473</v>
      </c>
      <c r="D201" s="5">
        <f t="shared" si="16"/>
        <v>8099.2850939449627</v>
      </c>
      <c r="E201" s="5">
        <f t="shared" si="17"/>
        <v>24257.942784179766</v>
      </c>
      <c r="F201" s="5">
        <f t="shared" si="18"/>
        <v>4835313.1135827973</v>
      </c>
    </row>
    <row r="202" spans="1:6" x14ac:dyDescent="0.25">
      <c r="A202">
        <v>189</v>
      </c>
      <c r="B202" s="5">
        <f t="shared" si="19"/>
        <v>4835313.1135827973</v>
      </c>
      <c r="C202" s="5">
        <f t="shared" si="15"/>
        <v>32357.22787812473</v>
      </c>
      <c r="D202" s="5">
        <f t="shared" si="16"/>
        <v>8058.8551893046624</v>
      </c>
      <c r="E202" s="5">
        <f t="shared" si="17"/>
        <v>24298.372688820069</v>
      </c>
      <c r="F202" s="5">
        <f t="shared" si="18"/>
        <v>4811014.7408939777</v>
      </c>
    </row>
    <row r="203" spans="1:6" x14ac:dyDescent="0.25">
      <c r="A203">
        <v>190</v>
      </c>
      <c r="B203" s="5">
        <f t="shared" si="19"/>
        <v>4811014.7408939777</v>
      </c>
      <c r="C203" s="5">
        <f t="shared" si="15"/>
        <v>32357.22787812473</v>
      </c>
      <c r="D203" s="5">
        <f t="shared" si="16"/>
        <v>8018.3579014899633</v>
      </c>
      <c r="E203" s="5">
        <f t="shared" si="17"/>
        <v>24338.869976634767</v>
      </c>
      <c r="F203" s="5">
        <f t="shared" si="18"/>
        <v>4786675.8709173426</v>
      </c>
    </row>
    <row r="204" spans="1:6" x14ac:dyDescent="0.25">
      <c r="A204">
        <v>191</v>
      </c>
      <c r="B204" s="5">
        <f t="shared" si="19"/>
        <v>4786675.8709173426</v>
      </c>
      <c r="C204" s="5">
        <f t="shared" si="15"/>
        <v>32357.22787812473</v>
      </c>
      <c r="D204" s="5">
        <f t="shared" si="16"/>
        <v>7977.7931181955719</v>
      </c>
      <c r="E204" s="5">
        <f t="shared" si="17"/>
        <v>24379.434759929158</v>
      </c>
      <c r="F204" s="5">
        <f t="shared" si="18"/>
        <v>4762296.4361574138</v>
      </c>
    </row>
    <row r="205" spans="1:6" x14ac:dyDescent="0.25">
      <c r="A205">
        <v>192</v>
      </c>
      <c r="B205" s="5">
        <f t="shared" si="19"/>
        <v>4762296.4361574138</v>
      </c>
      <c r="C205" s="5">
        <f t="shared" si="15"/>
        <v>32357.22787812473</v>
      </c>
      <c r="D205" s="5">
        <f t="shared" si="16"/>
        <v>7937.1607269290234</v>
      </c>
      <c r="E205" s="5">
        <f t="shared" si="17"/>
        <v>24420.067151195704</v>
      </c>
      <c r="F205" s="5">
        <f t="shared" si="18"/>
        <v>4737876.3690062184</v>
      </c>
    </row>
    <row r="206" spans="1:6" x14ac:dyDescent="0.25">
      <c r="A206">
        <v>193</v>
      </c>
      <c r="B206" s="5">
        <f t="shared" si="19"/>
        <v>4737876.3690062184</v>
      </c>
      <c r="C206" s="5">
        <f t="shared" ref="C206:C269" si="20">+$B$6</f>
        <v>32357.22787812473</v>
      </c>
      <c r="D206" s="5">
        <f t="shared" ref="D206:D269" si="21">+B206*($B$4/12)</f>
        <v>7896.4606150103646</v>
      </c>
      <c r="E206" s="5">
        <f t="shared" ref="E206:E269" si="22">+C206-D206</f>
        <v>24460.767263114365</v>
      </c>
      <c r="F206" s="5">
        <f t="shared" ref="F206:F269" si="23">+B206-E206</f>
        <v>4713415.6017431039</v>
      </c>
    </row>
    <row r="207" spans="1:6" x14ac:dyDescent="0.25">
      <c r="A207">
        <v>194</v>
      </c>
      <c r="B207" s="5">
        <f t="shared" ref="B207:B270" si="24">+F206</f>
        <v>4713415.6017431039</v>
      </c>
      <c r="C207" s="5">
        <f t="shared" si="20"/>
        <v>32357.22787812473</v>
      </c>
      <c r="D207" s="5">
        <f t="shared" si="21"/>
        <v>7855.6926695718403</v>
      </c>
      <c r="E207" s="5">
        <f t="shared" si="22"/>
        <v>24501.53520855289</v>
      </c>
      <c r="F207" s="5">
        <f t="shared" si="23"/>
        <v>4688914.0665345509</v>
      </c>
    </row>
    <row r="208" spans="1:6" x14ac:dyDescent="0.25">
      <c r="A208">
        <v>195</v>
      </c>
      <c r="B208" s="5">
        <f t="shared" si="24"/>
        <v>4688914.0665345509</v>
      </c>
      <c r="C208" s="5">
        <f t="shared" si="20"/>
        <v>32357.22787812473</v>
      </c>
      <c r="D208" s="5">
        <f t="shared" si="21"/>
        <v>7814.8567775575857</v>
      </c>
      <c r="E208" s="5">
        <f t="shared" si="22"/>
        <v>24542.371100567143</v>
      </c>
      <c r="F208" s="5">
        <f t="shared" si="23"/>
        <v>4664371.6954339836</v>
      </c>
    </row>
    <row r="209" spans="1:6" x14ac:dyDescent="0.25">
      <c r="A209">
        <v>196</v>
      </c>
      <c r="B209" s="5">
        <f t="shared" si="24"/>
        <v>4664371.6954339836</v>
      </c>
      <c r="C209" s="5">
        <f t="shared" si="20"/>
        <v>32357.22787812473</v>
      </c>
      <c r="D209" s="5">
        <f t="shared" si="21"/>
        <v>7773.9528257233069</v>
      </c>
      <c r="E209" s="5">
        <f t="shared" si="22"/>
        <v>24583.275052401423</v>
      </c>
      <c r="F209" s="5">
        <f t="shared" si="23"/>
        <v>4639788.4203815823</v>
      </c>
    </row>
    <row r="210" spans="1:6" x14ac:dyDescent="0.25">
      <c r="A210">
        <v>197</v>
      </c>
      <c r="B210" s="5">
        <f t="shared" si="24"/>
        <v>4639788.4203815823</v>
      </c>
      <c r="C210" s="5">
        <f t="shared" si="20"/>
        <v>32357.22787812473</v>
      </c>
      <c r="D210" s="5">
        <f t="shared" si="21"/>
        <v>7732.9807006359715</v>
      </c>
      <c r="E210" s="5">
        <f t="shared" si="22"/>
        <v>24624.24717748876</v>
      </c>
      <c r="F210" s="5">
        <f t="shared" si="23"/>
        <v>4615164.1732040932</v>
      </c>
    </row>
    <row r="211" spans="1:6" x14ac:dyDescent="0.25">
      <c r="A211">
        <v>198</v>
      </c>
      <c r="B211" s="5">
        <f t="shared" si="24"/>
        <v>4615164.1732040932</v>
      </c>
      <c r="C211" s="5">
        <f t="shared" si="20"/>
        <v>32357.22787812473</v>
      </c>
      <c r="D211" s="5">
        <f t="shared" si="21"/>
        <v>7691.9402886734888</v>
      </c>
      <c r="E211" s="5">
        <f t="shared" si="22"/>
        <v>24665.28758945124</v>
      </c>
      <c r="F211" s="5">
        <f t="shared" si="23"/>
        <v>4590498.8856146419</v>
      </c>
    </row>
    <row r="212" spans="1:6" x14ac:dyDescent="0.25">
      <c r="A212">
        <v>199</v>
      </c>
      <c r="B212" s="5">
        <f t="shared" si="24"/>
        <v>4590498.8856146419</v>
      </c>
      <c r="C212" s="5">
        <f t="shared" si="20"/>
        <v>32357.22787812473</v>
      </c>
      <c r="D212" s="5">
        <f t="shared" si="21"/>
        <v>7650.8314760244039</v>
      </c>
      <c r="E212" s="5">
        <f t="shared" si="22"/>
        <v>24706.396402100327</v>
      </c>
      <c r="F212" s="5">
        <f t="shared" si="23"/>
        <v>4565792.4892125418</v>
      </c>
    </row>
    <row r="213" spans="1:6" x14ac:dyDescent="0.25">
      <c r="A213">
        <v>200</v>
      </c>
      <c r="B213" s="5">
        <f t="shared" si="24"/>
        <v>4565792.4892125418</v>
      </c>
      <c r="C213" s="5">
        <f t="shared" si="20"/>
        <v>32357.22787812473</v>
      </c>
      <c r="D213" s="5">
        <f t="shared" si="21"/>
        <v>7609.6541486875703</v>
      </c>
      <c r="E213" s="5">
        <f t="shared" si="22"/>
        <v>24747.573729437157</v>
      </c>
      <c r="F213" s="5">
        <f t="shared" si="23"/>
        <v>4541044.915483105</v>
      </c>
    </row>
    <row r="214" spans="1:6" x14ac:dyDescent="0.25">
      <c r="A214">
        <v>201</v>
      </c>
      <c r="B214" s="5">
        <f t="shared" si="24"/>
        <v>4541044.915483105</v>
      </c>
      <c r="C214" s="5">
        <f t="shared" si="20"/>
        <v>32357.22787812473</v>
      </c>
      <c r="D214" s="5">
        <f t="shared" si="21"/>
        <v>7568.4081924718421</v>
      </c>
      <c r="E214" s="5">
        <f t="shared" si="22"/>
        <v>24788.819685652888</v>
      </c>
      <c r="F214" s="5">
        <f t="shared" si="23"/>
        <v>4516256.0957974521</v>
      </c>
    </row>
    <row r="215" spans="1:6" x14ac:dyDescent="0.25">
      <c r="A215">
        <v>202</v>
      </c>
      <c r="B215" s="5">
        <f t="shared" si="24"/>
        <v>4516256.0957974521</v>
      </c>
      <c r="C215" s="5">
        <f t="shared" si="20"/>
        <v>32357.22787812473</v>
      </c>
      <c r="D215" s="5">
        <f t="shared" si="21"/>
        <v>7527.0934929957539</v>
      </c>
      <c r="E215" s="5">
        <f t="shared" si="22"/>
        <v>24830.134385128975</v>
      </c>
      <c r="F215" s="5">
        <f t="shared" si="23"/>
        <v>4491425.9614123227</v>
      </c>
    </row>
    <row r="216" spans="1:6" x14ac:dyDescent="0.25">
      <c r="A216">
        <v>203</v>
      </c>
      <c r="B216" s="5">
        <f t="shared" si="24"/>
        <v>4491425.9614123227</v>
      </c>
      <c r="C216" s="5">
        <f t="shared" si="20"/>
        <v>32357.22787812473</v>
      </c>
      <c r="D216" s="5">
        <f t="shared" si="21"/>
        <v>7485.709935687205</v>
      </c>
      <c r="E216" s="5">
        <f t="shared" si="22"/>
        <v>24871.517942437524</v>
      </c>
      <c r="F216" s="5">
        <f t="shared" si="23"/>
        <v>4466554.4434698848</v>
      </c>
    </row>
    <row r="217" spans="1:6" x14ac:dyDescent="0.25">
      <c r="A217">
        <v>204</v>
      </c>
      <c r="B217" s="5">
        <f t="shared" si="24"/>
        <v>4466554.4434698848</v>
      </c>
      <c r="C217" s="5">
        <f t="shared" si="20"/>
        <v>32357.22787812473</v>
      </c>
      <c r="D217" s="5">
        <f t="shared" si="21"/>
        <v>7444.2574057831416</v>
      </c>
      <c r="E217" s="5">
        <f t="shared" si="22"/>
        <v>24912.970472341589</v>
      </c>
      <c r="F217" s="5">
        <f t="shared" si="23"/>
        <v>4441641.4729975434</v>
      </c>
    </row>
    <row r="218" spans="1:6" x14ac:dyDescent="0.25">
      <c r="A218">
        <v>205</v>
      </c>
      <c r="B218" s="5">
        <f t="shared" si="24"/>
        <v>4441641.4729975434</v>
      </c>
      <c r="C218" s="5">
        <f t="shared" si="20"/>
        <v>32357.22787812473</v>
      </c>
      <c r="D218" s="5">
        <f t="shared" si="21"/>
        <v>7402.7357883292398</v>
      </c>
      <c r="E218" s="5">
        <f t="shared" si="22"/>
        <v>24954.492089795491</v>
      </c>
      <c r="F218" s="5">
        <f t="shared" si="23"/>
        <v>4416686.9809077475</v>
      </c>
    </row>
    <row r="219" spans="1:6" x14ac:dyDescent="0.25">
      <c r="A219">
        <v>206</v>
      </c>
      <c r="B219" s="5">
        <f t="shared" si="24"/>
        <v>4416686.9809077475</v>
      </c>
      <c r="C219" s="5">
        <f t="shared" si="20"/>
        <v>32357.22787812473</v>
      </c>
      <c r="D219" s="5">
        <f t="shared" si="21"/>
        <v>7361.1449681795793</v>
      </c>
      <c r="E219" s="5">
        <f t="shared" si="22"/>
        <v>24996.082909945151</v>
      </c>
      <c r="F219" s="5">
        <f t="shared" si="23"/>
        <v>4391690.8979978021</v>
      </c>
    </row>
    <row r="220" spans="1:6" x14ac:dyDescent="0.25">
      <c r="A220">
        <v>207</v>
      </c>
      <c r="B220" s="5">
        <f t="shared" si="24"/>
        <v>4391690.8979978021</v>
      </c>
      <c r="C220" s="5">
        <f t="shared" si="20"/>
        <v>32357.22787812473</v>
      </c>
      <c r="D220" s="5">
        <f t="shared" si="21"/>
        <v>7319.4848299963378</v>
      </c>
      <c r="E220" s="5">
        <f t="shared" si="22"/>
        <v>25037.743048128392</v>
      </c>
      <c r="F220" s="5">
        <f t="shared" si="23"/>
        <v>4366653.1549496735</v>
      </c>
    </row>
    <row r="221" spans="1:6" x14ac:dyDescent="0.25">
      <c r="A221">
        <v>208</v>
      </c>
      <c r="B221" s="5">
        <f t="shared" si="24"/>
        <v>4366653.1549496735</v>
      </c>
      <c r="C221" s="5">
        <f t="shared" si="20"/>
        <v>32357.22787812473</v>
      </c>
      <c r="D221" s="5">
        <f t="shared" si="21"/>
        <v>7277.7552582494563</v>
      </c>
      <c r="E221" s="5">
        <f t="shared" si="22"/>
        <v>25079.472619875272</v>
      </c>
      <c r="F221" s="5">
        <f t="shared" si="23"/>
        <v>4341573.6823297981</v>
      </c>
    </row>
    <row r="222" spans="1:6" x14ac:dyDescent="0.25">
      <c r="A222">
        <v>209</v>
      </c>
      <c r="B222" s="5">
        <f t="shared" si="24"/>
        <v>4341573.6823297981</v>
      </c>
      <c r="C222" s="5">
        <f t="shared" si="20"/>
        <v>32357.22787812473</v>
      </c>
      <c r="D222" s="5">
        <f t="shared" si="21"/>
        <v>7235.9561372163307</v>
      </c>
      <c r="E222" s="5">
        <f t="shared" si="22"/>
        <v>25121.2717409084</v>
      </c>
      <c r="F222" s="5">
        <f t="shared" si="23"/>
        <v>4316452.4105888894</v>
      </c>
    </row>
    <row r="223" spans="1:6" x14ac:dyDescent="0.25">
      <c r="A223">
        <v>210</v>
      </c>
      <c r="B223" s="5">
        <f t="shared" si="24"/>
        <v>4316452.4105888894</v>
      </c>
      <c r="C223" s="5">
        <f t="shared" si="20"/>
        <v>32357.22787812473</v>
      </c>
      <c r="D223" s="5">
        <f t="shared" si="21"/>
        <v>7194.0873509814828</v>
      </c>
      <c r="E223" s="5">
        <f t="shared" si="22"/>
        <v>25163.140527143245</v>
      </c>
      <c r="F223" s="5">
        <f t="shared" si="23"/>
        <v>4291289.2700617462</v>
      </c>
    </row>
    <row r="224" spans="1:6" x14ac:dyDescent="0.25">
      <c r="A224">
        <v>211</v>
      </c>
      <c r="B224" s="5">
        <f t="shared" si="24"/>
        <v>4291289.2700617462</v>
      </c>
      <c r="C224" s="5">
        <f t="shared" si="20"/>
        <v>32357.22787812473</v>
      </c>
      <c r="D224" s="5">
        <f t="shared" si="21"/>
        <v>7152.1487834362442</v>
      </c>
      <c r="E224" s="5">
        <f t="shared" si="22"/>
        <v>25205.079094688484</v>
      </c>
      <c r="F224" s="5">
        <f t="shared" si="23"/>
        <v>4266084.1909670578</v>
      </c>
    </row>
    <row r="225" spans="1:6" x14ac:dyDescent="0.25">
      <c r="A225">
        <v>212</v>
      </c>
      <c r="B225" s="5">
        <f t="shared" si="24"/>
        <v>4266084.1909670578</v>
      </c>
      <c r="C225" s="5">
        <f t="shared" si="20"/>
        <v>32357.22787812473</v>
      </c>
      <c r="D225" s="5">
        <f t="shared" si="21"/>
        <v>7110.1403182784297</v>
      </c>
      <c r="E225" s="5">
        <f t="shared" si="22"/>
        <v>25247.087559846299</v>
      </c>
      <c r="F225" s="5">
        <f t="shared" si="23"/>
        <v>4240837.1034072116</v>
      </c>
    </row>
    <row r="226" spans="1:6" x14ac:dyDescent="0.25">
      <c r="A226">
        <v>213</v>
      </c>
      <c r="B226" s="5">
        <f t="shared" si="24"/>
        <v>4240837.1034072116</v>
      </c>
      <c r="C226" s="5">
        <f t="shared" si="20"/>
        <v>32357.22787812473</v>
      </c>
      <c r="D226" s="5">
        <f t="shared" si="21"/>
        <v>7068.0618390120198</v>
      </c>
      <c r="E226" s="5">
        <f t="shared" si="22"/>
        <v>25289.166039112708</v>
      </c>
      <c r="F226" s="5">
        <f t="shared" si="23"/>
        <v>4215547.9373680986</v>
      </c>
    </row>
    <row r="227" spans="1:6" x14ac:dyDescent="0.25">
      <c r="A227">
        <v>214</v>
      </c>
      <c r="B227" s="5">
        <f t="shared" si="24"/>
        <v>4215547.9373680986</v>
      </c>
      <c r="C227" s="5">
        <f t="shared" si="20"/>
        <v>32357.22787812473</v>
      </c>
      <c r="D227" s="5">
        <f t="shared" si="21"/>
        <v>7025.9132289468316</v>
      </c>
      <c r="E227" s="5">
        <f t="shared" si="22"/>
        <v>25331.314649177897</v>
      </c>
      <c r="F227" s="5">
        <f t="shared" si="23"/>
        <v>4190216.6227189209</v>
      </c>
    </row>
    <row r="228" spans="1:6" x14ac:dyDescent="0.25">
      <c r="A228">
        <v>215</v>
      </c>
      <c r="B228" s="5">
        <f t="shared" si="24"/>
        <v>4190216.6227189209</v>
      </c>
      <c r="C228" s="5">
        <f t="shared" si="20"/>
        <v>32357.22787812473</v>
      </c>
      <c r="D228" s="5">
        <f t="shared" si="21"/>
        <v>6983.6943711982021</v>
      </c>
      <c r="E228" s="5">
        <f t="shared" si="22"/>
        <v>25373.533506926527</v>
      </c>
      <c r="F228" s="5">
        <f t="shared" si="23"/>
        <v>4164843.0892119943</v>
      </c>
    </row>
    <row r="229" spans="1:6" x14ac:dyDescent="0.25">
      <c r="A229">
        <v>216</v>
      </c>
      <c r="B229" s="5">
        <f t="shared" si="24"/>
        <v>4164843.0892119943</v>
      </c>
      <c r="C229" s="5">
        <f t="shared" si="20"/>
        <v>32357.22787812473</v>
      </c>
      <c r="D229" s="5">
        <f t="shared" si="21"/>
        <v>6941.4051486866574</v>
      </c>
      <c r="E229" s="5">
        <f t="shared" si="22"/>
        <v>25415.82272943807</v>
      </c>
      <c r="F229" s="5">
        <f t="shared" si="23"/>
        <v>4139427.2664825562</v>
      </c>
    </row>
    <row r="230" spans="1:6" x14ac:dyDescent="0.25">
      <c r="A230">
        <v>217</v>
      </c>
      <c r="B230" s="5">
        <f t="shared" si="24"/>
        <v>4139427.2664825562</v>
      </c>
      <c r="C230" s="5">
        <f t="shared" si="20"/>
        <v>32357.22787812473</v>
      </c>
      <c r="D230" s="5">
        <f t="shared" si="21"/>
        <v>6899.0454441375941</v>
      </c>
      <c r="E230" s="5">
        <f t="shared" si="22"/>
        <v>25458.182433987135</v>
      </c>
      <c r="F230" s="5">
        <f t="shared" si="23"/>
        <v>4113969.0840485692</v>
      </c>
    </row>
    <row r="231" spans="1:6" x14ac:dyDescent="0.25">
      <c r="A231">
        <v>218</v>
      </c>
      <c r="B231" s="5">
        <f t="shared" si="24"/>
        <v>4113969.0840485692</v>
      </c>
      <c r="C231" s="5">
        <f t="shared" si="20"/>
        <v>32357.22787812473</v>
      </c>
      <c r="D231" s="5">
        <f t="shared" si="21"/>
        <v>6856.6151400809495</v>
      </c>
      <c r="E231" s="5">
        <f t="shared" si="22"/>
        <v>25500.612738043779</v>
      </c>
      <c r="F231" s="5">
        <f t="shared" si="23"/>
        <v>4088468.4713105252</v>
      </c>
    </row>
    <row r="232" spans="1:6" x14ac:dyDescent="0.25">
      <c r="A232">
        <v>219</v>
      </c>
      <c r="B232" s="5">
        <f t="shared" si="24"/>
        <v>4088468.4713105252</v>
      </c>
      <c r="C232" s="5">
        <f t="shared" si="20"/>
        <v>32357.22787812473</v>
      </c>
      <c r="D232" s="5">
        <f t="shared" si="21"/>
        <v>6814.1141188508755</v>
      </c>
      <c r="E232" s="5">
        <f t="shared" si="22"/>
        <v>25543.113759273852</v>
      </c>
      <c r="F232" s="5">
        <f t="shared" si="23"/>
        <v>4062925.3575512515</v>
      </c>
    </row>
    <row r="233" spans="1:6" x14ac:dyDescent="0.25">
      <c r="A233">
        <v>220</v>
      </c>
      <c r="B233" s="5">
        <f t="shared" si="24"/>
        <v>4062925.3575512515</v>
      </c>
      <c r="C233" s="5">
        <f t="shared" si="20"/>
        <v>32357.22787812473</v>
      </c>
      <c r="D233" s="5">
        <f t="shared" si="21"/>
        <v>6771.5422625854198</v>
      </c>
      <c r="E233" s="5">
        <f t="shared" si="22"/>
        <v>25585.685615539311</v>
      </c>
      <c r="F233" s="5">
        <f t="shared" si="23"/>
        <v>4037339.6719357125</v>
      </c>
    </row>
    <row r="234" spans="1:6" x14ac:dyDescent="0.25">
      <c r="A234">
        <v>221</v>
      </c>
      <c r="B234" s="5">
        <f t="shared" si="24"/>
        <v>4037339.6719357125</v>
      </c>
      <c r="C234" s="5">
        <f t="shared" si="20"/>
        <v>32357.22787812473</v>
      </c>
      <c r="D234" s="5">
        <f t="shared" si="21"/>
        <v>6728.8994532261877</v>
      </c>
      <c r="E234" s="5">
        <f t="shared" si="22"/>
        <v>25628.328424898544</v>
      </c>
      <c r="F234" s="5">
        <f t="shared" si="23"/>
        <v>4011711.343510814</v>
      </c>
    </row>
    <row r="235" spans="1:6" x14ac:dyDescent="0.25">
      <c r="A235">
        <v>222</v>
      </c>
      <c r="B235" s="5">
        <f t="shared" si="24"/>
        <v>4011711.343510814</v>
      </c>
      <c r="C235" s="5">
        <f t="shared" si="20"/>
        <v>32357.22787812473</v>
      </c>
      <c r="D235" s="5">
        <f t="shared" si="21"/>
        <v>6686.1855725180239</v>
      </c>
      <c r="E235" s="5">
        <f t="shared" si="22"/>
        <v>25671.042305606705</v>
      </c>
      <c r="F235" s="5">
        <f t="shared" si="23"/>
        <v>3986040.3012052071</v>
      </c>
    </row>
    <row r="236" spans="1:6" x14ac:dyDescent="0.25">
      <c r="A236">
        <v>223</v>
      </c>
      <c r="B236" s="5">
        <f t="shared" si="24"/>
        <v>3986040.3012052071</v>
      </c>
      <c r="C236" s="5">
        <f t="shared" si="20"/>
        <v>32357.22787812473</v>
      </c>
      <c r="D236" s="5">
        <f t="shared" si="21"/>
        <v>6643.4005020086788</v>
      </c>
      <c r="E236" s="5">
        <f t="shared" si="22"/>
        <v>25713.827376116053</v>
      </c>
      <c r="F236" s="5">
        <f t="shared" si="23"/>
        <v>3960326.4738290911</v>
      </c>
    </row>
    <row r="237" spans="1:6" x14ac:dyDescent="0.25">
      <c r="A237">
        <v>224</v>
      </c>
      <c r="B237" s="5">
        <f t="shared" si="24"/>
        <v>3960326.4738290911</v>
      </c>
      <c r="C237" s="5">
        <f t="shared" si="20"/>
        <v>32357.22787812473</v>
      </c>
      <c r="D237" s="5">
        <f t="shared" si="21"/>
        <v>6600.5441230484857</v>
      </c>
      <c r="E237" s="5">
        <f t="shared" si="22"/>
        <v>25756.683755076243</v>
      </c>
      <c r="F237" s="5">
        <f t="shared" si="23"/>
        <v>3934569.790074015</v>
      </c>
    </row>
    <row r="238" spans="1:6" x14ac:dyDescent="0.25">
      <c r="A238">
        <v>225</v>
      </c>
      <c r="B238" s="5">
        <f t="shared" si="24"/>
        <v>3934569.790074015</v>
      </c>
      <c r="C238" s="5">
        <f t="shared" si="20"/>
        <v>32357.22787812473</v>
      </c>
      <c r="D238" s="5">
        <f t="shared" si="21"/>
        <v>6557.6163167900258</v>
      </c>
      <c r="E238" s="5">
        <f t="shared" si="22"/>
        <v>25799.611561334703</v>
      </c>
      <c r="F238" s="5">
        <f t="shared" si="23"/>
        <v>3908770.1785126803</v>
      </c>
    </row>
    <row r="239" spans="1:6" x14ac:dyDescent="0.25">
      <c r="A239">
        <v>226</v>
      </c>
      <c r="B239" s="5">
        <f t="shared" si="24"/>
        <v>3908770.1785126803</v>
      </c>
      <c r="C239" s="5">
        <f t="shared" si="20"/>
        <v>32357.22787812473</v>
      </c>
      <c r="D239" s="5">
        <f t="shared" si="21"/>
        <v>6514.6169641878014</v>
      </c>
      <c r="E239" s="5">
        <f t="shared" si="22"/>
        <v>25842.610913936929</v>
      </c>
      <c r="F239" s="5">
        <f t="shared" si="23"/>
        <v>3882927.5675987434</v>
      </c>
    </row>
    <row r="240" spans="1:6" x14ac:dyDescent="0.25">
      <c r="A240">
        <v>227</v>
      </c>
      <c r="B240" s="5">
        <f t="shared" si="24"/>
        <v>3882927.5675987434</v>
      </c>
      <c r="C240" s="5">
        <f t="shared" si="20"/>
        <v>32357.22787812473</v>
      </c>
      <c r="D240" s="5">
        <f t="shared" si="21"/>
        <v>6471.5459459979056</v>
      </c>
      <c r="E240" s="5">
        <f t="shared" si="22"/>
        <v>25885.681932126823</v>
      </c>
      <c r="F240" s="5">
        <f t="shared" si="23"/>
        <v>3857041.8856666167</v>
      </c>
    </row>
    <row r="241" spans="1:6" x14ac:dyDescent="0.25">
      <c r="A241">
        <v>228</v>
      </c>
      <c r="B241" s="5">
        <f t="shared" si="24"/>
        <v>3857041.8856666167</v>
      </c>
      <c r="C241" s="5">
        <f t="shared" si="20"/>
        <v>32357.22787812473</v>
      </c>
      <c r="D241" s="5">
        <f t="shared" si="21"/>
        <v>6428.4031427776954</v>
      </c>
      <c r="E241" s="5">
        <f t="shared" si="22"/>
        <v>25928.824735347036</v>
      </c>
      <c r="F241" s="5">
        <f t="shared" si="23"/>
        <v>3831113.0609312695</v>
      </c>
    </row>
    <row r="242" spans="1:6" x14ac:dyDescent="0.25">
      <c r="A242">
        <v>229</v>
      </c>
      <c r="B242" s="5">
        <f t="shared" si="24"/>
        <v>3831113.0609312695</v>
      </c>
      <c r="C242" s="5">
        <f t="shared" si="20"/>
        <v>32357.22787812473</v>
      </c>
      <c r="D242" s="5">
        <f t="shared" si="21"/>
        <v>6385.1884348854501</v>
      </c>
      <c r="E242" s="5">
        <f t="shared" si="22"/>
        <v>25972.039443239279</v>
      </c>
      <c r="F242" s="5">
        <f t="shared" si="23"/>
        <v>3805141.0214880304</v>
      </c>
    </row>
    <row r="243" spans="1:6" x14ac:dyDescent="0.25">
      <c r="A243">
        <v>230</v>
      </c>
      <c r="B243" s="5">
        <f t="shared" si="24"/>
        <v>3805141.0214880304</v>
      </c>
      <c r="C243" s="5">
        <f t="shared" si="20"/>
        <v>32357.22787812473</v>
      </c>
      <c r="D243" s="5">
        <f t="shared" si="21"/>
        <v>6341.9017024800514</v>
      </c>
      <c r="E243" s="5">
        <f t="shared" si="22"/>
        <v>26015.326175644677</v>
      </c>
      <c r="F243" s="5">
        <f t="shared" si="23"/>
        <v>3779125.6953123859</v>
      </c>
    </row>
    <row r="244" spans="1:6" x14ac:dyDescent="0.25">
      <c r="A244">
        <v>231</v>
      </c>
      <c r="B244" s="5">
        <f t="shared" si="24"/>
        <v>3779125.6953123859</v>
      </c>
      <c r="C244" s="5">
        <f t="shared" si="20"/>
        <v>32357.22787812473</v>
      </c>
      <c r="D244" s="5">
        <f t="shared" si="21"/>
        <v>6298.5428255206434</v>
      </c>
      <c r="E244" s="5">
        <f t="shared" si="22"/>
        <v>26058.685052604087</v>
      </c>
      <c r="F244" s="5">
        <f t="shared" si="23"/>
        <v>3753067.010259782</v>
      </c>
    </row>
    <row r="245" spans="1:6" x14ac:dyDescent="0.25">
      <c r="A245">
        <v>232</v>
      </c>
      <c r="B245" s="5">
        <f t="shared" si="24"/>
        <v>3753067.010259782</v>
      </c>
      <c r="C245" s="5">
        <f t="shared" si="20"/>
        <v>32357.22787812473</v>
      </c>
      <c r="D245" s="5">
        <f t="shared" si="21"/>
        <v>6255.1116837663039</v>
      </c>
      <c r="E245" s="5">
        <f t="shared" si="22"/>
        <v>26102.116194358427</v>
      </c>
      <c r="F245" s="5">
        <f t="shared" si="23"/>
        <v>3726964.8940654234</v>
      </c>
    </row>
    <row r="246" spans="1:6" x14ac:dyDescent="0.25">
      <c r="A246">
        <v>233</v>
      </c>
      <c r="B246" s="5">
        <f t="shared" si="24"/>
        <v>3726964.8940654234</v>
      </c>
      <c r="C246" s="5">
        <f t="shared" si="20"/>
        <v>32357.22787812473</v>
      </c>
      <c r="D246" s="5">
        <f t="shared" si="21"/>
        <v>6211.6081567757064</v>
      </c>
      <c r="E246" s="5">
        <f t="shared" si="22"/>
        <v>26145.619721349023</v>
      </c>
      <c r="F246" s="5">
        <f t="shared" si="23"/>
        <v>3700819.2743440745</v>
      </c>
    </row>
    <row r="247" spans="1:6" x14ac:dyDescent="0.25">
      <c r="A247">
        <v>234</v>
      </c>
      <c r="B247" s="5">
        <f t="shared" si="24"/>
        <v>3700819.2743440745</v>
      </c>
      <c r="C247" s="5">
        <f t="shared" si="20"/>
        <v>32357.22787812473</v>
      </c>
      <c r="D247" s="5">
        <f t="shared" si="21"/>
        <v>6168.0321239067916</v>
      </c>
      <c r="E247" s="5">
        <f t="shared" si="22"/>
        <v>26189.195754217937</v>
      </c>
      <c r="F247" s="5">
        <f t="shared" si="23"/>
        <v>3674630.0785898566</v>
      </c>
    </row>
    <row r="248" spans="1:6" x14ac:dyDescent="0.25">
      <c r="A248">
        <v>235</v>
      </c>
      <c r="B248" s="5">
        <f t="shared" si="24"/>
        <v>3674630.0785898566</v>
      </c>
      <c r="C248" s="5">
        <f t="shared" si="20"/>
        <v>32357.22787812473</v>
      </c>
      <c r="D248" s="5">
        <f t="shared" si="21"/>
        <v>6124.3834643164282</v>
      </c>
      <c r="E248" s="5">
        <f t="shared" si="22"/>
        <v>26232.8444138083</v>
      </c>
      <c r="F248" s="5">
        <f t="shared" si="23"/>
        <v>3648397.2341760485</v>
      </c>
    </row>
    <row r="249" spans="1:6" x14ac:dyDescent="0.25">
      <c r="A249">
        <v>236</v>
      </c>
      <c r="B249" s="5">
        <f t="shared" si="24"/>
        <v>3648397.2341760485</v>
      </c>
      <c r="C249" s="5">
        <f t="shared" si="20"/>
        <v>32357.22787812473</v>
      </c>
      <c r="D249" s="5">
        <f t="shared" si="21"/>
        <v>6080.6620569600809</v>
      </c>
      <c r="E249" s="5">
        <f t="shared" si="22"/>
        <v>26276.565821164648</v>
      </c>
      <c r="F249" s="5">
        <f t="shared" si="23"/>
        <v>3622120.6683548838</v>
      </c>
    </row>
    <row r="250" spans="1:6" x14ac:dyDescent="0.25">
      <c r="A250">
        <v>237</v>
      </c>
      <c r="B250" s="5">
        <f t="shared" si="24"/>
        <v>3622120.6683548838</v>
      </c>
      <c r="C250" s="5">
        <f t="shared" si="20"/>
        <v>32357.22787812473</v>
      </c>
      <c r="D250" s="5">
        <f t="shared" si="21"/>
        <v>6036.8677805914731</v>
      </c>
      <c r="E250" s="5">
        <f t="shared" si="22"/>
        <v>26320.360097533256</v>
      </c>
      <c r="F250" s="5">
        <f t="shared" si="23"/>
        <v>3595800.3082573507</v>
      </c>
    </row>
    <row r="251" spans="1:6" x14ac:dyDescent="0.25">
      <c r="A251">
        <v>238</v>
      </c>
      <c r="B251" s="5">
        <f t="shared" si="24"/>
        <v>3595800.3082573507</v>
      </c>
      <c r="C251" s="5">
        <f t="shared" si="20"/>
        <v>32357.22787812473</v>
      </c>
      <c r="D251" s="5">
        <f t="shared" si="21"/>
        <v>5993.0005137622511</v>
      </c>
      <c r="E251" s="5">
        <f t="shared" si="22"/>
        <v>26364.227364362479</v>
      </c>
      <c r="F251" s="5">
        <f t="shared" si="23"/>
        <v>3569436.080892988</v>
      </c>
    </row>
    <row r="252" spans="1:6" x14ac:dyDescent="0.25">
      <c r="A252">
        <v>239</v>
      </c>
      <c r="B252" s="5">
        <f t="shared" si="24"/>
        <v>3569436.080892988</v>
      </c>
      <c r="C252" s="5">
        <f t="shared" si="20"/>
        <v>32357.22787812473</v>
      </c>
      <c r="D252" s="5">
        <f t="shared" si="21"/>
        <v>5949.0601348216469</v>
      </c>
      <c r="E252" s="5">
        <f t="shared" si="22"/>
        <v>26408.167743303082</v>
      </c>
      <c r="F252" s="5">
        <f t="shared" si="23"/>
        <v>3543027.9131496851</v>
      </c>
    </row>
    <row r="253" spans="1:6" x14ac:dyDescent="0.25">
      <c r="A253" s="3">
        <v>240</v>
      </c>
      <c r="B253" s="4">
        <f t="shared" si="24"/>
        <v>3543027.9131496851</v>
      </c>
      <c r="C253" s="4">
        <f t="shared" si="20"/>
        <v>32357.22787812473</v>
      </c>
      <c r="D253" s="4">
        <f t="shared" si="21"/>
        <v>5905.0465219161424</v>
      </c>
      <c r="E253" s="4">
        <f t="shared" si="22"/>
        <v>26452.181356208588</v>
      </c>
      <c r="F253" s="4">
        <f t="shared" si="23"/>
        <v>3516575.7317934767</v>
      </c>
    </row>
    <row r="254" spans="1:6" x14ac:dyDescent="0.25">
      <c r="A254">
        <v>241</v>
      </c>
      <c r="B254" s="5">
        <f t="shared" si="24"/>
        <v>3516575.7317934767</v>
      </c>
      <c r="C254" s="5">
        <f t="shared" si="20"/>
        <v>32357.22787812473</v>
      </c>
      <c r="D254" s="5">
        <f t="shared" si="21"/>
        <v>5860.9595529891285</v>
      </c>
      <c r="E254" s="5">
        <f t="shared" si="22"/>
        <v>26496.268325135599</v>
      </c>
      <c r="F254" s="5">
        <f t="shared" si="23"/>
        <v>3490079.4634683412</v>
      </c>
    </row>
    <row r="255" spans="1:6" x14ac:dyDescent="0.25">
      <c r="A255">
        <v>242</v>
      </c>
      <c r="B255" s="5">
        <f t="shared" si="24"/>
        <v>3490079.4634683412</v>
      </c>
      <c r="C255" s="5">
        <f t="shared" si="20"/>
        <v>32357.22787812473</v>
      </c>
      <c r="D255" s="5">
        <f t="shared" si="21"/>
        <v>5816.7991057805693</v>
      </c>
      <c r="E255" s="5">
        <f t="shared" si="22"/>
        <v>26540.428772344159</v>
      </c>
      <c r="F255" s="5">
        <f t="shared" si="23"/>
        <v>3463539.0346959969</v>
      </c>
    </row>
    <row r="256" spans="1:6" x14ac:dyDescent="0.25">
      <c r="A256">
        <v>243</v>
      </c>
      <c r="B256" s="5">
        <f t="shared" si="24"/>
        <v>3463539.0346959969</v>
      </c>
      <c r="C256" s="5">
        <f t="shared" si="20"/>
        <v>32357.22787812473</v>
      </c>
      <c r="D256" s="5">
        <f t="shared" si="21"/>
        <v>5772.5650578266623</v>
      </c>
      <c r="E256" s="5">
        <f t="shared" si="22"/>
        <v>26584.662820298068</v>
      </c>
      <c r="F256" s="5">
        <f t="shared" si="23"/>
        <v>3436954.3718756987</v>
      </c>
    </row>
    <row r="257" spans="1:6" x14ac:dyDescent="0.25">
      <c r="A257">
        <v>244</v>
      </c>
      <c r="B257" s="5">
        <f t="shared" si="24"/>
        <v>3436954.3718756987</v>
      </c>
      <c r="C257" s="5">
        <f t="shared" si="20"/>
        <v>32357.22787812473</v>
      </c>
      <c r="D257" s="5">
        <f t="shared" si="21"/>
        <v>5728.2572864594986</v>
      </c>
      <c r="E257" s="5">
        <f t="shared" si="22"/>
        <v>26628.970591665231</v>
      </c>
      <c r="F257" s="5">
        <f t="shared" si="23"/>
        <v>3410325.4012840334</v>
      </c>
    </row>
    <row r="258" spans="1:6" x14ac:dyDescent="0.25">
      <c r="A258">
        <v>245</v>
      </c>
      <c r="B258" s="5">
        <f t="shared" si="24"/>
        <v>3410325.4012840334</v>
      </c>
      <c r="C258" s="5">
        <f t="shared" si="20"/>
        <v>32357.22787812473</v>
      </c>
      <c r="D258" s="5">
        <f t="shared" si="21"/>
        <v>5683.8756688067224</v>
      </c>
      <c r="E258" s="5">
        <f t="shared" si="22"/>
        <v>26673.352209318007</v>
      </c>
      <c r="F258" s="5">
        <f t="shared" si="23"/>
        <v>3383652.0490747155</v>
      </c>
    </row>
    <row r="259" spans="1:6" x14ac:dyDescent="0.25">
      <c r="A259">
        <v>246</v>
      </c>
      <c r="B259" s="5">
        <f t="shared" si="24"/>
        <v>3383652.0490747155</v>
      </c>
      <c r="C259" s="5">
        <f t="shared" si="20"/>
        <v>32357.22787812473</v>
      </c>
      <c r="D259" s="5">
        <f t="shared" si="21"/>
        <v>5639.4200817911924</v>
      </c>
      <c r="E259" s="5">
        <f t="shared" si="22"/>
        <v>26717.807796333538</v>
      </c>
      <c r="F259" s="5">
        <f t="shared" si="23"/>
        <v>3356934.241278382</v>
      </c>
    </row>
    <row r="260" spans="1:6" x14ac:dyDescent="0.25">
      <c r="A260">
        <v>247</v>
      </c>
      <c r="B260" s="5">
        <f t="shared" si="24"/>
        <v>3356934.241278382</v>
      </c>
      <c r="C260" s="5">
        <f t="shared" si="20"/>
        <v>32357.22787812473</v>
      </c>
      <c r="D260" s="5">
        <f t="shared" si="21"/>
        <v>5594.8904021306371</v>
      </c>
      <c r="E260" s="5">
        <f t="shared" si="22"/>
        <v>26762.337475994093</v>
      </c>
      <c r="F260" s="5">
        <f t="shared" si="23"/>
        <v>3330171.9038023879</v>
      </c>
    </row>
    <row r="261" spans="1:6" x14ac:dyDescent="0.25">
      <c r="A261">
        <v>248</v>
      </c>
      <c r="B261" s="5">
        <f t="shared" si="24"/>
        <v>3330171.9038023879</v>
      </c>
      <c r="C261" s="5">
        <f t="shared" si="20"/>
        <v>32357.22787812473</v>
      </c>
      <c r="D261" s="5">
        <f t="shared" si="21"/>
        <v>5550.2865063373138</v>
      </c>
      <c r="E261" s="5">
        <f t="shared" si="22"/>
        <v>26806.941371787416</v>
      </c>
      <c r="F261" s="5">
        <f t="shared" si="23"/>
        <v>3303364.9624306005</v>
      </c>
    </row>
    <row r="262" spans="1:6" x14ac:dyDescent="0.25">
      <c r="A262">
        <v>249</v>
      </c>
      <c r="B262" s="5">
        <f t="shared" si="24"/>
        <v>3303364.9624306005</v>
      </c>
      <c r="C262" s="5">
        <f t="shared" si="20"/>
        <v>32357.22787812473</v>
      </c>
      <c r="D262" s="5">
        <f t="shared" si="21"/>
        <v>5505.6082707176683</v>
      </c>
      <c r="E262" s="5">
        <f t="shared" si="22"/>
        <v>26851.619607407061</v>
      </c>
      <c r="F262" s="5">
        <f t="shared" si="23"/>
        <v>3276513.3428231934</v>
      </c>
    </row>
    <row r="263" spans="1:6" x14ac:dyDescent="0.25">
      <c r="A263">
        <v>250</v>
      </c>
      <c r="B263" s="5">
        <f t="shared" si="24"/>
        <v>3276513.3428231934</v>
      </c>
      <c r="C263" s="5">
        <f t="shared" si="20"/>
        <v>32357.22787812473</v>
      </c>
      <c r="D263" s="5">
        <f t="shared" si="21"/>
        <v>5460.8555713719898</v>
      </c>
      <c r="E263" s="5">
        <f t="shared" si="22"/>
        <v>26896.372306752739</v>
      </c>
      <c r="F263" s="5">
        <f t="shared" si="23"/>
        <v>3249616.9705164405</v>
      </c>
    </row>
    <row r="264" spans="1:6" x14ac:dyDescent="0.25">
      <c r="A264">
        <v>251</v>
      </c>
      <c r="B264" s="5">
        <f t="shared" si="24"/>
        <v>3249616.9705164405</v>
      </c>
      <c r="C264" s="5">
        <f t="shared" si="20"/>
        <v>32357.22787812473</v>
      </c>
      <c r="D264" s="5">
        <f t="shared" si="21"/>
        <v>5416.028284194068</v>
      </c>
      <c r="E264" s="5">
        <f t="shared" si="22"/>
        <v>26941.199593930662</v>
      </c>
      <c r="F264" s="5">
        <f t="shared" si="23"/>
        <v>3222675.77092251</v>
      </c>
    </row>
    <row r="265" spans="1:6" x14ac:dyDescent="0.25">
      <c r="A265">
        <v>252</v>
      </c>
      <c r="B265" s="5">
        <f t="shared" si="24"/>
        <v>3222675.77092251</v>
      </c>
      <c r="C265" s="5">
        <f t="shared" si="20"/>
        <v>32357.22787812473</v>
      </c>
      <c r="D265" s="5">
        <f t="shared" si="21"/>
        <v>5371.1262848708502</v>
      </c>
      <c r="E265" s="5">
        <f t="shared" si="22"/>
        <v>26986.101593253879</v>
      </c>
      <c r="F265" s="5">
        <f t="shared" si="23"/>
        <v>3195689.6693292563</v>
      </c>
    </row>
    <row r="266" spans="1:6" x14ac:dyDescent="0.25">
      <c r="A266">
        <v>253</v>
      </c>
      <c r="B266" s="5">
        <f t="shared" si="24"/>
        <v>3195689.6693292563</v>
      </c>
      <c r="C266" s="5">
        <f t="shared" si="20"/>
        <v>32357.22787812473</v>
      </c>
      <c r="D266" s="5">
        <f t="shared" si="21"/>
        <v>5326.1494488820945</v>
      </c>
      <c r="E266" s="5">
        <f t="shared" si="22"/>
        <v>27031.078429242636</v>
      </c>
      <c r="F266" s="5">
        <f t="shared" si="23"/>
        <v>3168658.5909000137</v>
      </c>
    </row>
    <row r="267" spans="1:6" x14ac:dyDescent="0.25">
      <c r="A267">
        <v>254</v>
      </c>
      <c r="B267" s="5">
        <f t="shared" si="24"/>
        <v>3168658.5909000137</v>
      </c>
      <c r="C267" s="5">
        <f t="shared" si="20"/>
        <v>32357.22787812473</v>
      </c>
      <c r="D267" s="5">
        <f t="shared" si="21"/>
        <v>5281.0976515000229</v>
      </c>
      <c r="E267" s="5">
        <f t="shared" si="22"/>
        <v>27076.130226624708</v>
      </c>
      <c r="F267" s="5">
        <f t="shared" si="23"/>
        <v>3141582.460673389</v>
      </c>
    </row>
    <row r="268" spans="1:6" x14ac:dyDescent="0.25">
      <c r="A268">
        <v>255</v>
      </c>
      <c r="B268" s="5">
        <f t="shared" si="24"/>
        <v>3141582.460673389</v>
      </c>
      <c r="C268" s="5">
        <f t="shared" si="20"/>
        <v>32357.22787812473</v>
      </c>
      <c r="D268" s="5">
        <f t="shared" si="21"/>
        <v>5235.9707677889819</v>
      </c>
      <c r="E268" s="5">
        <f t="shared" si="22"/>
        <v>27121.257110335748</v>
      </c>
      <c r="F268" s="5">
        <f t="shared" si="23"/>
        <v>3114461.2035630532</v>
      </c>
    </row>
    <row r="269" spans="1:6" x14ac:dyDescent="0.25">
      <c r="A269">
        <v>256</v>
      </c>
      <c r="B269" s="5">
        <f t="shared" si="24"/>
        <v>3114461.2035630532</v>
      </c>
      <c r="C269" s="5">
        <f t="shared" si="20"/>
        <v>32357.22787812473</v>
      </c>
      <c r="D269" s="5">
        <f t="shared" si="21"/>
        <v>5190.7686726050888</v>
      </c>
      <c r="E269" s="5">
        <f t="shared" si="22"/>
        <v>27166.459205519641</v>
      </c>
      <c r="F269" s="5">
        <f t="shared" si="23"/>
        <v>3087294.7443575338</v>
      </c>
    </row>
    <row r="270" spans="1:6" x14ac:dyDescent="0.25">
      <c r="A270">
        <v>257</v>
      </c>
      <c r="B270" s="5">
        <f t="shared" si="24"/>
        <v>3087294.7443575338</v>
      </c>
      <c r="C270" s="5">
        <f t="shared" ref="C270:C333" si="25">+$B$6</f>
        <v>32357.22787812473</v>
      </c>
      <c r="D270" s="5">
        <f t="shared" ref="D270:D333" si="26">+B270*($B$4/12)</f>
        <v>5145.4912405958903</v>
      </c>
      <c r="E270" s="5">
        <f t="shared" ref="E270:E333" si="27">+C270-D270</f>
        <v>27211.73663752884</v>
      </c>
      <c r="F270" s="5">
        <f t="shared" ref="F270:F333" si="28">+B270-E270</f>
        <v>3060083.0077200048</v>
      </c>
    </row>
    <row r="271" spans="1:6" x14ac:dyDescent="0.25">
      <c r="A271">
        <v>258</v>
      </c>
      <c r="B271" s="5">
        <f t="shared" ref="B271:B334" si="29">+F270</f>
        <v>3060083.0077200048</v>
      </c>
      <c r="C271" s="5">
        <f t="shared" si="25"/>
        <v>32357.22787812473</v>
      </c>
      <c r="D271" s="5">
        <f t="shared" si="26"/>
        <v>5100.1383462000085</v>
      </c>
      <c r="E271" s="5">
        <f t="shared" si="27"/>
        <v>27257.089531924721</v>
      </c>
      <c r="F271" s="5">
        <f t="shared" si="28"/>
        <v>3032825.9181880802</v>
      </c>
    </row>
    <row r="272" spans="1:6" x14ac:dyDescent="0.25">
      <c r="A272">
        <v>259</v>
      </c>
      <c r="B272" s="5">
        <f t="shared" si="29"/>
        <v>3032825.9181880802</v>
      </c>
      <c r="C272" s="5">
        <f t="shared" si="25"/>
        <v>32357.22787812473</v>
      </c>
      <c r="D272" s="5">
        <f t="shared" si="26"/>
        <v>5054.7098636468008</v>
      </c>
      <c r="E272" s="5">
        <f t="shared" si="27"/>
        <v>27302.51801447793</v>
      </c>
      <c r="F272" s="5">
        <f t="shared" si="28"/>
        <v>3005523.4001736022</v>
      </c>
    </row>
    <row r="273" spans="1:6" x14ac:dyDescent="0.25">
      <c r="A273">
        <v>260</v>
      </c>
      <c r="B273" s="5">
        <f t="shared" si="29"/>
        <v>3005523.4001736022</v>
      </c>
      <c r="C273" s="5">
        <f t="shared" si="25"/>
        <v>32357.22787812473</v>
      </c>
      <c r="D273" s="5">
        <f t="shared" si="26"/>
        <v>5009.2056669560043</v>
      </c>
      <c r="E273" s="5">
        <f t="shared" si="27"/>
        <v>27348.022211168725</v>
      </c>
      <c r="F273" s="5">
        <f t="shared" si="28"/>
        <v>2978175.3779624333</v>
      </c>
    </row>
    <row r="274" spans="1:6" x14ac:dyDescent="0.25">
      <c r="A274">
        <v>261</v>
      </c>
      <c r="B274" s="5">
        <f t="shared" si="29"/>
        <v>2978175.3779624333</v>
      </c>
      <c r="C274" s="5">
        <f t="shared" si="25"/>
        <v>32357.22787812473</v>
      </c>
      <c r="D274" s="5">
        <f t="shared" si="26"/>
        <v>4963.625629937389</v>
      </c>
      <c r="E274" s="5">
        <f t="shared" si="27"/>
        <v>27393.602248187341</v>
      </c>
      <c r="F274" s="5">
        <f t="shared" si="28"/>
        <v>2950781.7757142461</v>
      </c>
    </row>
    <row r="275" spans="1:6" x14ac:dyDescent="0.25">
      <c r="A275">
        <v>262</v>
      </c>
      <c r="B275" s="5">
        <f t="shared" si="29"/>
        <v>2950781.7757142461</v>
      </c>
      <c r="C275" s="5">
        <f t="shared" si="25"/>
        <v>32357.22787812473</v>
      </c>
      <c r="D275" s="5">
        <f t="shared" si="26"/>
        <v>4917.9696261904101</v>
      </c>
      <c r="E275" s="5">
        <f t="shared" si="27"/>
        <v>27439.25825193432</v>
      </c>
      <c r="F275" s="5">
        <f t="shared" si="28"/>
        <v>2923342.5174623118</v>
      </c>
    </row>
    <row r="276" spans="1:6" x14ac:dyDescent="0.25">
      <c r="A276">
        <v>263</v>
      </c>
      <c r="B276" s="5">
        <f t="shared" si="29"/>
        <v>2923342.5174623118</v>
      </c>
      <c r="C276" s="5">
        <f t="shared" si="25"/>
        <v>32357.22787812473</v>
      </c>
      <c r="D276" s="5">
        <f t="shared" si="26"/>
        <v>4872.2375291038534</v>
      </c>
      <c r="E276" s="5">
        <f t="shared" si="27"/>
        <v>27484.990349020874</v>
      </c>
      <c r="F276" s="5">
        <f t="shared" si="28"/>
        <v>2895857.527113291</v>
      </c>
    </row>
    <row r="277" spans="1:6" x14ac:dyDescent="0.25">
      <c r="A277">
        <v>264</v>
      </c>
      <c r="B277" s="5">
        <f t="shared" si="29"/>
        <v>2895857.527113291</v>
      </c>
      <c r="C277" s="5">
        <f t="shared" si="25"/>
        <v>32357.22787812473</v>
      </c>
      <c r="D277" s="5">
        <f t="shared" si="26"/>
        <v>4826.4292118554849</v>
      </c>
      <c r="E277" s="5">
        <f t="shared" si="27"/>
        <v>27530.798666269246</v>
      </c>
      <c r="F277" s="5">
        <f t="shared" si="28"/>
        <v>2868326.7284470219</v>
      </c>
    </row>
    <row r="278" spans="1:6" x14ac:dyDescent="0.25">
      <c r="A278">
        <v>265</v>
      </c>
      <c r="B278" s="5">
        <f t="shared" si="29"/>
        <v>2868326.7284470219</v>
      </c>
      <c r="C278" s="5">
        <f t="shared" si="25"/>
        <v>32357.22787812473</v>
      </c>
      <c r="D278" s="5">
        <f t="shared" si="26"/>
        <v>4780.5445474117032</v>
      </c>
      <c r="E278" s="5">
        <f t="shared" si="27"/>
        <v>27576.683330713025</v>
      </c>
      <c r="F278" s="5">
        <f t="shared" si="28"/>
        <v>2840750.0451163091</v>
      </c>
    </row>
    <row r="279" spans="1:6" x14ac:dyDescent="0.25">
      <c r="A279">
        <v>266</v>
      </c>
      <c r="B279" s="5">
        <f t="shared" si="29"/>
        <v>2840750.0451163091</v>
      </c>
      <c r="C279" s="5">
        <f t="shared" si="25"/>
        <v>32357.22787812473</v>
      </c>
      <c r="D279" s="5">
        <f t="shared" si="26"/>
        <v>4734.5834085271817</v>
      </c>
      <c r="E279" s="5">
        <f t="shared" si="27"/>
        <v>27622.644469597548</v>
      </c>
      <c r="F279" s="5">
        <f t="shared" si="28"/>
        <v>2813127.4006467117</v>
      </c>
    </row>
    <row r="280" spans="1:6" x14ac:dyDescent="0.25">
      <c r="A280">
        <v>267</v>
      </c>
      <c r="B280" s="5">
        <f t="shared" si="29"/>
        <v>2813127.4006467117</v>
      </c>
      <c r="C280" s="5">
        <f t="shared" si="25"/>
        <v>32357.22787812473</v>
      </c>
      <c r="D280" s="5">
        <f t="shared" si="26"/>
        <v>4688.54566774452</v>
      </c>
      <c r="E280" s="5">
        <f t="shared" si="27"/>
        <v>27668.682210380211</v>
      </c>
      <c r="F280" s="5">
        <f t="shared" si="28"/>
        <v>2785458.7184363315</v>
      </c>
    </row>
    <row r="281" spans="1:6" x14ac:dyDescent="0.25">
      <c r="A281">
        <v>268</v>
      </c>
      <c r="B281" s="5">
        <f t="shared" si="29"/>
        <v>2785458.7184363315</v>
      </c>
      <c r="C281" s="5">
        <f t="shared" si="25"/>
        <v>32357.22787812473</v>
      </c>
      <c r="D281" s="5">
        <f t="shared" si="26"/>
        <v>4642.4311973938857</v>
      </c>
      <c r="E281" s="5">
        <f t="shared" si="27"/>
        <v>27714.796680730844</v>
      </c>
      <c r="F281" s="5">
        <f t="shared" si="28"/>
        <v>2757743.9217556007</v>
      </c>
    </row>
    <row r="282" spans="1:6" x14ac:dyDescent="0.25">
      <c r="A282">
        <v>269</v>
      </c>
      <c r="B282" s="5">
        <f t="shared" si="29"/>
        <v>2757743.9217556007</v>
      </c>
      <c r="C282" s="5">
        <f t="shared" si="25"/>
        <v>32357.22787812473</v>
      </c>
      <c r="D282" s="5">
        <f t="shared" si="26"/>
        <v>4596.2398695926686</v>
      </c>
      <c r="E282" s="5">
        <f t="shared" si="27"/>
        <v>27760.988008532062</v>
      </c>
      <c r="F282" s="5">
        <f t="shared" si="28"/>
        <v>2729982.9337470685</v>
      </c>
    </row>
    <row r="283" spans="1:6" x14ac:dyDescent="0.25">
      <c r="A283">
        <v>270</v>
      </c>
      <c r="B283" s="5">
        <f t="shared" si="29"/>
        <v>2729982.9337470685</v>
      </c>
      <c r="C283" s="5">
        <f t="shared" si="25"/>
        <v>32357.22787812473</v>
      </c>
      <c r="D283" s="5">
        <f t="shared" si="26"/>
        <v>4549.9715562451147</v>
      </c>
      <c r="E283" s="5">
        <f t="shared" si="27"/>
        <v>27807.256321879613</v>
      </c>
      <c r="F283" s="5">
        <f t="shared" si="28"/>
        <v>2702175.6774251889</v>
      </c>
    </row>
    <row r="284" spans="1:6" x14ac:dyDescent="0.25">
      <c r="A284">
        <v>271</v>
      </c>
      <c r="B284" s="5">
        <f t="shared" si="29"/>
        <v>2702175.6774251889</v>
      </c>
      <c r="C284" s="5">
        <f t="shared" si="25"/>
        <v>32357.22787812473</v>
      </c>
      <c r="D284" s="5">
        <f t="shared" si="26"/>
        <v>4503.6261290419816</v>
      </c>
      <c r="E284" s="5">
        <f t="shared" si="27"/>
        <v>27853.601749082747</v>
      </c>
      <c r="F284" s="5">
        <f t="shared" si="28"/>
        <v>2674322.0756761064</v>
      </c>
    </row>
    <row r="285" spans="1:6" x14ac:dyDescent="0.25">
      <c r="A285">
        <v>272</v>
      </c>
      <c r="B285" s="5">
        <f t="shared" si="29"/>
        <v>2674322.0756761064</v>
      </c>
      <c r="C285" s="5">
        <f t="shared" si="25"/>
        <v>32357.22787812473</v>
      </c>
      <c r="D285" s="5">
        <f t="shared" si="26"/>
        <v>4457.2034594601773</v>
      </c>
      <c r="E285" s="5">
        <f t="shared" si="27"/>
        <v>27900.02441866455</v>
      </c>
      <c r="F285" s="5">
        <f t="shared" si="28"/>
        <v>2646422.0512574418</v>
      </c>
    </row>
    <row r="286" spans="1:6" x14ac:dyDescent="0.25">
      <c r="A286">
        <v>273</v>
      </c>
      <c r="B286" s="5">
        <f t="shared" si="29"/>
        <v>2646422.0512574418</v>
      </c>
      <c r="C286" s="5">
        <f t="shared" si="25"/>
        <v>32357.22787812473</v>
      </c>
      <c r="D286" s="5">
        <f t="shared" si="26"/>
        <v>4410.7034187624031</v>
      </c>
      <c r="E286" s="5">
        <f t="shared" si="27"/>
        <v>27946.524459362328</v>
      </c>
      <c r="F286" s="5">
        <f t="shared" si="28"/>
        <v>2618475.5267980793</v>
      </c>
    </row>
    <row r="287" spans="1:6" x14ac:dyDescent="0.25">
      <c r="A287">
        <v>274</v>
      </c>
      <c r="B287" s="5">
        <f t="shared" si="29"/>
        <v>2618475.5267980793</v>
      </c>
      <c r="C287" s="5">
        <f t="shared" si="25"/>
        <v>32357.22787812473</v>
      </c>
      <c r="D287" s="5">
        <f t="shared" si="26"/>
        <v>4364.1258779967993</v>
      </c>
      <c r="E287" s="5">
        <f t="shared" si="27"/>
        <v>27993.102000127932</v>
      </c>
      <c r="F287" s="5">
        <f t="shared" si="28"/>
        <v>2590482.4247979512</v>
      </c>
    </row>
    <row r="288" spans="1:6" x14ac:dyDescent="0.25">
      <c r="A288">
        <v>275</v>
      </c>
      <c r="B288" s="5">
        <f t="shared" si="29"/>
        <v>2590482.4247979512</v>
      </c>
      <c r="C288" s="5">
        <f t="shared" si="25"/>
        <v>32357.22787812473</v>
      </c>
      <c r="D288" s="5">
        <f t="shared" si="26"/>
        <v>4317.4707079965856</v>
      </c>
      <c r="E288" s="5">
        <f t="shared" si="27"/>
        <v>28039.757170128145</v>
      </c>
      <c r="F288" s="5">
        <f t="shared" si="28"/>
        <v>2562442.6676278231</v>
      </c>
    </row>
    <row r="289" spans="1:6" x14ac:dyDescent="0.25">
      <c r="A289">
        <v>276</v>
      </c>
      <c r="B289" s="5">
        <f t="shared" si="29"/>
        <v>2562442.6676278231</v>
      </c>
      <c r="C289" s="5">
        <f t="shared" si="25"/>
        <v>32357.22787812473</v>
      </c>
      <c r="D289" s="5">
        <f t="shared" si="26"/>
        <v>4270.737779379705</v>
      </c>
      <c r="E289" s="5">
        <f t="shared" si="27"/>
        <v>28086.490098745024</v>
      </c>
      <c r="F289" s="5">
        <f t="shared" si="28"/>
        <v>2534356.177529078</v>
      </c>
    </row>
    <row r="290" spans="1:6" x14ac:dyDescent="0.25">
      <c r="A290">
        <v>277</v>
      </c>
      <c r="B290" s="5">
        <f t="shared" si="29"/>
        <v>2534356.177529078</v>
      </c>
      <c r="C290" s="5">
        <f t="shared" si="25"/>
        <v>32357.22787812473</v>
      </c>
      <c r="D290" s="5">
        <f t="shared" si="26"/>
        <v>4223.926962548464</v>
      </c>
      <c r="E290" s="5">
        <f t="shared" si="27"/>
        <v>28133.300915576267</v>
      </c>
      <c r="F290" s="5">
        <f t="shared" si="28"/>
        <v>2506222.8766135019</v>
      </c>
    </row>
    <row r="291" spans="1:6" x14ac:dyDescent="0.25">
      <c r="A291">
        <v>278</v>
      </c>
      <c r="B291" s="5">
        <f t="shared" si="29"/>
        <v>2506222.8766135019</v>
      </c>
      <c r="C291" s="5">
        <f t="shared" si="25"/>
        <v>32357.22787812473</v>
      </c>
      <c r="D291" s="5">
        <f t="shared" si="26"/>
        <v>4177.0381276891703</v>
      </c>
      <c r="E291" s="5">
        <f t="shared" si="27"/>
        <v>28180.189750435558</v>
      </c>
      <c r="F291" s="5">
        <f t="shared" si="28"/>
        <v>2478042.6868630662</v>
      </c>
    </row>
    <row r="292" spans="1:6" x14ac:dyDescent="0.25">
      <c r="A292">
        <v>279</v>
      </c>
      <c r="B292" s="5">
        <f t="shared" si="29"/>
        <v>2478042.6868630662</v>
      </c>
      <c r="C292" s="5">
        <f t="shared" si="25"/>
        <v>32357.22787812473</v>
      </c>
      <c r="D292" s="5">
        <f t="shared" si="26"/>
        <v>4130.0711447717777</v>
      </c>
      <c r="E292" s="5">
        <f t="shared" si="27"/>
        <v>28227.156733352953</v>
      </c>
      <c r="F292" s="5">
        <f t="shared" si="28"/>
        <v>2449815.530129713</v>
      </c>
    </row>
    <row r="293" spans="1:6" x14ac:dyDescent="0.25">
      <c r="A293">
        <v>280</v>
      </c>
      <c r="B293" s="5">
        <f t="shared" si="29"/>
        <v>2449815.530129713</v>
      </c>
      <c r="C293" s="5">
        <f t="shared" si="25"/>
        <v>32357.22787812473</v>
      </c>
      <c r="D293" s="5">
        <f t="shared" si="26"/>
        <v>4083.025883549522</v>
      </c>
      <c r="E293" s="5">
        <f t="shared" si="27"/>
        <v>28274.201994575207</v>
      </c>
      <c r="F293" s="5">
        <f t="shared" si="28"/>
        <v>2421541.3281351379</v>
      </c>
    </row>
    <row r="294" spans="1:6" x14ac:dyDescent="0.25">
      <c r="A294">
        <v>281</v>
      </c>
      <c r="B294" s="5">
        <f t="shared" si="29"/>
        <v>2421541.3281351379</v>
      </c>
      <c r="C294" s="5">
        <f t="shared" si="25"/>
        <v>32357.22787812473</v>
      </c>
      <c r="D294" s="5">
        <f t="shared" si="26"/>
        <v>4035.9022135585633</v>
      </c>
      <c r="E294" s="5">
        <f t="shared" si="27"/>
        <v>28321.325664566168</v>
      </c>
      <c r="F294" s="5">
        <f t="shared" si="28"/>
        <v>2393220.0024705715</v>
      </c>
    </row>
    <row r="295" spans="1:6" x14ac:dyDescent="0.25">
      <c r="A295">
        <v>282</v>
      </c>
      <c r="B295" s="5">
        <f t="shared" si="29"/>
        <v>2393220.0024705715</v>
      </c>
      <c r="C295" s="5">
        <f t="shared" si="25"/>
        <v>32357.22787812473</v>
      </c>
      <c r="D295" s="5">
        <f t="shared" si="26"/>
        <v>3988.7000041176193</v>
      </c>
      <c r="E295" s="5">
        <f t="shared" si="27"/>
        <v>28368.527874007112</v>
      </c>
      <c r="F295" s="5">
        <f t="shared" si="28"/>
        <v>2364851.4745965647</v>
      </c>
    </row>
    <row r="296" spans="1:6" x14ac:dyDescent="0.25">
      <c r="A296">
        <v>283</v>
      </c>
      <c r="B296" s="5">
        <f t="shared" si="29"/>
        <v>2364851.4745965647</v>
      </c>
      <c r="C296" s="5">
        <f t="shared" si="25"/>
        <v>32357.22787812473</v>
      </c>
      <c r="D296" s="5">
        <f t="shared" si="26"/>
        <v>3941.4191243276082</v>
      </c>
      <c r="E296" s="5">
        <f t="shared" si="27"/>
        <v>28415.808753797122</v>
      </c>
      <c r="F296" s="5">
        <f t="shared" si="28"/>
        <v>2336435.6658427673</v>
      </c>
    </row>
    <row r="297" spans="1:6" x14ac:dyDescent="0.25">
      <c r="A297">
        <v>284</v>
      </c>
      <c r="B297" s="5">
        <f t="shared" si="29"/>
        <v>2336435.6658427673</v>
      </c>
      <c r="C297" s="5">
        <f t="shared" si="25"/>
        <v>32357.22787812473</v>
      </c>
      <c r="D297" s="5">
        <f t="shared" si="26"/>
        <v>3894.059443071279</v>
      </c>
      <c r="E297" s="5">
        <f t="shared" si="27"/>
        <v>28463.168435053449</v>
      </c>
      <c r="F297" s="5">
        <f t="shared" si="28"/>
        <v>2307972.4974077139</v>
      </c>
    </row>
    <row r="298" spans="1:6" x14ac:dyDescent="0.25">
      <c r="A298">
        <v>285</v>
      </c>
      <c r="B298" s="5">
        <f t="shared" si="29"/>
        <v>2307972.4974077139</v>
      </c>
      <c r="C298" s="5">
        <f t="shared" si="25"/>
        <v>32357.22787812473</v>
      </c>
      <c r="D298" s="5">
        <f t="shared" si="26"/>
        <v>3846.6208290128566</v>
      </c>
      <c r="E298" s="5">
        <f t="shared" si="27"/>
        <v>28510.607049111873</v>
      </c>
      <c r="F298" s="5">
        <f t="shared" si="28"/>
        <v>2279461.8903586022</v>
      </c>
    </row>
    <row r="299" spans="1:6" x14ac:dyDescent="0.25">
      <c r="A299">
        <v>286</v>
      </c>
      <c r="B299" s="5">
        <f t="shared" si="29"/>
        <v>2279461.8903586022</v>
      </c>
      <c r="C299" s="5">
        <f t="shared" si="25"/>
        <v>32357.22787812473</v>
      </c>
      <c r="D299" s="5">
        <f t="shared" si="26"/>
        <v>3799.1031505976707</v>
      </c>
      <c r="E299" s="5">
        <f t="shared" si="27"/>
        <v>28558.124727527058</v>
      </c>
      <c r="F299" s="5">
        <f t="shared" si="28"/>
        <v>2250903.765631075</v>
      </c>
    </row>
    <row r="300" spans="1:6" x14ac:dyDescent="0.25">
      <c r="A300">
        <v>287</v>
      </c>
      <c r="B300" s="5">
        <f t="shared" si="29"/>
        <v>2250903.765631075</v>
      </c>
      <c r="C300" s="5">
        <f t="shared" si="25"/>
        <v>32357.22787812473</v>
      </c>
      <c r="D300" s="5">
        <f t="shared" si="26"/>
        <v>3751.5062760517922</v>
      </c>
      <c r="E300" s="5">
        <f t="shared" si="27"/>
        <v>28605.721602072939</v>
      </c>
      <c r="F300" s="5">
        <f t="shared" si="28"/>
        <v>2222298.0440290021</v>
      </c>
    </row>
    <row r="301" spans="1:6" x14ac:dyDescent="0.25">
      <c r="A301">
        <v>288</v>
      </c>
      <c r="B301" s="5">
        <f t="shared" si="29"/>
        <v>2222298.0440290021</v>
      </c>
      <c r="C301" s="5">
        <f t="shared" si="25"/>
        <v>32357.22787812473</v>
      </c>
      <c r="D301" s="5">
        <f t="shared" si="26"/>
        <v>3703.8300733816704</v>
      </c>
      <c r="E301" s="5">
        <f t="shared" si="27"/>
        <v>28653.397804743057</v>
      </c>
      <c r="F301" s="5">
        <f t="shared" si="28"/>
        <v>2193644.6462242589</v>
      </c>
    </row>
    <row r="302" spans="1:6" x14ac:dyDescent="0.25">
      <c r="A302">
        <v>289</v>
      </c>
      <c r="B302" s="5">
        <f t="shared" si="29"/>
        <v>2193644.6462242589</v>
      </c>
      <c r="C302" s="5">
        <f t="shared" si="25"/>
        <v>32357.22787812473</v>
      </c>
      <c r="D302" s="5">
        <f t="shared" si="26"/>
        <v>3656.0744103737652</v>
      </c>
      <c r="E302" s="5">
        <f t="shared" si="27"/>
        <v>28701.153467750963</v>
      </c>
      <c r="F302" s="5">
        <f t="shared" si="28"/>
        <v>2164943.4927565078</v>
      </c>
    </row>
    <row r="303" spans="1:6" x14ac:dyDescent="0.25">
      <c r="A303">
        <v>290</v>
      </c>
      <c r="B303" s="5">
        <f t="shared" si="29"/>
        <v>2164943.4927565078</v>
      </c>
      <c r="C303" s="5">
        <f t="shared" si="25"/>
        <v>32357.22787812473</v>
      </c>
      <c r="D303" s="5">
        <f t="shared" si="26"/>
        <v>3608.23915459418</v>
      </c>
      <c r="E303" s="5">
        <f t="shared" si="27"/>
        <v>28748.98872353055</v>
      </c>
      <c r="F303" s="5">
        <f t="shared" si="28"/>
        <v>2136194.5040329774</v>
      </c>
    </row>
    <row r="304" spans="1:6" x14ac:dyDescent="0.25">
      <c r="A304">
        <v>291</v>
      </c>
      <c r="B304" s="5">
        <f t="shared" si="29"/>
        <v>2136194.5040329774</v>
      </c>
      <c r="C304" s="5">
        <f t="shared" si="25"/>
        <v>32357.22787812473</v>
      </c>
      <c r="D304" s="5">
        <f t="shared" si="26"/>
        <v>3560.324173388296</v>
      </c>
      <c r="E304" s="5">
        <f t="shared" si="27"/>
        <v>28796.903704736433</v>
      </c>
      <c r="F304" s="5">
        <f t="shared" si="28"/>
        <v>2107397.600328241</v>
      </c>
    </row>
    <row r="305" spans="1:6" x14ac:dyDescent="0.25">
      <c r="A305">
        <v>292</v>
      </c>
      <c r="B305" s="5">
        <f t="shared" si="29"/>
        <v>2107397.600328241</v>
      </c>
      <c r="C305" s="5">
        <f t="shared" si="25"/>
        <v>32357.22787812473</v>
      </c>
      <c r="D305" s="5">
        <f t="shared" si="26"/>
        <v>3512.3293338804019</v>
      </c>
      <c r="E305" s="5">
        <f t="shared" si="27"/>
        <v>28844.898544244326</v>
      </c>
      <c r="F305" s="5">
        <f t="shared" si="28"/>
        <v>2078552.7017839968</v>
      </c>
    </row>
    <row r="306" spans="1:6" x14ac:dyDescent="0.25">
      <c r="A306">
        <v>293</v>
      </c>
      <c r="B306" s="5">
        <f t="shared" si="29"/>
        <v>2078552.7017839968</v>
      </c>
      <c r="C306" s="5">
        <f t="shared" si="25"/>
        <v>32357.22787812473</v>
      </c>
      <c r="D306" s="5">
        <f t="shared" si="26"/>
        <v>3464.2545029733283</v>
      </c>
      <c r="E306" s="5">
        <f t="shared" si="27"/>
        <v>28892.9733751514</v>
      </c>
      <c r="F306" s="5">
        <f t="shared" si="28"/>
        <v>2049659.7284088454</v>
      </c>
    </row>
    <row r="307" spans="1:6" x14ac:dyDescent="0.25">
      <c r="A307">
        <v>294</v>
      </c>
      <c r="B307" s="5">
        <f t="shared" si="29"/>
        <v>2049659.7284088454</v>
      </c>
      <c r="C307" s="5">
        <f t="shared" si="25"/>
        <v>32357.22787812473</v>
      </c>
      <c r="D307" s="5">
        <f t="shared" si="26"/>
        <v>3416.0995473480757</v>
      </c>
      <c r="E307" s="5">
        <f t="shared" si="27"/>
        <v>28941.128330776653</v>
      </c>
      <c r="F307" s="5">
        <f t="shared" si="28"/>
        <v>2020718.6000780687</v>
      </c>
    </row>
    <row r="308" spans="1:6" x14ac:dyDescent="0.25">
      <c r="A308">
        <v>295</v>
      </c>
      <c r="B308" s="5">
        <f t="shared" si="29"/>
        <v>2020718.6000780687</v>
      </c>
      <c r="C308" s="5">
        <f t="shared" si="25"/>
        <v>32357.22787812473</v>
      </c>
      <c r="D308" s="5">
        <f t="shared" si="26"/>
        <v>3367.864333463448</v>
      </c>
      <c r="E308" s="5">
        <f t="shared" si="27"/>
        <v>28989.363544661283</v>
      </c>
      <c r="F308" s="5">
        <f t="shared" si="28"/>
        <v>1991729.2365334074</v>
      </c>
    </row>
    <row r="309" spans="1:6" x14ac:dyDescent="0.25">
      <c r="A309">
        <v>296</v>
      </c>
      <c r="B309" s="5">
        <f t="shared" si="29"/>
        <v>1991729.2365334074</v>
      </c>
      <c r="C309" s="5">
        <f t="shared" si="25"/>
        <v>32357.22787812473</v>
      </c>
      <c r="D309" s="5">
        <f t="shared" si="26"/>
        <v>3319.5487275556793</v>
      </c>
      <c r="E309" s="5">
        <f t="shared" si="27"/>
        <v>29037.679150569049</v>
      </c>
      <c r="F309" s="5">
        <f t="shared" si="28"/>
        <v>1962691.5573828383</v>
      </c>
    </row>
    <row r="310" spans="1:6" x14ac:dyDescent="0.25">
      <c r="A310">
        <v>297</v>
      </c>
      <c r="B310" s="5">
        <f t="shared" si="29"/>
        <v>1962691.5573828383</v>
      </c>
      <c r="C310" s="5">
        <f t="shared" si="25"/>
        <v>32357.22787812473</v>
      </c>
      <c r="D310" s="5">
        <f t="shared" si="26"/>
        <v>3271.1525956380642</v>
      </c>
      <c r="E310" s="5">
        <f t="shared" si="27"/>
        <v>29086.075282486665</v>
      </c>
      <c r="F310" s="5">
        <f t="shared" si="28"/>
        <v>1933605.4821003517</v>
      </c>
    </row>
    <row r="311" spans="1:6" x14ac:dyDescent="0.25">
      <c r="A311">
        <v>298</v>
      </c>
      <c r="B311" s="5">
        <f t="shared" si="29"/>
        <v>1933605.4821003517</v>
      </c>
      <c r="C311" s="5">
        <f t="shared" si="25"/>
        <v>32357.22787812473</v>
      </c>
      <c r="D311" s="5">
        <f t="shared" si="26"/>
        <v>3222.6758035005864</v>
      </c>
      <c r="E311" s="5">
        <f t="shared" si="27"/>
        <v>29134.552074624142</v>
      </c>
      <c r="F311" s="5">
        <f t="shared" si="28"/>
        <v>1904470.9300257275</v>
      </c>
    </row>
    <row r="312" spans="1:6" x14ac:dyDescent="0.25">
      <c r="A312">
        <v>299</v>
      </c>
      <c r="B312" s="5">
        <f t="shared" si="29"/>
        <v>1904470.9300257275</v>
      </c>
      <c r="C312" s="5">
        <f t="shared" si="25"/>
        <v>32357.22787812473</v>
      </c>
      <c r="D312" s="5">
        <f t="shared" si="26"/>
        <v>3174.1182167095462</v>
      </c>
      <c r="E312" s="5">
        <f t="shared" si="27"/>
        <v>29183.109661415183</v>
      </c>
      <c r="F312" s="5">
        <f t="shared" si="28"/>
        <v>1875287.8203643123</v>
      </c>
    </row>
    <row r="313" spans="1:6" x14ac:dyDescent="0.25">
      <c r="A313" s="3">
        <v>300</v>
      </c>
      <c r="B313" s="4">
        <f t="shared" si="29"/>
        <v>1875287.8203643123</v>
      </c>
      <c r="C313" s="4">
        <f t="shared" si="25"/>
        <v>32357.22787812473</v>
      </c>
      <c r="D313" s="4">
        <f t="shared" si="26"/>
        <v>3125.4797006071872</v>
      </c>
      <c r="E313" s="4">
        <f t="shared" si="27"/>
        <v>29231.748177517544</v>
      </c>
      <c r="F313" s="4">
        <f t="shared" si="28"/>
        <v>1846056.0721867948</v>
      </c>
    </row>
    <row r="314" spans="1:6" x14ac:dyDescent="0.25">
      <c r="A314">
        <v>301</v>
      </c>
      <c r="B314" s="5">
        <f t="shared" si="29"/>
        <v>1846056.0721867948</v>
      </c>
      <c r="C314" s="5">
        <f t="shared" si="25"/>
        <v>32357.22787812473</v>
      </c>
      <c r="D314" s="5">
        <f t="shared" si="26"/>
        <v>3076.760120311325</v>
      </c>
      <c r="E314" s="5">
        <f t="shared" si="27"/>
        <v>29280.467757813403</v>
      </c>
      <c r="F314" s="5">
        <f t="shared" si="28"/>
        <v>1816775.6044289814</v>
      </c>
    </row>
    <row r="315" spans="1:6" x14ac:dyDescent="0.25">
      <c r="A315">
        <v>302</v>
      </c>
      <c r="B315" s="5">
        <f t="shared" si="29"/>
        <v>1816775.6044289814</v>
      </c>
      <c r="C315" s="5">
        <f t="shared" si="25"/>
        <v>32357.22787812473</v>
      </c>
      <c r="D315" s="5">
        <f t="shared" si="26"/>
        <v>3027.9593407149691</v>
      </c>
      <c r="E315" s="5">
        <f t="shared" si="27"/>
        <v>29329.26853740976</v>
      </c>
      <c r="F315" s="5">
        <f t="shared" si="28"/>
        <v>1787446.3358915716</v>
      </c>
    </row>
    <row r="316" spans="1:6" x14ac:dyDescent="0.25">
      <c r="A316">
        <v>303</v>
      </c>
      <c r="B316" s="5">
        <f t="shared" si="29"/>
        <v>1787446.3358915716</v>
      </c>
      <c r="C316" s="5">
        <f t="shared" si="25"/>
        <v>32357.22787812473</v>
      </c>
      <c r="D316" s="5">
        <f t="shared" si="26"/>
        <v>2979.0772264859529</v>
      </c>
      <c r="E316" s="5">
        <f t="shared" si="27"/>
        <v>29378.150651638778</v>
      </c>
      <c r="F316" s="5">
        <f t="shared" si="28"/>
        <v>1758068.1852399327</v>
      </c>
    </row>
    <row r="317" spans="1:6" x14ac:dyDescent="0.25">
      <c r="A317">
        <v>304</v>
      </c>
      <c r="B317" s="5">
        <f t="shared" si="29"/>
        <v>1758068.1852399327</v>
      </c>
      <c r="C317" s="5">
        <f t="shared" si="25"/>
        <v>32357.22787812473</v>
      </c>
      <c r="D317" s="5">
        <f t="shared" si="26"/>
        <v>2930.1136420665548</v>
      </c>
      <c r="E317" s="5">
        <f t="shared" si="27"/>
        <v>29427.114236058176</v>
      </c>
      <c r="F317" s="5">
        <f t="shared" si="28"/>
        <v>1728641.0710038745</v>
      </c>
    </row>
    <row r="318" spans="1:6" x14ac:dyDescent="0.25">
      <c r="A318">
        <v>305</v>
      </c>
      <c r="B318" s="5">
        <f t="shared" si="29"/>
        <v>1728641.0710038745</v>
      </c>
      <c r="C318" s="5">
        <f t="shared" si="25"/>
        <v>32357.22787812473</v>
      </c>
      <c r="D318" s="5">
        <f t="shared" si="26"/>
        <v>2881.0684516731244</v>
      </c>
      <c r="E318" s="5">
        <f t="shared" si="27"/>
        <v>29476.159426451606</v>
      </c>
      <c r="F318" s="5">
        <f t="shared" si="28"/>
        <v>1699164.9115774229</v>
      </c>
    </row>
    <row r="319" spans="1:6" x14ac:dyDescent="0.25">
      <c r="A319">
        <v>306</v>
      </c>
      <c r="B319" s="5">
        <f t="shared" si="29"/>
        <v>1699164.9115774229</v>
      </c>
      <c r="C319" s="5">
        <f t="shared" si="25"/>
        <v>32357.22787812473</v>
      </c>
      <c r="D319" s="5">
        <f t="shared" si="26"/>
        <v>2831.9415192957049</v>
      </c>
      <c r="E319" s="5">
        <f t="shared" si="27"/>
        <v>29525.286358829024</v>
      </c>
      <c r="F319" s="5">
        <f t="shared" si="28"/>
        <v>1669639.6252185937</v>
      </c>
    </row>
    <row r="320" spans="1:6" x14ac:dyDescent="0.25">
      <c r="A320">
        <v>307</v>
      </c>
      <c r="B320" s="5">
        <f t="shared" si="29"/>
        <v>1669639.6252185937</v>
      </c>
      <c r="C320" s="5">
        <f t="shared" si="25"/>
        <v>32357.22787812473</v>
      </c>
      <c r="D320" s="5">
        <f t="shared" si="26"/>
        <v>2782.7327086976566</v>
      </c>
      <c r="E320" s="5">
        <f t="shared" si="27"/>
        <v>29574.495169427071</v>
      </c>
      <c r="F320" s="5">
        <f t="shared" si="28"/>
        <v>1640065.1300491667</v>
      </c>
    </row>
    <row r="321" spans="1:6" x14ac:dyDescent="0.25">
      <c r="A321">
        <v>308</v>
      </c>
      <c r="B321" s="5">
        <f t="shared" si="29"/>
        <v>1640065.1300491667</v>
      </c>
      <c r="C321" s="5">
        <f t="shared" si="25"/>
        <v>32357.22787812473</v>
      </c>
      <c r="D321" s="5">
        <f t="shared" si="26"/>
        <v>2733.441883415278</v>
      </c>
      <c r="E321" s="5">
        <f t="shared" si="27"/>
        <v>29623.785994709451</v>
      </c>
      <c r="F321" s="5">
        <f t="shared" si="28"/>
        <v>1610441.3440544573</v>
      </c>
    </row>
    <row r="322" spans="1:6" x14ac:dyDescent="0.25">
      <c r="A322">
        <v>309</v>
      </c>
      <c r="B322" s="5">
        <f t="shared" si="29"/>
        <v>1610441.3440544573</v>
      </c>
      <c r="C322" s="5">
        <f t="shared" si="25"/>
        <v>32357.22787812473</v>
      </c>
      <c r="D322" s="5">
        <f t="shared" si="26"/>
        <v>2684.068906757429</v>
      </c>
      <c r="E322" s="5">
        <f t="shared" si="27"/>
        <v>29673.158971367302</v>
      </c>
      <c r="F322" s="5">
        <f t="shared" si="28"/>
        <v>1580768.1850830899</v>
      </c>
    </row>
    <row r="323" spans="1:6" x14ac:dyDescent="0.25">
      <c r="A323">
        <v>310</v>
      </c>
      <c r="B323" s="5">
        <f t="shared" si="29"/>
        <v>1580768.1850830899</v>
      </c>
      <c r="C323" s="5">
        <f t="shared" si="25"/>
        <v>32357.22787812473</v>
      </c>
      <c r="D323" s="5">
        <f t="shared" si="26"/>
        <v>2634.6136418051501</v>
      </c>
      <c r="E323" s="5">
        <f t="shared" si="27"/>
        <v>29722.61423631958</v>
      </c>
      <c r="F323" s="5">
        <f t="shared" si="28"/>
        <v>1551045.5708467702</v>
      </c>
    </row>
    <row r="324" spans="1:6" x14ac:dyDescent="0.25">
      <c r="A324">
        <v>311</v>
      </c>
      <c r="B324" s="5">
        <f t="shared" si="29"/>
        <v>1551045.5708467702</v>
      </c>
      <c r="C324" s="5">
        <f t="shared" si="25"/>
        <v>32357.22787812473</v>
      </c>
      <c r="D324" s="5">
        <f t="shared" si="26"/>
        <v>2585.0759514112838</v>
      </c>
      <c r="E324" s="5">
        <f t="shared" si="27"/>
        <v>29772.151926713446</v>
      </c>
      <c r="F324" s="5">
        <f t="shared" si="28"/>
        <v>1521273.4189200567</v>
      </c>
    </row>
    <row r="325" spans="1:6" x14ac:dyDescent="0.25">
      <c r="A325">
        <v>312</v>
      </c>
      <c r="B325" s="5">
        <f t="shared" si="29"/>
        <v>1521273.4189200567</v>
      </c>
      <c r="C325" s="5">
        <f t="shared" si="25"/>
        <v>32357.22787812473</v>
      </c>
      <c r="D325" s="5">
        <f t="shared" si="26"/>
        <v>2535.4556982000945</v>
      </c>
      <c r="E325" s="5">
        <f t="shared" si="27"/>
        <v>29821.772179924636</v>
      </c>
      <c r="F325" s="5">
        <f t="shared" si="28"/>
        <v>1491451.646740132</v>
      </c>
    </row>
    <row r="326" spans="1:6" x14ac:dyDescent="0.25">
      <c r="A326">
        <v>313</v>
      </c>
      <c r="B326" s="5">
        <f t="shared" si="29"/>
        <v>1491451.646740132</v>
      </c>
      <c r="C326" s="5">
        <f t="shared" si="25"/>
        <v>32357.22787812473</v>
      </c>
      <c r="D326" s="5">
        <f t="shared" si="26"/>
        <v>2485.752744566887</v>
      </c>
      <c r="E326" s="5">
        <f t="shared" si="27"/>
        <v>29871.475133557844</v>
      </c>
      <c r="F326" s="5">
        <f t="shared" si="28"/>
        <v>1461580.1716065742</v>
      </c>
    </row>
    <row r="327" spans="1:6" x14ac:dyDescent="0.25">
      <c r="A327">
        <v>314</v>
      </c>
      <c r="B327" s="5">
        <f t="shared" si="29"/>
        <v>1461580.1716065742</v>
      </c>
      <c r="C327" s="5">
        <f t="shared" si="25"/>
        <v>32357.22787812473</v>
      </c>
      <c r="D327" s="5">
        <f t="shared" si="26"/>
        <v>2435.9669526776238</v>
      </c>
      <c r="E327" s="5">
        <f t="shared" si="27"/>
        <v>29921.260925447106</v>
      </c>
      <c r="F327" s="5">
        <f t="shared" si="28"/>
        <v>1431658.9106811271</v>
      </c>
    </row>
    <row r="328" spans="1:6" x14ac:dyDescent="0.25">
      <c r="A328">
        <v>315</v>
      </c>
      <c r="B328" s="5">
        <f t="shared" si="29"/>
        <v>1431658.9106811271</v>
      </c>
      <c r="C328" s="5">
        <f t="shared" si="25"/>
        <v>32357.22787812473</v>
      </c>
      <c r="D328" s="5">
        <f t="shared" si="26"/>
        <v>2386.0981844685452</v>
      </c>
      <c r="E328" s="5">
        <f t="shared" si="27"/>
        <v>29971.129693656185</v>
      </c>
      <c r="F328" s="5">
        <f t="shared" si="28"/>
        <v>1401687.7809874709</v>
      </c>
    </row>
    <row r="329" spans="1:6" x14ac:dyDescent="0.25">
      <c r="A329">
        <v>316</v>
      </c>
      <c r="B329" s="5">
        <f t="shared" si="29"/>
        <v>1401687.7809874709</v>
      </c>
      <c r="C329" s="5">
        <f t="shared" si="25"/>
        <v>32357.22787812473</v>
      </c>
      <c r="D329" s="5">
        <f t="shared" si="26"/>
        <v>2336.1463016457851</v>
      </c>
      <c r="E329" s="5">
        <f t="shared" si="27"/>
        <v>30021.081576478944</v>
      </c>
      <c r="F329" s="5">
        <f t="shared" si="28"/>
        <v>1371666.699410992</v>
      </c>
    </row>
    <row r="330" spans="1:6" x14ac:dyDescent="0.25">
      <c r="A330">
        <v>317</v>
      </c>
      <c r="B330" s="5">
        <f t="shared" si="29"/>
        <v>1371666.699410992</v>
      </c>
      <c r="C330" s="5">
        <f t="shared" si="25"/>
        <v>32357.22787812473</v>
      </c>
      <c r="D330" s="5">
        <f t="shared" si="26"/>
        <v>2286.1111656849866</v>
      </c>
      <c r="E330" s="5">
        <f t="shared" si="27"/>
        <v>30071.116712439743</v>
      </c>
      <c r="F330" s="5">
        <f t="shared" si="28"/>
        <v>1341595.5826985522</v>
      </c>
    </row>
    <row r="331" spans="1:6" x14ac:dyDescent="0.25">
      <c r="A331">
        <v>318</v>
      </c>
      <c r="B331" s="5">
        <f t="shared" si="29"/>
        <v>1341595.5826985522</v>
      </c>
      <c r="C331" s="5">
        <f t="shared" si="25"/>
        <v>32357.22787812473</v>
      </c>
      <c r="D331" s="5">
        <f t="shared" si="26"/>
        <v>2235.9926378309206</v>
      </c>
      <c r="E331" s="5">
        <f t="shared" si="27"/>
        <v>30121.235240293809</v>
      </c>
      <c r="F331" s="5">
        <f t="shared" si="28"/>
        <v>1311474.3474582583</v>
      </c>
    </row>
    <row r="332" spans="1:6" x14ac:dyDescent="0.25">
      <c r="A332">
        <v>319</v>
      </c>
      <c r="B332" s="5">
        <f t="shared" si="29"/>
        <v>1311474.3474582583</v>
      </c>
      <c r="C332" s="5">
        <f t="shared" si="25"/>
        <v>32357.22787812473</v>
      </c>
      <c r="D332" s="5">
        <f t="shared" si="26"/>
        <v>2185.7905790970972</v>
      </c>
      <c r="E332" s="5">
        <f t="shared" si="27"/>
        <v>30171.437299027632</v>
      </c>
      <c r="F332" s="5">
        <f t="shared" si="28"/>
        <v>1281302.9101592307</v>
      </c>
    </row>
    <row r="333" spans="1:6" x14ac:dyDescent="0.25">
      <c r="A333">
        <v>320</v>
      </c>
      <c r="B333" s="5">
        <f t="shared" si="29"/>
        <v>1281302.9101592307</v>
      </c>
      <c r="C333" s="5">
        <f t="shared" si="25"/>
        <v>32357.22787812473</v>
      </c>
      <c r="D333" s="5">
        <f t="shared" si="26"/>
        <v>2135.5048502653844</v>
      </c>
      <c r="E333" s="5">
        <f t="shared" si="27"/>
        <v>30221.723027859345</v>
      </c>
      <c r="F333" s="5">
        <f t="shared" si="28"/>
        <v>1251081.1871313713</v>
      </c>
    </row>
    <row r="334" spans="1:6" x14ac:dyDescent="0.25">
      <c r="A334">
        <v>321</v>
      </c>
      <c r="B334" s="5">
        <f t="shared" si="29"/>
        <v>1251081.1871313713</v>
      </c>
      <c r="C334" s="5">
        <f t="shared" ref="C334:C373" si="30">+$B$6</f>
        <v>32357.22787812473</v>
      </c>
      <c r="D334" s="5">
        <f t="shared" ref="D334:D373" si="31">+B334*($B$4/12)</f>
        <v>2085.1353118856191</v>
      </c>
      <c r="E334" s="5">
        <f t="shared" ref="E334:E373" si="32">+C334-D334</f>
        <v>30272.092566239109</v>
      </c>
      <c r="F334" s="5">
        <f t="shared" ref="F334:F373" si="33">+B334-E334</f>
        <v>1220809.0945651322</v>
      </c>
    </row>
    <row r="335" spans="1:6" x14ac:dyDescent="0.25">
      <c r="A335">
        <v>322</v>
      </c>
      <c r="B335" s="5">
        <f t="shared" ref="B335:B373" si="34">+F334</f>
        <v>1220809.0945651322</v>
      </c>
      <c r="C335" s="5">
        <f t="shared" si="30"/>
        <v>32357.22787812473</v>
      </c>
      <c r="D335" s="5">
        <f t="shared" si="31"/>
        <v>2034.6818242752204</v>
      </c>
      <c r="E335" s="5">
        <f t="shared" si="32"/>
        <v>30322.54605384951</v>
      </c>
      <c r="F335" s="5">
        <f t="shared" si="33"/>
        <v>1190486.5485112825</v>
      </c>
    </row>
    <row r="336" spans="1:6" x14ac:dyDescent="0.25">
      <c r="A336">
        <v>323</v>
      </c>
      <c r="B336" s="5">
        <f t="shared" si="34"/>
        <v>1190486.5485112825</v>
      </c>
      <c r="C336" s="5">
        <f t="shared" si="30"/>
        <v>32357.22787812473</v>
      </c>
      <c r="D336" s="5">
        <f t="shared" si="31"/>
        <v>1984.1442475188044</v>
      </c>
      <c r="E336" s="5">
        <f t="shared" si="32"/>
        <v>30373.083630605925</v>
      </c>
      <c r="F336" s="5">
        <f t="shared" si="33"/>
        <v>1160113.4648806767</v>
      </c>
    </row>
    <row r="337" spans="1:6" x14ac:dyDescent="0.25">
      <c r="A337">
        <v>324</v>
      </c>
      <c r="B337" s="5">
        <f t="shared" si="34"/>
        <v>1160113.4648806767</v>
      </c>
      <c r="C337" s="5">
        <f t="shared" si="30"/>
        <v>32357.22787812473</v>
      </c>
      <c r="D337" s="5">
        <f t="shared" si="31"/>
        <v>1933.5224414677946</v>
      </c>
      <c r="E337" s="5">
        <f t="shared" si="32"/>
        <v>30423.705436656935</v>
      </c>
      <c r="F337" s="5">
        <f t="shared" si="33"/>
        <v>1129689.7594440198</v>
      </c>
    </row>
    <row r="338" spans="1:6" x14ac:dyDescent="0.25">
      <c r="A338">
        <v>325</v>
      </c>
      <c r="B338" s="5">
        <f t="shared" si="34"/>
        <v>1129689.7594440198</v>
      </c>
      <c r="C338" s="5">
        <f t="shared" si="30"/>
        <v>32357.22787812473</v>
      </c>
      <c r="D338" s="5">
        <f t="shared" si="31"/>
        <v>1882.816265740033</v>
      </c>
      <c r="E338" s="5">
        <f t="shared" si="32"/>
        <v>30474.411612384698</v>
      </c>
      <c r="F338" s="5">
        <f t="shared" si="33"/>
        <v>1099215.347831635</v>
      </c>
    </row>
    <row r="339" spans="1:6" x14ac:dyDescent="0.25">
      <c r="A339">
        <v>326</v>
      </c>
      <c r="B339" s="5">
        <f t="shared" si="34"/>
        <v>1099215.347831635</v>
      </c>
      <c r="C339" s="5">
        <f t="shared" si="30"/>
        <v>32357.22787812473</v>
      </c>
      <c r="D339" s="5">
        <f t="shared" si="31"/>
        <v>1832.0255797193918</v>
      </c>
      <c r="E339" s="5">
        <f t="shared" si="32"/>
        <v>30525.202298405336</v>
      </c>
      <c r="F339" s="5">
        <f t="shared" si="33"/>
        <v>1068690.1455332297</v>
      </c>
    </row>
    <row r="340" spans="1:6" x14ac:dyDescent="0.25">
      <c r="A340">
        <v>327</v>
      </c>
      <c r="B340" s="5">
        <f t="shared" si="34"/>
        <v>1068690.1455332297</v>
      </c>
      <c r="C340" s="5">
        <f t="shared" si="30"/>
        <v>32357.22787812473</v>
      </c>
      <c r="D340" s="5">
        <f t="shared" si="31"/>
        <v>1781.1502425553829</v>
      </c>
      <c r="E340" s="5">
        <f t="shared" si="32"/>
        <v>30576.077635569345</v>
      </c>
      <c r="F340" s="5">
        <f t="shared" si="33"/>
        <v>1038114.0678976603</v>
      </c>
    </row>
    <row r="341" spans="1:6" x14ac:dyDescent="0.25">
      <c r="A341">
        <v>328</v>
      </c>
      <c r="B341" s="5">
        <f t="shared" si="34"/>
        <v>1038114.0678976603</v>
      </c>
      <c r="C341" s="5">
        <f t="shared" si="30"/>
        <v>32357.22787812473</v>
      </c>
      <c r="D341" s="5">
        <f t="shared" si="31"/>
        <v>1730.1901131627674</v>
      </c>
      <c r="E341" s="5">
        <f t="shared" si="32"/>
        <v>30627.037764961962</v>
      </c>
      <c r="F341" s="5">
        <f t="shared" si="33"/>
        <v>1007487.0301326984</v>
      </c>
    </row>
    <row r="342" spans="1:6" x14ac:dyDescent="0.25">
      <c r="A342">
        <v>329</v>
      </c>
      <c r="B342" s="5">
        <f t="shared" si="34"/>
        <v>1007487.0301326984</v>
      </c>
      <c r="C342" s="5">
        <f t="shared" si="30"/>
        <v>32357.22787812473</v>
      </c>
      <c r="D342" s="5">
        <f t="shared" si="31"/>
        <v>1679.145050221164</v>
      </c>
      <c r="E342" s="5">
        <f t="shared" si="32"/>
        <v>30678.082827903567</v>
      </c>
      <c r="F342" s="5">
        <f t="shared" si="33"/>
        <v>976808.9473047948</v>
      </c>
    </row>
    <row r="343" spans="1:6" x14ac:dyDescent="0.25">
      <c r="A343">
        <v>330</v>
      </c>
      <c r="B343" s="5">
        <f t="shared" si="34"/>
        <v>976808.9473047948</v>
      </c>
      <c r="C343" s="5">
        <f t="shared" si="30"/>
        <v>32357.22787812473</v>
      </c>
      <c r="D343" s="5">
        <f t="shared" si="31"/>
        <v>1628.0149121746581</v>
      </c>
      <c r="E343" s="5">
        <f t="shared" si="32"/>
        <v>30729.212965950072</v>
      </c>
      <c r="F343" s="5">
        <f t="shared" si="33"/>
        <v>946079.73433884478</v>
      </c>
    </row>
    <row r="344" spans="1:6" x14ac:dyDescent="0.25">
      <c r="A344">
        <v>331</v>
      </c>
      <c r="B344" s="5">
        <f t="shared" si="34"/>
        <v>946079.73433884478</v>
      </c>
      <c r="C344" s="5">
        <f t="shared" si="30"/>
        <v>32357.22787812473</v>
      </c>
      <c r="D344" s="5">
        <f t="shared" si="31"/>
        <v>1576.799557231408</v>
      </c>
      <c r="E344" s="5">
        <f t="shared" si="32"/>
        <v>30780.428320893323</v>
      </c>
      <c r="F344" s="5">
        <f t="shared" si="33"/>
        <v>915299.30601795146</v>
      </c>
    </row>
    <row r="345" spans="1:6" x14ac:dyDescent="0.25">
      <c r="A345">
        <v>332</v>
      </c>
      <c r="B345" s="5">
        <f t="shared" si="34"/>
        <v>915299.30601795146</v>
      </c>
      <c r="C345" s="5">
        <f t="shared" si="30"/>
        <v>32357.22787812473</v>
      </c>
      <c r="D345" s="5">
        <f t="shared" si="31"/>
        <v>1525.4988433632525</v>
      </c>
      <c r="E345" s="5">
        <f t="shared" si="32"/>
        <v>30831.729034761476</v>
      </c>
      <c r="F345" s="5">
        <f t="shared" si="33"/>
        <v>884467.57698319003</v>
      </c>
    </row>
    <row r="346" spans="1:6" x14ac:dyDescent="0.25">
      <c r="A346">
        <v>333</v>
      </c>
      <c r="B346" s="5">
        <f t="shared" si="34"/>
        <v>884467.57698319003</v>
      </c>
      <c r="C346" s="5">
        <f t="shared" si="30"/>
        <v>32357.22787812473</v>
      </c>
      <c r="D346" s="5">
        <f t="shared" si="31"/>
        <v>1474.1126283053168</v>
      </c>
      <c r="E346" s="5">
        <f t="shared" si="32"/>
        <v>30883.115249819413</v>
      </c>
      <c r="F346" s="5">
        <f t="shared" si="33"/>
        <v>853584.46173337055</v>
      </c>
    </row>
    <row r="347" spans="1:6" x14ac:dyDescent="0.25">
      <c r="A347">
        <v>334</v>
      </c>
      <c r="B347" s="5">
        <f t="shared" si="34"/>
        <v>853584.46173337055</v>
      </c>
      <c r="C347" s="5">
        <f t="shared" si="30"/>
        <v>32357.22787812473</v>
      </c>
      <c r="D347" s="5">
        <f t="shared" si="31"/>
        <v>1422.6407695556177</v>
      </c>
      <c r="E347" s="5">
        <f t="shared" si="32"/>
        <v>30934.587108569111</v>
      </c>
      <c r="F347" s="5">
        <f t="shared" si="33"/>
        <v>822649.87462480145</v>
      </c>
    </row>
    <row r="348" spans="1:6" x14ac:dyDescent="0.25">
      <c r="A348">
        <v>335</v>
      </c>
      <c r="B348" s="5">
        <f t="shared" si="34"/>
        <v>822649.87462480145</v>
      </c>
      <c r="C348" s="5">
        <f t="shared" si="30"/>
        <v>32357.22787812473</v>
      </c>
      <c r="D348" s="5">
        <f t="shared" si="31"/>
        <v>1371.0831243746691</v>
      </c>
      <c r="E348" s="5">
        <f t="shared" si="32"/>
        <v>30986.144753750061</v>
      </c>
      <c r="F348" s="5">
        <f t="shared" si="33"/>
        <v>791663.72987105139</v>
      </c>
    </row>
    <row r="349" spans="1:6" x14ac:dyDescent="0.25">
      <c r="A349">
        <v>336</v>
      </c>
      <c r="B349" s="5">
        <f t="shared" si="34"/>
        <v>791663.72987105139</v>
      </c>
      <c r="C349" s="5">
        <f t="shared" si="30"/>
        <v>32357.22787812473</v>
      </c>
      <c r="D349" s="5">
        <f t="shared" si="31"/>
        <v>1319.4395497850858</v>
      </c>
      <c r="E349" s="5">
        <f t="shared" si="32"/>
        <v>31037.788328339644</v>
      </c>
      <c r="F349" s="5">
        <f t="shared" si="33"/>
        <v>760625.94154271169</v>
      </c>
    </row>
    <row r="350" spans="1:6" x14ac:dyDescent="0.25">
      <c r="A350">
        <v>337</v>
      </c>
      <c r="B350" s="5">
        <f t="shared" si="34"/>
        <v>760625.94154271169</v>
      </c>
      <c r="C350" s="5">
        <f t="shared" si="30"/>
        <v>32357.22787812473</v>
      </c>
      <c r="D350" s="5">
        <f t="shared" si="31"/>
        <v>1267.7099025711861</v>
      </c>
      <c r="E350" s="5">
        <f t="shared" si="32"/>
        <v>31089.517975553543</v>
      </c>
      <c r="F350" s="5">
        <f t="shared" si="33"/>
        <v>729536.42356715817</v>
      </c>
    </row>
    <row r="351" spans="1:6" x14ac:dyDescent="0.25">
      <c r="A351">
        <v>338</v>
      </c>
      <c r="B351" s="5">
        <f t="shared" si="34"/>
        <v>729536.42356715817</v>
      </c>
      <c r="C351" s="5">
        <f t="shared" si="30"/>
        <v>32357.22787812473</v>
      </c>
      <c r="D351" s="5">
        <f t="shared" si="31"/>
        <v>1215.8940392785971</v>
      </c>
      <c r="E351" s="5">
        <f t="shared" si="32"/>
        <v>31141.333838846134</v>
      </c>
      <c r="F351" s="5">
        <f t="shared" si="33"/>
        <v>698395.08972831198</v>
      </c>
    </row>
    <row r="352" spans="1:6" x14ac:dyDescent="0.25">
      <c r="A352">
        <v>339</v>
      </c>
      <c r="B352" s="5">
        <f t="shared" si="34"/>
        <v>698395.08972831198</v>
      </c>
      <c r="C352" s="5">
        <f t="shared" si="30"/>
        <v>32357.22787812473</v>
      </c>
      <c r="D352" s="5">
        <f t="shared" si="31"/>
        <v>1163.9918162138533</v>
      </c>
      <c r="E352" s="5">
        <f t="shared" si="32"/>
        <v>31193.236061910877</v>
      </c>
      <c r="F352" s="5">
        <f t="shared" si="33"/>
        <v>667201.85366640112</v>
      </c>
    </row>
    <row r="353" spans="1:6" x14ac:dyDescent="0.25">
      <c r="A353">
        <v>340</v>
      </c>
      <c r="B353" s="5">
        <f t="shared" si="34"/>
        <v>667201.85366640112</v>
      </c>
      <c r="C353" s="5">
        <f t="shared" si="30"/>
        <v>32357.22787812473</v>
      </c>
      <c r="D353" s="5">
        <f t="shared" si="31"/>
        <v>1112.0030894440019</v>
      </c>
      <c r="E353" s="5">
        <f t="shared" si="32"/>
        <v>31245.224788680727</v>
      </c>
      <c r="F353" s="5">
        <f t="shared" si="33"/>
        <v>635956.62887772045</v>
      </c>
    </row>
    <row r="354" spans="1:6" x14ac:dyDescent="0.25">
      <c r="A354">
        <v>341</v>
      </c>
      <c r="B354" s="5">
        <f t="shared" si="34"/>
        <v>635956.62887772045</v>
      </c>
      <c r="C354" s="5">
        <f t="shared" si="30"/>
        <v>32357.22787812473</v>
      </c>
      <c r="D354" s="5">
        <f t="shared" si="31"/>
        <v>1059.9277147962009</v>
      </c>
      <c r="E354" s="5">
        <f t="shared" si="32"/>
        <v>31297.300163328528</v>
      </c>
      <c r="F354" s="5">
        <f t="shared" si="33"/>
        <v>604659.32871439192</v>
      </c>
    </row>
    <row r="355" spans="1:6" x14ac:dyDescent="0.25">
      <c r="A355">
        <v>342</v>
      </c>
      <c r="B355" s="5">
        <f t="shared" si="34"/>
        <v>604659.32871439192</v>
      </c>
      <c r="C355" s="5">
        <f t="shared" si="30"/>
        <v>32357.22787812473</v>
      </c>
      <c r="D355" s="5">
        <f t="shared" si="31"/>
        <v>1007.7655478573199</v>
      </c>
      <c r="E355" s="5">
        <f t="shared" si="32"/>
        <v>31349.462330267408</v>
      </c>
      <c r="F355" s="5">
        <f t="shared" si="33"/>
        <v>573309.8663841245</v>
      </c>
    </row>
    <row r="356" spans="1:6" x14ac:dyDescent="0.25">
      <c r="A356">
        <v>343</v>
      </c>
      <c r="B356" s="5">
        <f t="shared" si="34"/>
        <v>573309.8663841245</v>
      </c>
      <c r="C356" s="5">
        <f t="shared" si="30"/>
        <v>32357.22787812473</v>
      </c>
      <c r="D356" s="5">
        <f t="shared" si="31"/>
        <v>955.51644397354085</v>
      </c>
      <c r="E356" s="5">
        <f t="shared" si="32"/>
        <v>31401.711434151188</v>
      </c>
      <c r="F356" s="5">
        <f t="shared" si="33"/>
        <v>541908.15494997334</v>
      </c>
    </row>
    <row r="357" spans="1:6" x14ac:dyDescent="0.25">
      <c r="A357">
        <v>344</v>
      </c>
      <c r="B357" s="5">
        <f t="shared" si="34"/>
        <v>541908.15494997334</v>
      </c>
      <c r="C357" s="5">
        <f t="shared" si="30"/>
        <v>32357.22787812473</v>
      </c>
      <c r="D357" s="5">
        <f t="shared" si="31"/>
        <v>903.18025824995561</v>
      </c>
      <c r="E357" s="5">
        <f t="shared" si="32"/>
        <v>31454.047619874775</v>
      </c>
      <c r="F357" s="5">
        <f t="shared" si="33"/>
        <v>510454.10733009857</v>
      </c>
    </row>
    <row r="358" spans="1:6" x14ac:dyDescent="0.25">
      <c r="A358">
        <v>345</v>
      </c>
      <c r="B358" s="5">
        <f t="shared" si="34"/>
        <v>510454.10733009857</v>
      </c>
      <c r="C358" s="5">
        <f t="shared" si="30"/>
        <v>32357.22787812473</v>
      </c>
      <c r="D358" s="5">
        <f t="shared" si="31"/>
        <v>850.75684555016437</v>
      </c>
      <c r="E358" s="5">
        <f t="shared" si="32"/>
        <v>31506.471032574565</v>
      </c>
      <c r="F358" s="5">
        <f t="shared" si="33"/>
        <v>478947.63629752403</v>
      </c>
    </row>
    <row r="359" spans="1:6" x14ac:dyDescent="0.25">
      <c r="A359">
        <v>346</v>
      </c>
      <c r="B359" s="5">
        <f t="shared" si="34"/>
        <v>478947.63629752403</v>
      </c>
      <c r="C359" s="5">
        <f t="shared" si="30"/>
        <v>32357.22787812473</v>
      </c>
      <c r="D359" s="5">
        <f t="shared" si="31"/>
        <v>798.24606049587339</v>
      </c>
      <c r="E359" s="5">
        <f t="shared" si="32"/>
        <v>31558.981817628857</v>
      </c>
      <c r="F359" s="5">
        <f t="shared" si="33"/>
        <v>447388.65447989519</v>
      </c>
    </row>
    <row r="360" spans="1:6" x14ac:dyDescent="0.25">
      <c r="A360">
        <v>347</v>
      </c>
      <c r="B360" s="5">
        <f t="shared" si="34"/>
        <v>447388.65447989519</v>
      </c>
      <c r="C360" s="5">
        <f t="shared" si="30"/>
        <v>32357.22787812473</v>
      </c>
      <c r="D360" s="5">
        <f t="shared" si="31"/>
        <v>745.64775746649207</v>
      </c>
      <c r="E360" s="5">
        <f t="shared" si="32"/>
        <v>31611.580120658236</v>
      </c>
      <c r="F360" s="5">
        <f t="shared" si="33"/>
        <v>415777.07435923698</v>
      </c>
    </row>
    <row r="361" spans="1:6" x14ac:dyDescent="0.25">
      <c r="A361">
        <v>348</v>
      </c>
      <c r="B361" s="5">
        <f t="shared" si="34"/>
        <v>415777.07435923698</v>
      </c>
      <c r="C361" s="5">
        <f t="shared" si="30"/>
        <v>32357.22787812473</v>
      </c>
      <c r="D361" s="5">
        <f t="shared" si="31"/>
        <v>692.96179059872838</v>
      </c>
      <c r="E361" s="5">
        <f t="shared" si="32"/>
        <v>31664.266087526001</v>
      </c>
      <c r="F361" s="5">
        <f t="shared" si="33"/>
        <v>384112.80827171099</v>
      </c>
    </row>
    <row r="362" spans="1:6" x14ac:dyDescent="0.25">
      <c r="A362">
        <v>349</v>
      </c>
      <c r="B362" s="5">
        <f t="shared" si="34"/>
        <v>384112.80827171099</v>
      </c>
      <c r="C362" s="5">
        <f t="shared" si="30"/>
        <v>32357.22787812473</v>
      </c>
      <c r="D362" s="5">
        <f t="shared" si="31"/>
        <v>640.18801378618502</v>
      </c>
      <c r="E362" s="5">
        <f t="shared" si="32"/>
        <v>31717.039864338545</v>
      </c>
      <c r="F362" s="5">
        <f t="shared" si="33"/>
        <v>352395.76840737247</v>
      </c>
    </row>
    <row r="363" spans="1:6" x14ac:dyDescent="0.25">
      <c r="A363">
        <v>350</v>
      </c>
      <c r="B363" s="5">
        <f t="shared" si="34"/>
        <v>352395.76840737247</v>
      </c>
      <c r="C363" s="5">
        <f t="shared" si="30"/>
        <v>32357.22787812473</v>
      </c>
      <c r="D363" s="5">
        <f t="shared" si="31"/>
        <v>587.32628067895416</v>
      </c>
      <c r="E363" s="5">
        <f t="shared" si="32"/>
        <v>31769.901597445776</v>
      </c>
      <c r="F363" s="5">
        <f t="shared" si="33"/>
        <v>320625.86680992669</v>
      </c>
    </row>
    <row r="364" spans="1:6" x14ac:dyDescent="0.25">
      <c r="A364">
        <v>351</v>
      </c>
      <c r="B364" s="5">
        <f t="shared" si="34"/>
        <v>320625.86680992669</v>
      </c>
      <c r="C364" s="5">
        <f t="shared" si="30"/>
        <v>32357.22787812473</v>
      </c>
      <c r="D364" s="5">
        <f t="shared" si="31"/>
        <v>534.37644468321116</v>
      </c>
      <c r="E364" s="5">
        <f t="shared" si="32"/>
        <v>31822.851433441519</v>
      </c>
      <c r="F364" s="5">
        <f t="shared" si="33"/>
        <v>288803.01537648519</v>
      </c>
    </row>
    <row r="365" spans="1:6" x14ac:dyDescent="0.25">
      <c r="A365">
        <v>352</v>
      </c>
      <c r="B365" s="5">
        <f t="shared" si="34"/>
        <v>288803.01537648519</v>
      </c>
      <c r="C365" s="5">
        <f t="shared" si="30"/>
        <v>32357.22787812473</v>
      </c>
      <c r="D365" s="5">
        <f t="shared" si="31"/>
        <v>481.33835896080865</v>
      </c>
      <c r="E365" s="5">
        <f t="shared" si="32"/>
        <v>31875.88951916392</v>
      </c>
      <c r="F365" s="5">
        <f t="shared" si="33"/>
        <v>256927.12585732125</v>
      </c>
    </row>
    <row r="366" spans="1:6" x14ac:dyDescent="0.25">
      <c r="A366">
        <v>353</v>
      </c>
      <c r="B366" s="5">
        <f t="shared" si="34"/>
        <v>256927.12585732125</v>
      </c>
      <c r="C366" s="5">
        <f t="shared" si="30"/>
        <v>32357.22787812473</v>
      </c>
      <c r="D366" s="5">
        <f t="shared" si="31"/>
        <v>428.21187642886878</v>
      </c>
      <c r="E366" s="5">
        <f t="shared" si="32"/>
        <v>31929.016001695862</v>
      </c>
      <c r="F366" s="5">
        <f t="shared" si="33"/>
        <v>224998.1098556254</v>
      </c>
    </row>
    <row r="367" spans="1:6" x14ac:dyDescent="0.25">
      <c r="A367">
        <v>354</v>
      </c>
      <c r="B367" s="5">
        <f t="shared" si="34"/>
        <v>224998.1098556254</v>
      </c>
      <c r="C367" s="5">
        <f t="shared" si="30"/>
        <v>32357.22787812473</v>
      </c>
      <c r="D367" s="5">
        <f t="shared" si="31"/>
        <v>374.99684975937566</v>
      </c>
      <c r="E367" s="5">
        <f t="shared" si="32"/>
        <v>31982.231028365353</v>
      </c>
      <c r="F367" s="5">
        <f t="shared" si="33"/>
        <v>193015.87882726005</v>
      </c>
    </row>
    <row r="368" spans="1:6" x14ac:dyDescent="0.25">
      <c r="A368">
        <v>355</v>
      </c>
      <c r="B368" s="5">
        <f t="shared" si="34"/>
        <v>193015.87882726005</v>
      </c>
      <c r="C368" s="5">
        <f t="shared" si="30"/>
        <v>32357.22787812473</v>
      </c>
      <c r="D368" s="5">
        <f t="shared" si="31"/>
        <v>321.69313137876679</v>
      </c>
      <c r="E368" s="5">
        <f t="shared" si="32"/>
        <v>32035.534746745961</v>
      </c>
      <c r="F368" s="5">
        <f t="shared" si="33"/>
        <v>160980.3440805141</v>
      </c>
    </row>
    <row r="369" spans="1:6" x14ac:dyDescent="0.25">
      <c r="A369">
        <v>356</v>
      </c>
      <c r="B369" s="5">
        <f t="shared" si="34"/>
        <v>160980.3440805141</v>
      </c>
      <c r="C369" s="5">
        <f t="shared" si="30"/>
        <v>32357.22787812473</v>
      </c>
      <c r="D369" s="5">
        <f t="shared" si="31"/>
        <v>268.30057346752352</v>
      </c>
      <c r="E369" s="5">
        <f t="shared" si="32"/>
        <v>32088.927304657205</v>
      </c>
      <c r="F369" s="5">
        <f t="shared" si="33"/>
        <v>128891.41677585689</v>
      </c>
    </row>
    <row r="370" spans="1:6" x14ac:dyDescent="0.25">
      <c r="A370">
        <v>357</v>
      </c>
      <c r="B370" s="5">
        <f t="shared" si="34"/>
        <v>128891.41677585689</v>
      </c>
      <c r="C370" s="5">
        <f t="shared" si="30"/>
        <v>32357.22787812473</v>
      </c>
      <c r="D370" s="5">
        <f t="shared" si="31"/>
        <v>214.81902795976151</v>
      </c>
      <c r="E370" s="5">
        <f t="shared" si="32"/>
        <v>32142.408850164968</v>
      </c>
      <c r="F370" s="5">
        <f t="shared" si="33"/>
        <v>96749.007925691927</v>
      </c>
    </row>
    <row r="371" spans="1:6" x14ac:dyDescent="0.25">
      <c r="A371">
        <v>358</v>
      </c>
      <c r="B371" s="5">
        <f t="shared" si="34"/>
        <v>96749.007925691927</v>
      </c>
      <c r="C371" s="5">
        <f t="shared" si="30"/>
        <v>32357.22787812473</v>
      </c>
      <c r="D371" s="5">
        <f t="shared" si="31"/>
        <v>161.24834654281989</v>
      </c>
      <c r="E371" s="5">
        <f t="shared" si="32"/>
        <v>32195.97953158191</v>
      </c>
      <c r="F371" s="5">
        <f t="shared" si="33"/>
        <v>64553.028394110021</v>
      </c>
    </row>
    <row r="372" spans="1:6" x14ac:dyDescent="0.25">
      <c r="A372">
        <v>359</v>
      </c>
      <c r="B372" s="5">
        <f t="shared" si="34"/>
        <v>64553.028394110021</v>
      </c>
      <c r="C372" s="5">
        <f t="shared" si="30"/>
        <v>32357.22787812473</v>
      </c>
      <c r="D372" s="5">
        <f t="shared" si="31"/>
        <v>107.58838065685003</v>
      </c>
      <c r="E372" s="5">
        <f t="shared" si="32"/>
        <v>32249.639497467881</v>
      </c>
      <c r="F372" s="5">
        <f t="shared" si="33"/>
        <v>32303.38889664214</v>
      </c>
    </row>
    <row r="373" spans="1:6" x14ac:dyDescent="0.25">
      <c r="A373" s="3">
        <v>360</v>
      </c>
      <c r="B373" s="4">
        <f t="shared" si="34"/>
        <v>32303.38889664214</v>
      </c>
      <c r="C373" s="4">
        <f t="shared" si="30"/>
        <v>32357.22787812473</v>
      </c>
      <c r="D373" s="4">
        <f t="shared" si="31"/>
        <v>53.838981494403569</v>
      </c>
      <c r="E373" s="4">
        <f t="shared" si="32"/>
        <v>32303.388896630328</v>
      </c>
      <c r="F373" s="4">
        <f t="shared" si="33"/>
        <v>1.1812517186626792E-8</v>
      </c>
    </row>
    <row r="374" spans="1:6" x14ac:dyDescent="0.25">
      <c r="B374" s="5"/>
      <c r="C374" s="5"/>
      <c r="D374" s="5"/>
      <c r="E374" s="5"/>
      <c r="F374" s="5"/>
    </row>
    <row r="375" spans="1:6" x14ac:dyDescent="0.25">
      <c r="B375" s="5"/>
      <c r="C375" s="5"/>
      <c r="D375" s="5"/>
      <c r="E375" s="5"/>
      <c r="F375" s="5"/>
    </row>
    <row r="376" spans="1:6" x14ac:dyDescent="0.25">
      <c r="B376" s="5"/>
      <c r="C376" s="5"/>
      <c r="D376" s="5"/>
      <c r="E376" s="5"/>
      <c r="F376" s="5"/>
    </row>
    <row r="377" spans="1:6" x14ac:dyDescent="0.25">
      <c r="B377" s="5"/>
      <c r="C377" s="5"/>
      <c r="D377" s="5"/>
      <c r="E377" s="5"/>
      <c r="F377" s="5"/>
    </row>
    <row r="378" spans="1:6" x14ac:dyDescent="0.25">
      <c r="B378" s="5"/>
      <c r="C378" s="5"/>
      <c r="D378" s="5"/>
      <c r="E378" s="5"/>
      <c r="F378" s="5"/>
    </row>
    <row r="379" spans="1:6" x14ac:dyDescent="0.25">
      <c r="B379" s="5"/>
      <c r="C379" s="5"/>
      <c r="D379" s="5"/>
      <c r="E379" s="5"/>
      <c r="F379" s="5"/>
    </row>
    <row r="380" spans="1:6" x14ac:dyDescent="0.25">
      <c r="B380" s="5"/>
      <c r="C380" s="5"/>
      <c r="D380" s="5"/>
      <c r="E380" s="5"/>
      <c r="F380" s="5"/>
    </row>
    <row r="381" spans="1:6" x14ac:dyDescent="0.25">
      <c r="B381" s="5"/>
      <c r="C381" s="5"/>
      <c r="D381" s="5"/>
      <c r="E381" s="5"/>
      <c r="F381" s="5"/>
    </row>
    <row r="382" spans="1:6" x14ac:dyDescent="0.25">
      <c r="B382" s="5"/>
      <c r="C382" s="5"/>
      <c r="D382" s="5"/>
      <c r="E382" s="5"/>
      <c r="F382" s="5"/>
    </row>
    <row r="383" spans="1:6" x14ac:dyDescent="0.25">
      <c r="B383" s="5"/>
      <c r="C383" s="5"/>
      <c r="D383" s="5"/>
      <c r="E383" s="5"/>
      <c r="F383" s="5"/>
    </row>
    <row r="384" spans="1:6" x14ac:dyDescent="0.25">
      <c r="B384" s="5"/>
      <c r="C384" s="5"/>
      <c r="D384" s="5"/>
      <c r="E384" s="5"/>
      <c r="F384" s="5"/>
    </row>
    <row r="385" spans="2:6" x14ac:dyDescent="0.25">
      <c r="B385" s="5"/>
      <c r="C385" s="5"/>
      <c r="D385" s="5"/>
      <c r="E385" s="5"/>
      <c r="F385" s="5"/>
    </row>
    <row r="386" spans="2:6" x14ac:dyDescent="0.25">
      <c r="B386" s="5"/>
      <c r="C386" s="5"/>
      <c r="D386" s="5"/>
      <c r="E386" s="5"/>
      <c r="F386" s="5"/>
    </row>
    <row r="387" spans="2:6" x14ac:dyDescent="0.25">
      <c r="B387" s="5"/>
      <c r="C387" s="5"/>
      <c r="D387" s="5"/>
      <c r="E387" s="5"/>
      <c r="F387" s="5"/>
    </row>
    <row r="388" spans="2:6" x14ac:dyDescent="0.25">
      <c r="B388" s="5"/>
      <c r="C388" s="5"/>
      <c r="D388" s="5"/>
      <c r="E388" s="5"/>
      <c r="F388" s="5"/>
    </row>
    <row r="389" spans="2:6" x14ac:dyDescent="0.25">
      <c r="B389" s="5"/>
      <c r="C389" s="5"/>
      <c r="D389" s="5"/>
      <c r="E389" s="5"/>
      <c r="F389" s="5"/>
    </row>
    <row r="390" spans="2:6" x14ac:dyDescent="0.25">
      <c r="B390" s="5"/>
      <c r="C390" s="5"/>
      <c r="D390" s="5"/>
      <c r="E390" s="5"/>
      <c r="F390" s="5"/>
    </row>
    <row r="391" spans="2:6" x14ac:dyDescent="0.25">
      <c r="B391" s="5"/>
      <c r="C391" s="5"/>
      <c r="D391" s="5"/>
      <c r="E391" s="5"/>
      <c r="F391" s="5"/>
    </row>
    <row r="392" spans="2:6" x14ac:dyDescent="0.25">
      <c r="B392" s="5"/>
      <c r="C392" s="5"/>
      <c r="D392" s="5"/>
      <c r="E392" s="5"/>
      <c r="F392" s="5"/>
    </row>
    <row r="393" spans="2:6" x14ac:dyDescent="0.25">
      <c r="B393" s="5"/>
      <c r="C393" s="5"/>
      <c r="D393" s="5"/>
      <c r="E393" s="5"/>
      <c r="F393" s="5"/>
    </row>
    <row r="394" spans="2:6" x14ac:dyDescent="0.25">
      <c r="B394" s="5"/>
      <c r="C394" s="5"/>
      <c r="D394" s="5"/>
      <c r="E394" s="5"/>
      <c r="F394" s="5"/>
    </row>
    <row r="395" spans="2:6" x14ac:dyDescent="0.25">
      <c r="B395" s="5"/>
      <c r="C395" s="5"/>
      <c r="D395" s="5"/>
      <c r="E395" s="5"/>
      <c r="F395" s="5"/>
    </row>
    <row r="396" spans="2:6" x14ac:dyDescent="0.25">
      <c r="B396" s="5"/>
      <c r="C396" s="5"/>
      <c r="D396" s="5"/>
      <c r="E396" s="5"/>
      <c r="F396" s="5"/>
    </row>
    <row r="397" spans="2:6" x14ac:dyDescent="0.25">
      <c r="B397" s="5"/>
      <c r="C397" s="5"/>
      <c r="D397" s="5"/>
      <c r="E397" s="5"/>
      <c r="F397" s="5"/>
    </row>
    <row r="398" spans="2:6" x14ac:dyDescent="0.25">
      <c r="B398" s="5"/>
      <c r="C398" s="5"/>
      <c r="D398" s="5"/>
      <c r="E398" s="5"/>
      <c r="F398" s="5"/>
    </row>
    <row r="399" spans="2:6" x14ac:dyDescent="0.25">
      <c r="B399" s="5"/>
      <c r="C399" s="5"/>
      <c r="D399" s="5"/>
      <c r="E399" s="5"/>
      <c r="F399" s="5"/>
    </row>
    <row r="400" spans="2:6" x14ac:dyDescent="0.25">
      <c r="B400" s="5"/>
      <c r="C400" s="5"/>
      <c r="D400" s="5"/>
      <c r="E400" s="5"/>
      <c r="F400" s="5"/>
    </row>
    <row r="401" spans="2:6" x14ac:dyDescent="0.25">
      <c r="B401" s="5"/>
      <c r="C401" s="5"/>
      <c r="D401" s="5"/>
      <c r="E401" s="5"/>
      <c r="F401" s="5"/>
    </row>
    <row r="402" spans="2:6" x14ac:dyDescent="0.25">
      <c r="B402" s="5"/>
      <c r="C402" s="5"/>
      <c r="D402" s="5"/>
      <c r="E402" s="5"/>
      <c r="F402" s="5"/>
    </row>
    <row r="403" spans="2:6" x14ac:dyDescent="0.25">
      <c r="B403" s="5"/>
      <c r="C403" s="5"/>
      <c r="D403" s="5"/>
      <c r="E403" s="5"/>
      <c r="F403" s="5"/>
    </row>
    <row r="404" spans="2:6" x14ac:dyDescent="0.25">
      <c r="B404" s="5"/>
      <c r="C404" s="5"/>
      <c r="D404" s="5"/>
      <c r="E404" s="5"/>
      <c r="F404" s="5"/>
    </row>
    <row r="405" spans="2:6" x14ac:dyDescent="0.25">
      <c r="B405" s="5"/>
      <c r="C405" s="5"/>
      <c r="D405" s="5"/>
      <c r="E405" s="5"/>
      <c r="F405" s="5"/>
    </row>
    <row r="406" spans="2:6" x14ac:dyDescent="0.25">
      <c r="B406" s="5"/>
      <c r="C406" s="5"/>
      <c r="D406" s="5"/>
      <c r="E406" s="5"/>
      <c r="F406" s="5"/>
    </row>
    <row r="407" spans="2:6" x14ac:dyDescent="0.25">
      <c r="B407" s="5"/>
      <c r="C407" s="5"/>
      <c r="D407" s="5"/>
      <c r="E407" s="5"/>
      <c r="F407" s="5"/>
    </row>
    <row r="408" spans="2:6" x14ac:dyDescent="0.25">
      <c r="B408" s="5"/>
      <c r="C408" s="5"/>
      <c r="D408" s="5"/>
      <c r="E408" s="5"/>
      <c r="F408" s="5"/>
    </row>
    <row r="409" spans="2:6" x14ac:dyDescent="0.25">
      <c r="B409" s="5"/>
      <c r="C409" s="5"/>
      <c r="D409" s="5"/>
      <c r="E409" s="5"/>
      <c r="F409" s="5"/>
    </row>
    <row r="410" spans="2:6" x14ac:dyDescent="0.25">
      <c r="B410" s="5"/>
      <c r="C410" s="5"/>
      <c r="D410" s="5"/>
      <c r="E410" s="5"/>
      <c r="F410" s="5"/>
    </row>
    <row r="411" spans="2:6" x14ac:dyDescent="0.25">
      <c r="B411" s="5"/>
      <c r="C411" s="5"/>
      <c r="D411" s="5"/>
      <c r="E411" s="5"/>
      <c r="F411" s="5"/>
    </row>
    <row r="412" spans="2:6" x14ac:dyDescent="0.25">
      <c r="B412" s="5"/>
      <c r="C412" s="5"/>
      <c r="D412" s="5"/>
      <c r="E412" s="5"/>
      <c r="F412" s="5"/>
    </row>
    <row r="413" spans="2:6" x14ac:dyDescent="0.25">
      <c r="B413" s="5"/>
      <c r="C413" s="5"/>
      <c r="D413" s="5"/>
      <c r="E413" s="5"/>
      <c r="F413" s="5"/>
    </row>
    <row r="414" spans="2:6" x14ac:dyDescent="0.25">
      <c r="B414" s="5"/>
      <c r="C414" s="5"/>
      <c r="D414" s="5"/>
      <c r="E414" s="5"/>
      <c r="F414" s="5"/>
    </row>
    <row r="415" spans="2:6" x14ac:dyDescent="0.25">
      <c r="B415" s="5"/>
      <c r="C415" s="5"/>
      <c r="D415" s="5"/>
      <c r="E415" s="5"/>
      <c r="F415" s="5"/>
    </row>
    <row r="416" spans="2:6" x14ac:dyDescent="0.25">
      <c r="B416" s="5"/>
      <c r="C416" s="5"/>
      <c r="D416" s="5"/>
      <c r="E416" s="5"/>
      <c r="F416" s="5"/>
    </row>
    <row r="417" spans="2:6" x14ac:dyDescent="0.25">
      <c r="B417" s="5"/>
      <c r="C417" s="5"/>
      <c r="D417" s="5"/>
      <c r="E417" s="5"/>
      <c r="F417" s="5"/>
    </row>
    <row r="418" spans="2:6" x14ac:dyDescent="0.25">
      <c r="B418" s="5"/>
      <c r="C418" s="5"/>
      <c r="D418" s="5"/>
      <c r="E418" s="5"/>
      <c r="F418" s="5"/>
    </row>
    <row r="419" spans="2:6" x14ac:dyDescent="0.25">
      <c r="B419" s="5"/>
      <c r="C419" s="5"/>
      <c r="D419" s="5"/>
      <c r="E419" s="5"/>
      <c r="F419" s="5"/>
    </row>
    <row r="420" spans="2:6" x14ac:dyDescent="0.25">
      <c r="B420" s="5"/>
      <c r="C420" s="5"/>
      <c r="D420" s="5"/>
      <c r="E420" s="5"/>
      <c r="F420" s="5"/>
    </row>
    <row r="421" spans="2:6" x14ac:dyDescent="0.25">
      <c r="B421" s="5"/>
      <c r="C421" s="5"/>
      <c r="D421" s="5"/>
      <c r="E421" s="5"/>
      <c r="F421" s="5"/>
    </row>
    <row r="422" spans="2:6" x14ac:dyDescent="0.25">
      <c r="B422" s="5"/>
      <c r="C422" s="5"/>
      <c r="D422" s="5"/>
      <c r="E422" s="5"/>
      <c r="F422" s="5"/>
    </row>
    <row r="423" spans="2:6" x14ac:dyDescent="0.25">
      <c r="B423" s="5"/>
      <c r="C423" s="5"/>
      <c r="D423" s="5"/>
      <c r="E423" s="5"/>
      <c r="F423" s="5"/>
    </row>
    <row r="424" spans="2:6" x14ac:dyDescent="0.25">
      <c r="B424" s="5"/>
      <c r="C424" s="5"/>
      <c r="D424" s="5"/>
      <c r="E424" s="5"/>
      <c r="F424" s="5"/>
    </row>
    <row r="425" spans="2:6" x14ac:dyDescent="0.25">
      <c r="B425" s="5"/>
      <c r="C425" s="5"/>
      <c r="D425" s="5"/>
      <c r="E425" s="5"/>
      <c r="F425" s="5"/>
    </row>
    <row r="426" spans="2:6" x14ac:dyDescent="0.25">
      <c r="B426" s="5"/>
      <c r="C426" s="5"/>
      <c r="D426" s="5"/>
      <c r="E426" s="5"/>
      <c r="F426" s="5"/>
    </row>
    <row r="427" spans="2:6" x14ac:dyDescent="0.25">
      <c r="B427" s="5"/>
      <c r="C427" s="5"/>
      <c r="D427" s="5"/>
      <c r="E427" s="5"/>
      <c r="F427" s="5"/>
    </row>
    <row r="428" spans="2:6" x14ac:dyDescent="0.25">
      <c r="B428" s="5"/>
      <c r="C428" s="5"/>
      <c r="D428" s="5"/>
      <c r="E428" s="5"/>
      <c r="F428" s="5"/>
    </row>
    <row r="429" spans="2:6" x14ac:dyDescent="0.25">
      <c r="B429" s="5"/>
      <c r="C429" s="5"/>
      <c r="D429" s="5"/>
      <c r="E429" s="5"/>
      <c r="F429" s="5"/>
    </row>
    <row r="430" spans="2:6" x14ac:dyDescent="0.25">
      <c r="B430" s="5"/>
      <c r="C430" s="5"/>
      <c r="D430" s="5"/>
      <c r="E430" s="5"/>
      <c r="F430" s="5"/>
    </row>
    <row r="431" spans="2:6" x14ac:dyDescent="0.25">
      <c r="B431" s="5"/>
      <c r="C431" s="5"/>
      <c r="D431" s="5"/>
      <c r="E431" s="5"/>
      <c r="F431" s="5"/>
    </row>
    <row r="432" spans="2:6" x14ac:dyDescent="0.25">
      <c r="B432" s="5"/>
      <c r="C432" s="5"/>
      <c r="D432" s="5"/>
      <c r="E432" s="5"/>
      <c r="F432" s="5"/>
    </row>
    <row r="433" spans="2:6" x14ac:dyDescent="0.25">
      <c r="B433" s="5"/>
      <c r="C433" s="5"/>
      <c r="D433" s="5"/>
      <c r="E433" s="5"/>
      <c r="F433" s="5"/>
    </row>
    <row r="434" spans="2:6" x14ac:dyDescent="0.25">
      <c r="B434" s="5"/>
      <c r="C434" s="5"/>
      <c r="D434" s="5"/>
      <c r="E434" s="5"/>
      <c r="F434" s="5"/>
    </row>
    <row r="435" spans="2:6" x14ac:dyDescent="0.25">
      <c r="B435" s="5"/>
      <c r="C435" s="5"/>
      <c r="D435" s="5"/>
      <c r="E435" s="5"/>
      <c r="F435" s="5"/>
    </row>
    <row r="436" spans="2:6" x14ac:dyDescent="0.25">
      <c r="B436" s="5"/>
      <c r="C436" s="5"/>
      <c r="D436" s="5"/>
      <c r="E436" s="5"/>
      <c r="F436" s="5"/>
    </row>
    <row r="437" spans="2:6" x14ac:dyDescent="0.25">
      <c r="B437" s="5"/>
      <c r="C437" s="5"/>
      <c r="D437" s="5"/>
      <c r="E437" s="5"/>
      <c r="F437" s="5"/>
    </row>
    <row r="438" spans="2:6" x14ac:dyDescent="0.25">
      <c r="B438" s="5"/>
      <c r="C438" s="5"/>
      <c r="D438" s="5"/>
      <c r="E438" s="5"/>
      <c r="F438" s="5"/>
    </row>
    <row r="439" spans="2:6" x14ac:dyDescent="0.25">
      <c r="B439" s="5"/>
      <c r="C439" s="5"/>
      <c r="D439" s="5"/>
      <c r="E439" s="5"/>
      <c r="F439" s="5"/>
    </row>
    <row r="440" spans="2:6" x14ac:dyDescent="0.25">
      <c r="B440" s="5"/>
      <c r="C440" s="5"/>
      <c r="D440" s="5"/>
      <c r="E440" s="5"/>
      <c r="F440" s="5"/>
    </row>
    <row r="441" spans="2:6" x14ac:dyDescent="0.25">
      <c r="B441" s="5"/>
      <c r="C441" s="5"/>
      <c r="D441" s="5"/>
      <c r="E441" s="5"/>
      <c r="F441" s="5"/>
    </row>
    <row r="442" spans="2:6" x14ac:dyDescent="0.25">
      <c r="B442" s="5"/>
      <c r="C442" s="5"/>
      <c r="D442" s="5"/>
      <c r="E442" s="5"/>
      <c r="F442" s="5"/>
    </row>
    <row r="443" spans="2:6" x14ac:dyDescent="0.25">
      <c r="B443" s="5"/>
      <c r="C443" s="5"/>
      <c r="D443" s="5"/>
      <c r="E443" s="5"/>
      <c r="F443" s="5"/>
    </row>
    <row r="444" spans="2:6" x14ac:dyDescent="0.25">
      <c r="B444" s="5"/>
      <c r="C444" s="5"/>
      <c r="D444" s="5"/>
      <c r="E444" s="5"/>
      <c r="F444" s="5"/>
    </row>
    <row r="445" spans="2:6" x14ac:dyDescent="0.25">
      <c r="B445" s="5"/>
      <c r="C445" s="5"/>
      <c r="D445" s="5"/>
      <c r="E445" s="5"/>
      <c r="F445" s="5"/>
    </row>
    <row r="446" spans="2:6" x14ac:dyDescent="0.25">
      <c r="B446" s="5"/>
      <c r="C446" s="5"/>
      <c r="D446" s="5"/>
      <c r="E446" s="5"/>
      <c r="F446" s="5"/>
    </row>
    <row r="447" spans="2:6" x14ac:dyDescent="0.25">
      <c r="B447" s="5"/>
      <c r="C447" s="5"/>
      <c r="D447" s="5"/>
      <c r="E447" s="5"/>
      <c r="F447" s="5"/>
    </row>
    <row r="448" spans="2:6" x14ac:dyDescent="0.25">
      <c r="B448" s="5"/>
      <c r="C448" s="5"/>
      <c r="D448" s="5"/>
      <c r="E448" s="5"/>
      <c r="F448" s="5"/>
    </row>
    <row r="449" spans="2:6" x14ac:dyDescent="0.25">
      <c r="B449" s="5"/>
      <c r="C449" s="5"/>
      <c r="D449" s="5"/>
      <c r="E449" s="5"/>
      <c r="F449" s="5"/>
    </row>
    <row r="450" spans="2:6" x14ac:dyDescent="0.25">
      <c r="B450" s="5"/>
      <c r="C450" s="5"/>
      <c r="D450" s="5"/>
      <c r="E450" s="5"/>
      <c r="F450" s="5"/>
    </row>
    <row r="451" spans="2:6" x14ac:dyDescent="0.25">
      <c r="B451" s="5"/>
      <c r="C451" s="5"/>
      <c r="D451" s="5"/>
      <c r="E451" s="5"/>
      <c r="F451" s="5"/>
    </row>
    <row r="452" spans="2:6" x14ac:dyDescent="0.25">
      <c r="B452" s="5"/>
      <c r="C452" s="5"/>
      <c r="D452" s="5"/>
      <c r="E452" s="5"/>
      <c r="F452" s="5"/>
    </row>
    <row r="453" spans="2:6" x14ac:dyDescent="0.25">
      <c r="B453" s="5"/>
      <c r="C453" s="5"/>
      <c r="D453" s="5"/>
      <c r="E453" s="5"/>
      <c r="F453" s="5"/>
    </row>
    <row r="454" spans="2:6" x14ac:dyDescent="0.25">
      <c r="B454" s="5"/>
      <c r="C454" s="5"/>
      <c r="D454" s="5"/>
      <c r="E454" s="5"/>
      <c r="F454" s="5"/>
    </row>
    <row r="455" spans="2:6" x14ac:dyDescent="0.25">
      <c r="B455" s="5"/>
      <c r="C455" s="5"/>
      <c r="D455" s="5"/>
      <c r="E455" s="5"/>
      <c r="F455" s="5"/>
    </row>
    <row r="456" spans="2:6" x14ac:dyDescent="0.25">
      <c r="B456" s="5"/>
      <c r="C456" s="5"/>
      <c r="D456" s="5"/>
      <c r="E456" s="5"/>
      <c r="F456" s="5"/>
    </row>
    <row r="457" spans="2:6" x14ac:dyDescent="0.25">
      <c r="B457" s="5"/>
      <c r="C457" s="5"/>
      <c r="D457" s="5"/>
      <c r="E457" s="5"/>
      <c r="F457" s="5"/>
    </row>
    <row r="458" spans="2:6" x14ac:dyDescent="0.25">
      <c r="B458" s="5"/>
      <c r="C458" s="5"/>
      <c r="D458" s="5"/>
      <c r="E458" s="5"/>
      <c r="F458" s="5"/>
    </row>
    <row r="459" spans="2:6" x14ac:dyDescent="0.25">
      <c r="B459" s="5"/>
      <c r="C459" s="5"/>
      <c r="D459" s="5"/>
      <c r="E459" s="5"/>
      <c r="F459" s="5"/>
    </row>
    <row r="460" spans="2:6" x14ac:dyDescent="0.25">
      <c r="B460" s="5"/>
      <c r="C460" s="5"/>
      <c r="D460" s="5"/>
      <c r="E460" s="5"/>
      <c r="F460" s="5"/>
    </row>
    <row r="461" spans="2:6" x14ac:dyDescent="0.25">
      <c r="B461" s="5"/>
      <c r="C461" s="5"/>
      <c r="D461" s="5"/>
      <c r="E461" s="5"/>
      <c r="F461" s="5"/>
    </row>
    <row r="462" spans="2:6" x14ac:dyDescent="0.25">
      <c r="B462" s="5"/>
      <c r="C462" s="5"/>
      <c r="D462" s="5"/>
      <c r="E462" s="5"/>
      <c r="F462" s="5"/>
    </row>
    <row r="463" spans="2:6" x14ac:dyDescent="0.25">
      <c r="B463" s="5"/>
      <c r="C463" s="5"/>
      <c r="D463" s="5"/>
      <c r="E463" s="5"/>
      <c r="F463" s="5"/>
    </row>
    <row r="464" spans="2:6" x14ac:dyDescent="0.25">
      <c r="B464" s="5"/>
      <c r="C464" s="5"/>
      <c r="D464" s="5"/>
      <c r="E464" s="5"/>
      <c r="F464" s="5"/>
    </row>
    <row r="465" spans="2:6" x14ac:dyDescent="0.25">
      <c r="B465" s="5"/>
      <c r="C465" s="5"/>
      <c r="D465" s="5"/>
      <c r="E465" s="5"/>
      <c r="F465" s="5"/>
    </row>
    <row r="466" spans="2:6" x14ac:dyDescent="0.25">
      <c r="B466" s="5"/>
      <c r="C466" s="5"/>
      <c r="D466" s="5"/>
      <c r="E466" s="5"/>
      <c r="F466" s="5"/>
    </row>
    <row r="467" spans="2:6" x14ac:dyDescent="0.25">
      <c r="B467" s="5"/>
      <c r="C467" s="5"/>
      <c r="D467" s="5"/>
      <c r="E467" s="5"/>
      <c r="F467" s="5"/>
    </row>
    <row r="468" spans="2:6" x14ac:dyDescent="0.25">
      <c r="B468" s="5"/>
      <c r="C468" s="5"/>
      <c r="D468" s="5"/>
      <c r="E468" s="5"/>
      <c r="F468" s="5"/>
    </row>
    <row r="469" spans="2:6" x14ac:dyDescent="0.25">
      <c r="B469" s="5"/>
      <c r="C469" s="5"/>
      <c r="D469" s="5"/>
      <c r="E469" s="5"/>
      <c r="F469" s="5"/>
    </row>
    <row r="470" spans="2:6" x14ac:dyDescent="0.25">
      <c r="B470" s="5"/>
      <c r="C470" s="5"/>
      <c r="D470" s="5"/>
      <c r="E470" s="5"/>
      <c r="F470" s="5"/>
    </row>
    <row r="471" spans="2:6" x14ac:dyDescent="0.25">
      <c r="B471" s="5"/>
      <c r="C471" s="5"/>
      <c r="D471" s="5"/>
      <c r="E471" s="5"/>
      <c r="F471" s="5"/>
    </row>
    <row r="472" spans="2:6" x14ac:dyDescent="0.25">
      <c r="B472" s="5"/>
      <c r="C472" s="5"/>
      <c r="D472" s="5"/>
      <c r="E472" s="5"/>
      <c r="F472" s="5"/>
    </row>
    <row r="473" spans="2:6" x14ac:dyDescent="0.25">
      <c r="B473" s="5"/>
      <c r="C473" s="5"/>
      <c r="D473" s="5"/>
      <c r="E473" s="5"/>
      <c r="F473" s="5"/>
    </row>
    <row r="474" spans="2:6" x14ac:dyDescent="0.25">
      <c r="B474" s="5"/>
      <c r="C474" s="5"/>
      <c r="D474" s="5"/>
      <c r="E474" s="5"/>
      <c r="F474" s="5"/>
    </row>
    <row r="475" spans="2:6" x14ac:dyDescent="0.25">
      <c r="B475" s="5"/>
      <c r="C475" s="5"/>
      <c r="D475" s="5"/>
      <c r="E475" s="5"/>
      <c r="F475" s="5"/>
    </row>
    <row r="476" spans="2:6" x14ac:dyDescent="0.25">
      <c r="B476" s="5"/>
      <c r="C476" s="5"/>
      <c r="D476" s="5"/>
      <c r="E476" s="5"/>
      <c r="F476" s="5"/>
    </row>
  </sheetData>
  <phoneticPr fontId="4" type="noConversion"/>
  <printOptions horizontalCentered="1" verticalCentered="1"/>
  <pageMargins left="0.25" right="0.25" top="0.25" bottom="0.25" header="0.25" footer="0.25"/>
  <pageSetup fitToHeight="0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0D25090BC7BE4BB35768BBEE7F9C0B" ma:contentTypeVersion="8" ma:contentTypeDescription="Create a new document." ma:contentTypeScope="" ma:versionID="30acc8329f6ca92aedfc9a5ea6d76326">
  <xsd:schema xmlns:xsd="http://www.w3.org/2001/XMLSchema" xmlns:xs="http://www.w3.org/2001/XMLSchema" xmlns:p="http://schemas.microsoft.com/office/2006/metadata/properties" xmlns:ns1="http://schemas.microsoft.com/sharepoint/v3" xmlns:ns2="f47b7aa8-6fe5-4c04-b721-bcfbbdb9b59d" targetNamespace="http://schemas.microsoft.com/office/2006/metadata/properties" ma:root="true" ma:fieldsID="31ac6ddf6e3641c88d4162a209714a6f" ns1:_="" ns2:_="">
    <xsd:import namespace="http://schemas.microsoft.com/sharepoint/v3"/>
    <xsd:import namespace="f47b7aa8-6fe5-4c04-b721-bcfbbdb9b5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Location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7b7aa8-6fe5-4c04-b721-bcfbbdb9b5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1A4F3F2-B5BB-4ECE-965C-430729035E03}">
  <ds:schemaRefs>
    <ds:schemaRef ds:uri="http://schemas.microsoft.com/sharepoint/v3"/>
    <ds:schemaRef ds:uri="http://purl.org/dc/dcmitype/"/>
    <ds:schemaRef ds:uri="http://purl.org/dc/terms/"/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2006/documentManagement/types"/>
    <ds:schemaRef ds:uri="f47b7aa8-6fe5-4c04-b721-bcfbbdb9b59d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6BC41D76-4893-48C6-B87D-B9FDE3837C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47b7aa8-6fe5-4c04-b721-bcfbbdb9b5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F36797-E36B-45E3-9EE1-BEA0CA033E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5</vt:i4>
      </vt:variant>
    </vt:vector>
  </HeadingPairs>
  <TitlesOfParts>
    <vt:vector size="13" baseType="lpstr">
      <vt:lpstr>Project Budget and Assumptions</vt:lpstr>
      <vt:lpstr>Sheet1</vt:lpstr>
      <vt:lpstr>Fin Calc</vt:lpstr>
      <vt:lpstr>Unit Mix</vt:lpstr>
      <vt:lpstr>Op Budget (Yr1)</vt:lpstr>
      <vt:lpstr>Annual Projections (Full)</vt:lpstr>
      <vt:lpstr>Investor Returns</vt:lpstr>
      <vt:lpstr>Am Table</vt:lpstr>
      <vt:lpstr>An_Ex</vt:lpstr>
      <vt:lpstr>IL_mang</vt:lpstr>
      <vt:lpstr>suc_fee</vt:lpstr>
      <vt:lpstr>TS_Eq</vt:lpstr>
      <vt:lpstr>TS_Share</vt:lpstr>
    </vt:vector>
  </TitlesOfParts>
  <Manager/>
  <Company>Marcus &amp; Millichap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Employee</dc:creator>
  <cp:keywords/>
  <dc:description/>
  <cp:lastModifiedBy>Roy</cp:lastModifiedBy>
  <cp:revision/>
  <dcterms:created xsi:type="dcterms:W3CDTF">2002-03-30T13:52:29Z</dcterms:created>
  <dcterms:modified xsi:type="dcterms:W3CDTF">2021-12-29T15:22:53Z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0x010100760D25090BC7BE4BB35768BBEE7F9C0B</vt:lpwstr>
  </property>
  <property fmtid="{D5CDD505-2E9C-101B-9397-08002B2CF9AE}" pid="3" name="MSIP_Label_b1a670e4-454a-446e-bd55-814d1d14e7a4_Enabled">
    <vt:lpwstr>True</vt:lpwstr>
  </property>
  <property fmtid="{D5CDD505-2E9C-101B-9397-08002B2CF9AE}" pid="4" name="MSIP_Label_b1a670e4-454a-446e-bd55-814d1d14e7a4_SiteId">
    <vt:lpwstr>3eebaf9d-1f60-4637-98c3-62ceb4e835fc</vt:lpwstr>
  </property>
  <property fmtid="{D5CDD505-2E9C-101B-9397-08002B2CF9AE}" pid="5" name="MSIP_Label_b1a670e4-454a-446e-bd55-814d1d14e7a4_Owner">
    <vt:lpwstr>Rebecca@BuligoCapital.com</vt:lpwstr>
  </property>
  <property fmtid="{D5CDD505-2E9C-101B-9397-08002B2CF9AE}" pid="6" name="MSIP_Label_b1a670e4-454a-446e-bd55-814d1d14e7a4_SetDate">
    <vt:lpwstr>2018-05-21T06:55:49.5231537Z</vt:lpwstr>
  </property>
  <property fmtid="{D5CDD505-2E9C-101B-9397-08002B2CF9AE}" pid="7" name="MSIP_Label_b1a670e4-454a-446e-bd55-814d1d14e7a4_Name">
    <vt:lpwstr>General</vt:lpwstr>
  </property>
  <property fmtid="{D5CDD505-2E9C-101B-9397-08002B2CF9AE}" pid="8" name="MSIP_Label_b1a670e4-454a-446e-bd55-814d1d14e7a4_Application">
    <vt:lpwstr>Microsoft Azure Information Protection</vt:lpwstr>
  </property>
  <property fmtid="{D5CDD505-2E9C-101B-9397-08002B2CF9AE}" pid="9" name="MSIP_Label_b1a670e4-454a-446e-bd55-814d1d14e7a4_Extended_MSFT_Method">
    <vt:lpwstr>Manual</vt:lpwstr>
  </property>
  <property fmtid="{D5CDD505-2E9C-101B-9397-08002B2CF9AE}" pid="10" name="Sensitivity">
    <vt:lpwstr>General</vt:lpwstr>
  </property>
</Properties>
</file>