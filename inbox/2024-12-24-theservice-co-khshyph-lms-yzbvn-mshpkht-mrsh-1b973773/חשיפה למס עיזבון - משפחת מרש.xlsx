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yuvalb\Desktop\"/>
    </mc:Choice>
  </mc:AlternateContent>
  <xr:revisionPtr revIDLastSave="0" documentId="13_ncr:1_{08E87DCB-60DF-40DD-A1C0-0FF1EA5F55E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מר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5" i="1" l="1"/>
  <c r="C76" i="1"/>
  <c r="E73" i="1"/>
  <c r="E57" i="1"/>
  <c r="E60" i="1" l="1"/>
  <c r="E72" i="1" s="1"/>
  <c r="E61" i="1"/>
  <c r="E59" i="1"/>
  <c r="E70" i="1"/>
  <c r="E69" i="1"/>
  <c r="E68" i="1"/>
  <c r="E67" i="1"/>
  <c r="E66" i="1"/>
  <c r="E65" i="1"/>
  <c r="E64" i="1"/>
  <c r="E63" i="1"/>
  <c r="E71" i="1" s="1"/>
  <c r="E62" i="1"/>
  <c r="E46" i="1"/>
  <c r="E56" i="1" s="1"/>
  <c r="E54" i="1"/>
  <c r="E53" i="1"/>
  <c r="E52" i="1"/>
  <c r="E51" i="1"/>
  <c r="E50" i="1"/>
  <c r="E49" i="1"/>
  <c r="E48" i="1"/>
  <c r="E47" i="1"/>
  <c r="E55" i="1" s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43" i="1" l="1"/>
</calcChain>
</file>

<file path=xl/sharedStrings.xml><?xml version="1.0" encoding="utf-8"?>
<sst xmlns="http://schemas.openxmlformats.org/spreadsheetml/2006/main" count="368" uniqueCount="107">
  <si>
    <t>רשימת נכסים וחשיפתם למס עיזבון - משפחת מרש</t>
  </si>
  <si>
    <t>שם הנכס</t>
  </si>
  <si>
    <t>סוג הנכס</t>
  </si>
  <si>
    <t>חשיפה למס עיזבון</t>
  </si>
  <si>
    <t>תיק מנוהל בשוויץ - Vontobel</t>
  </si>
  <si>
    <t>מדינת ההנפקה</t>
  </si>
  <si>
    <t>הערות</t>
  </si>
  <si>
    <t>NESN.S</t>
  </si>
  <si>
    <t>ROG.S</t>
  </si>
  <si>
    <t>NOVN.S</t>
  </si>
  <si>
    <t>ZURN.S</t>
  </si>
  <si>
    <t>HOLN.S</t>
  </si>
  <si>
    <t>CH0013841017</t>
  </si>
  <si>
    <t>GIVN.S</t>
  </si>
  <si>
    <t>SLHN.S</t>
  </si>
  <si>
    <t>PGHN.S</t>
  </si>
  <si>
    <t>GEBN.S</t>
  </si>
  <si>
    <t>CH1101098163</t>
  </si>
  <si>
    <t>LOGN.S</t>
  </si>
  <si>
    <t>STMN.S</t>
  </si>
  <si>
    <t>FHZN.S</t>
  </si>
  <si>
    <t>CH1169151003</t>
  </si>
  <si>
    <t>VACN.S</t>
  </si>
  <si>
    <t>CH0435377954</t>
  </si>
  <si>
    <t>KNIN.S</t>
  </si>
  <si>
    <t>GALE.S</t>
  </si>
  <si>
    <t>CH0016440353</t>
  </si>
  <si>
    <t>CH0100837282</t>
  </si>
  <si>
    <t>BUCN.S</t>
  </si>
  <si>
    <t>CH0012100191</t>
  </si>
  <si>
    <t>CH0239229302</t>
  </si>
  <si>
    <t>ALSN.S</t>
  </si>
  <si>
    <t>INRN.S</t>
  </si>
  <si>
    <t>CH0030380734</t>
  </si>
  <si>
    <t>CH0360826991</t>
  </si>
  <si>
    <t>FORN.S</t>
  </si>
  <si>
    <t>DAE.S</t>
  </si>
  <si>
    <t>KOMN.S</t>
  </si>
  <si>
    <t>BCHN.S</t>
  </si>
  <si>
    <t>מניות</t>
  </si>
  <si>
    <t>מטבע פיזי</t>
  </si>
  <si>
    <t>סכום השקעה (₪)</t>
  </si>
  <si>
    <t>שוויץ</t>
  </si>
  <si>
    <t>אין חשיפה</t>
  </si>
  <si>
    <t>לנייר יש מס' ISIN שוויצרי</t>
  </si>
  <si>
    <t>קרנות השקעה</t>
  </si>
  <si>
    <t>קרן השקעות</t>
  </si>
  <si>
    <t>Liquidity Capital II</t>
  </si>
  <si>
    <t>Pollen Street Credit Fund III</t>
  </si>
  <si>
    <t>Viola Credit ALF-III</t>
  </si>
  <si>
    <t>Impact Debt FoF</t>
  </si>
  <si>
    <t>קרן המגן</t>
  </si>
  <si>
    <t>Stardom Ventures</t>
  </si>
  <si>
    <t>Coller Capital VIII</t>
  </si>
  <si>
    <t>ISF-III</t>
  </si>
  <si>
    <t>Electra USA II</t>
  </si>
  <si>
    <t>קיימת חשיפה</t>
  </si>
  <si>
    <t>מקבלים K1 שנתי מהקרן</t>
  </si>
  <si>
    <t>השקעה בישראל</t>
  </si>
  <si>
    <t>ישראל</t>
  </si>
  <si>
    <t>ארה"ב</t>
  </si>
  <si>
    <t>קרן חוב קיימנית</t>
  </si>
  <si>
    <t>קרן חוב ישראלית</t>
  </si>
  <si>
    <t>איי קיימן</t>
  </si>
  <si>
    <t>קרן קיימנית, לא מתקבל K1</t>
  </si>
  <si>
    <t>קרן ישראלית</t>
  </si>
  <si>
    <t>עסקאות נדל"ן</t>
  </si>
  <si>
    <t>FRG-X Faropoint</t>
  </si>
  <si>
    <t>Serviced Apartments Vienna</t>
  </si>
  <si>
    <t>Electra BTR 1</t>
  </si>
  <si>
    <t>בית מרס</t>
  </si>
  <si>
    <t>דיור מוגן אטלנטה בוליגו</t>
  </si>
  <si>
    <t>דיור מוגן אטלנטה בוליגו 2</t>
  </si>
  <si>
    <t>Multifamily פילדלפיה - גלפנד</t>
  </si>
  <si>
    <t>נץ ניו הייבן מגורים</t>
  </si>
  <si>
    <t>גלפנד - Gatewater Landing</t>
  </si>
  <si>
    <t>הארטפורד קונטיקט התחדשות עירונית</t>
  </si>
  <si>
    <t>Caliber</t>
  </si>
  <si>
    <t>ריאלטי גרמניה</t>
  </si>
  <si>
    <t>עסקת נדל"ן</t>
  </si>
  <si>
    <t>אוסטריה</t>
  </si>
  <si>
    <t>השקעה בוינה</t>
  </si>
  <si>
    <t>גרמניה</t>
  </si>
  <si>
    <t>השקעה בגרמניה</t>
  </si>
  <si>
    <t>יתקבל K1 שנתי מהקרן</t>
  </si>
  <si>
    <t>סה"כ סכום חשיפה למס עיזבון (₪)</t>
  </si>
  <si>
    <t>סה"כ סכום חשיפה למס עיזבון (USD)</t>
  </si>
  <si>
    <t>מטבע</t>
  </si>
  <si>
    <t>CHF</t>
  </si>
  <si>
    <t>USD</t>
  </si>
  <si>
    <t>שערי מטבעות</t>
  </si>
  <si>
    <t>EUR</t>
  </si>
  <si>
    <t>ILS</t>
  </si>
  <si>
    <t>סכום השקעה במטבע</t>
  </si>
  <si>
    <t>סה"כ - עסקאות נדל"ן</t>
  </si>
  <si>
    <t>חשיפה למס עיזבון - תיק Vontobel</t>
  </si>
  <si>
    <t>תיק מנוהל IBI (צביקה שלזינגר)</t>
  </si>
  <si>
    <t>תיק מנוהל ילין לפידות (יהונתן נשיא)</t>
  </si>
  <si>
    <t>תיק מנוהל</t>
  </si>
  <si>
    <t>-</t>
  </si>
  <si>
    <t>חשיפה למס עיזבון - כ-950K$</t>
  </si>
  <si>
    <t>חשיפה למס עיזבון - כ-500K$</t>
  </si>
  <si>
    <t>סה"כ שווי - קרנות השקעה</t>
  </si>
  <si>
    <t>סה"כ שווי - תיק Vontobel</t>
  </si>
  <si>
    <t>חשיפה למס עיזבון - קרנות השקעה</t>
  </si>
  <si>
    <t>חשיפה למס עיזבון - עסקאות נדל"ן</t>
  </si>
  <si>
    <t>כולל סכום חשיפה למס עיזבון בתיקים מנוהלים ב-IBI וילין לפידות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</si>
</sst>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readingOrder="2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2" fillId="0" borderId="1" xfId="0" applyFont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0" fillId="0" borderId="0" xfId="0" applyBorder="1"/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wrapText="1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3" fontId="2" fillId="2" borderId="6" xfId="0" applyNumberFormat="1" applyFont="1" applyFill="1" applyBorder="1" applyAlignment="1">
      <alignment horizontal="right" vertical="center"/>
    </xf>
    <xf numFmtId="3" fontId="2" fillId="2" borderId="7" xfId="0" applyNumberFormat="1" applyFont="1" applyFill="1" applyBorder="1" applyAlignment="1">
      <alignment horizontal="right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76"/>
  <sheetViews>
    <sheetView rightToLeft="1" tabSelected="1" topLeftCell="A58" workbookViewId="0">
      <selection activeCell="E83" sqref="E83"/>
    </sheetView>
  </sheetViews>
  <sheetFormatPr defaultRowHeight="15" x14ac:dyDescent="0.25"/>
  <cols>
    <col min="1" max="1" width="4.28515625" customWidth="1"/>
    <col min="2" max="2" width="28.85546875" customWidth="1"/>
    <col min="3" max="3" width="11.28515625" customWidth="1"/>
    <col min="4" max="4" width="15.7109375" customWidth="1"/>
    <col min="5" max="5" width="17.7109375" customWidth="1"/>
    <col min="6" max="6" width="6.5703125" customWidth="1"/>
    <col min="7" max="7" width="11.5703125" customWidth="1"/>
    <col min="8" max="8" width="13.7109375" bestFit="1" customWidth="1"/>
    <col min="9" max="9" width="26" customWidth="1"/>
    <col min="10" max="10" width="3.42578125" customWidth="1"/>
    <col min="11" max="11" width="29.7109375" customWidth="1"/>
    <col min="12" max="12" width="16.140625" customWidth="1"/>
    <col min="13" max="13" width="11" customWidth="1"/>
    <col min="14" max="14" width="17.42578125" customWidth="1"/>
  </cols>
  <sheetData>
    <row r="2" spans="2:9" x14ac:dyDescent="0.25">
      <c r="B2" s="8" t="s">
        <v>0</v>
      </c>
      <c r="C2" s="9"/>
      <c r="D2" s="10"/>
      <c r="E2" s="10"/>
      <c r="F2" s="10"/>
      <c r="G2" s="10"/>
      <c r="H2" s="10"/>
      <c r="I2" s="11"/>
    </row>
    <row r="3" spans="2:9" x14ac:dyDescent="0.25">
      <c r="B3" s="25" t="s">
        <v>90</v>
      </c>
      <c r="C3" s="12" t="s">
        <v>89</v>
      </c>
      <c r="D3" s="2">
        <v>3.67</v>
      </c>
      <c r="E3" s="23"/>
      <c r="F3" s="23"/>
      <c r="G3" s="23"/>
      <c r="H3" s="23"/>
      <c r="I3" s="24"/>
    </row>
    <row r="4" spans="2:9" x14ac:dyDescent="0.25">
      <c r="B4" s="26"/>
      <c r="C4" s="12" t="s">
        <v>88</v>
      </c>
      <c r="D4" s="2">
        <v>4.07</v>
      </c>
      <c r="E4" s="23"/>
      <c r="F4" s="23"/>
      <c r="G4" s="23"/>
      <c r="H4" s="23"/>
      <c r="I4" s="24"/>
    </row>
    <row r="5" spans="2:9" x14ac:dyDescent="0.25">
      <c r="B5" s="27"/>
      <c r="C5" s="12" t="s">
        <v>91</v>
      </c>
      <c r="D5" s="2">
        <v>3.81</v>
      </c>
      <c r="E5" s="23"/>
      <c r="F5" s="23"/>
      <c r="G5" s="23"/>
      <c r="H5" s="23"/>
      <c r="I5" s="24"/>
    </row>
    <row r="6" spans="2:9" x14ac:dyDescent="0.25">
      <c r="B6" s="1" t="s">
        <v>1</v>
      </c>
      <c r="C6" s="1" t="s">
        <v>2</v>
      </c>
      <c r="D6" s="1" t="s">
        <v>41</v>
      </c>
      <c r="E6" s="1" t="s">
        <v>93</v>
      </c>
      <c r="F6" s="1" t="s">
        <v>87</v>
      </c>
      <c r="G6" s="1" t="s">
        <v>5</v>
      </c>
      <c r="H6" s="1" t="s">
        <v>3</v>
      </c>
      <c r="I6" s="1" t="s">
        <v>6</v>
      </c>
    </row>
    <row r="7" spans="2:9" x14ac:dyDescent="0.25">
      <c r="B7" s="2" t="s">
        <v>96</v>
      </c>
      <c r="C7" s="2" t="s">
        <v>98</v>
      </c>
      <c r="D7" s="4">
        <v>16802810</v>
      </c>
      <c r="E7" s="4">
        <v>4604771</v>
      </c>
      <c r="F7" s="2" t="s">
        <v>89</v>
      </c>
      <c r="G7" s="1" t="s">
        <v>99</v>
      </c>
      <c r="H7" s="5" t="s">
        <v>56</v>
      </c>
      <c r="I7" s="5" t="s">
        <v>100</v>
      </c>
    </row>
    <row r="8" spans="2:9" x14ac:dyDescent="0.25">
      <c r="B8" s="2" t="s">
        <v>97</v>
      </c>
      <c r="C8" s="2" t="s">
        <v>98</v>
      </c>
      <c r="D8" s="4">
        <v>12158863</v>
      </c>
      <c r="E8" s="4">
        <v>3332108</v>
      </c>
      <c r="F8" s="2" t="s">
        <v>89</v>
      </c>
      <c r="G8" s="1" t="s">
        <v>99</v>
      </c>
      <c r="H8" s="5" t="s">
        <v>56</v>
      </c>
      <c r="I8" s="5" t="s">
        <v>101</v>
      </c>
    </row>
    <row r="9" spans="2:9" x14ac:dyDescent="0.25">
      <c r="B9" s="34" t="s">
        <v>4</v>
      </c>
      <c r="C9" s="34"/>
      <c r="D9" s="34"/>
      <c r="E9" s="34"/>
      <c r="F9" s="34"/>
      <c r="G9" s="34"/>
      <c r="H9" s="34"/>
      <c r="I9" s="34"/>
    </row>
    <row r="10" spans="2:9" x14ac:dyDescent="0.25">
      <c r="B10" s="2" t="s">
        <v>7</v>
      </c>
      <c r="C10" s="3" t="s">
        <v>39</v>
      </c>
      <c r="D10" s="4">
        <v>574499</v>
      </c>
      <c r="E10" s="4">
        <f>D10/$D$4</f>
        <v>141154.54545454544</v>
      </c>
      <c r="F10" s="4" t="s">
        <v>88</v>
      </c>
      <c r="G10" s="2" t="s">
        <v>42</v>
      </c>
      <c r="H10" s="2" t="s">
        <v>43</v>
      </c>
      <c r="I10" s="2" t="s">
        <v>44</v>
      </c>
    </row>
    <row r="11" spans="2:9" x14ac:dyDescent="0.25">
      <c r="B11" s="2" t="s">
        <v>8</v>
      </c>
      <c r="C11" s="3" t="s">
        <v>39</v>
      </c>
      <c r="D11" s="4">
        <v>506768</v>
      </c>
      <c r="E11" s="4">
        <f t="shared" ref="E11:E42" si="0">D11/$D$4</f>
        <v>124513.0221130221</v>
      </c>
      <c r="F11" s="4" t="s">
        <v>88</v>
      </c>
      <c r="G11" s="2" t="s">
        <v>42</v>
      </c>
      <c r="H11" s="2" t="s">
        <v>43</v>
      </c>
      <c r="I11" s="2" t="s">
        <v>44</v>
      </c>
    </row>
    <row r="12" spans="2:9" x14ac:dyDescent="0.25">
      <c r="B12" s="2" t="s">
        <v>9</v>
      </c>
      <c r="C12" s="3" t="s">
        <v>39</v>
      </c>
      <c r="D12" s="4">
        <v>388045</v>
      </c>
      <c r="E12" s="4">
        <f t="shared" si="0"/>
        <v>95342.751842751837</v>
      </c>
      <c r="F12" s="4" t="s">
        <v>88</v>
      </c>
      <c r="G12" s="2" t="s">
        <v>42</v>
      </c>
      <c r="H12" s="2" t="s">
        <v>43</v>
      </c>
      <c r="I12" s="2" t="s">
        <v>44</v>
      </c>
    </row>
    <row r="13" spans="2:9" x14ac:dyDescent="0.25">
      <c r="B13" s="2" t="s">
        <v>10</v>
      </c>
      <c r="C13" s="3" t="s">
        <v>39</v>
      </c>
      <c r="D13" s="4">
        <v>351062</v>
      </c>
      <c r="E13" s="4">
        <f t="shared" si="0"/>
        <v>86256.019656019649</v>
      </c>
      <c r="F13" s="4" t="s">
        <v>88</v>
      </c>
      <c r="G13" s="2" t="s">
        <v>42</v>
      </c>
      <c r="H13" s="2" t="s">
        <v>43</v>
      </c>
      <c r="I13" s="2" t="s">
        <v>44</v>
      </c>
    </row>
    <row r="14" spans="2:9" x14ac:dyDescent="0.25">
      <c r="B14" s="2" t="s">
        <v>11</v>
      </c>
      <c r="C14" s="3" t="s">
        <v>39</v>
      </c>
      <c r="D14" s="4">
        <v>334708</v>
      </c>
      <c r="E14" s="4">
        <f t="shared" si="0"/>
        <v>82237.837837837826</v>
      </c>
      <c r="F14" s="4" t="s">
        <v>88</v>
      </c>
      <c r="G14" s="2" t="s">
        <v>42</v>
      </c>
      <c r="H14" s="2" t="s">
        <v>43</v>
      </c>
      <c r="I14" s="2" t="s">
        <v>44</v>
      </c>
    </row>
    <row r="15" spans="2:9" x14ac:dyDescent="0.25">
      <c r="B15" s="2" t="s">
        <v>12</v>
      </c>
      <c r="C15" s="3" t="s">
        <v>39</v>
      </c>
      <c r="D15" s="4">
        <v>266421</v>
      </c>
      <c r="E15" s="4">
        <f t="shared" si="0"/>
        <v>65459.705159705154</v>
      </c>
      <c r="F15" s="4" t="s">
        <v>88</v>
      </c>
      <c r="G15" s="2" t="s">
        <v>42</v>
      </c>
      <c r="H15" s="2" t="s">
        <v>43</v>
      </c>
      <c r="I15" s="2" t="s">
        <v>44</v>
      </c>
    </row>
    <row r="16" spans="2:9" x14ac:dyDescent="0.25">
      <c r="B16" s="2" t="s">
        <v>13</v>
      </c>
      <c r="C16" s="3" t="s">
        <v>39</v>
      </c>
      <c r="D16" s="4">
        <v>240950</v>
      </c>
      <c r="E16" s="4">
        <f t="shared" si="0"/>
        <v>59201.474201474201</v>
      </c>
      <c r="F16" s="4" t="s">
        <v>88</v>
      </c>
      <c r="G16" s="2" t="s">
        <v>42</v>
      </c>
      <c r="H16" s="2" t="s">
        <v>43</v>
      </c>
      <c r="I16" s="2" t="s">
        <v>44</v>
      </c>
    </row>
    <row r="17" spans="2:9" x14ac:dyDescent="0.25">
      <c r="B17" s="2">
        <v>330000099</v>
      </c>
      <c r="C17" s="3" t="s">
        <v>40</v>
      </c>
      <c r="D17" s="4">
        <v>238224</v>
      </c>
      <c r="E17" s="4">
        <f t="shared" si="0"/>
        <v>58531.69533169533</v>
      </c>
      <c r="F17" s="4" t="s">
        <v>88</v>
      </c>
      <c r="G17" s="2" t="s">
        <v>42</v>
      </c>
      <c r="H17" s="2" t="s">
        <v>43</v>
      </c>
      <c r="I17" s="2" t="s">
        <v>44</v>
      </c>
    </row>
    <row r="18" spans="2:9" x14ac:dyDescent="0.25">
      <c r="B18" s="2" t="s">
        <v>14</v>
      </c>
      <c r="C18" s="3" t="s">
        <v>39</v>
      </c>
      <c r="D18" s="4">
        <v>230817</v>
      </c>
      <c r="E18" s="4">
        <f t="shared" si="0"/>
        <v>56711.793611793604</v>
      </c>
      <c r="F18" s="4" t="s">
        <v>88</v>
      </c>
      <c r="G18" s="2" t="s">
        <v>42</v>
      </c>
      <c r="H18" s="2" t="s">
        <v>43</v>
      </c>
      <c r="I18" s="2" t="s">
        <v>44</v>
      </c>
    </row>
    <row r="19" spans="2:9" x14ac:dyDescent="0.25">
      <c r="B19" s="2" t="s">
        <v>15</v>
      </c>
      <c r="C19" s="3" t="s">
        <v>39</v>
      </c>
      <c r="D19" s="4">
        <v>227717</v>
      </c>
      <c r="E19" s="4">
        <f t="shared" si="0"/>
        <v>55950.122850122847</v>
      </c>
      <c r="F19" s="4" t="s">
        <v>88</v>
      </c>
      <c r="G19" s="2" t="s">
        <v>42</v>
      </c>
      <c r="H19" s="2" t="s">
        <v>43</v>
      </c>
      <c r="I19" s="2" t="s">
        <v>44</v>
      </c>
    </row>
    <row r="20" spans="2:9" x14ac:dyDescent="0.25">
      <c r="B20" s="2" t="s">
        <v>16</v>
      </c>
      <c r="C20" s="3" t="s">
        <v>39</v>
      </c>
      <c r="D20" s="4">
        <v>201731</v>
      </c>
      <c r="E20" s="4">
        <f t="shared" si="0"/>
        <v>49565.356265356262</v>
      </c>
      <c r="F20" s="4" t="s">
        <v>88</v>
      </c>
      <c r="G20" s="2" t="s">
        <v>42</v>
      </c>
      <c r="H20" s="2" t="s">
        <v>43</v>
      </c>
      <c r="I20" s="2" t="s">
        <v>44</v>
      </c>
    </row>
    <row r="21" spans="2:9" x14ac:dyDescent="0.25">
      <c r="B21" s="2" t="s">
        <v>17</v>
      </c>
      <c r="C21" s="3" t="s">
        <v>39</v>
      </c>
      <c r="D21" s="4">
        <v>185422</v>
      </c>
      <c r="E21" s="4">
        <f t="shared" si="0"/>
        <v>45558.230958230954</v>
      </c>
      <c r="F21" s="4" t="s">
        <v>88</v>
      </c>
      <c r="G21" s="2" t="s">
        <v>42</v>
      </c>
      <c r="H21" s="2" t="s">
        <v>43</v>
      </c>
      <c r="I21" s="2" t="s">
        <v>44</v>
      </c>
    </row>
    <row r="22" spans="2:9" x14ac:dyDescent="0.25">
      <c r="B22" s="2" t="s">
        <v>18</v>
      </c>
      <c r="C22" s="3" t="s">
        <v>39</v>
      </c>
      <c r="D22" s="4">
        <v>162902</v>
      </c>
      <c r="E22" s="4">
        <f t="shared" si="0"/>
        <v>40025.061425061424</v>
      </c>
      <c r="F22" s="4" t="s">
        <v>88</v>
      </c>
      <c r="G22" s="2" t="s">
        <v>42</v>
      </c>
      <c r="H22" s="2" t="s">
        <v>43</v>
      </c>
      <c r="I22" s="2" t="s">
        <v>44</v>
      </c>
    </row>
    <row r="23" spans="2:9" x14ac:dyDescent="0.25">
      <c r="B23" s="2" t="s">
        <v>19</v>
      </c>
      <c r="C23" s="3" t="s">
        <v>39</v>
      </c>
      <c r="D23" s="4">
        <v>158798</v>
      </c>
      <c r="E23" s="4">
        <f t="shared" si="0"/>
        <v>39016.707616707616</v>
      </c>
      <c r="F23" s="4" t="s">
        <v>88</v>
      </c>
      <c r="G23" s="2" t="s">
        <v>42</v>
      </c>
      <c r="H23" s="2" t="s">
        <v>43</v>
      </c>
      <c r="I23" s="2" t="s">
        <v>44</v>
      </c>
    </row>
    <row r="24" spans="2:9" x14ac:dyDescent="0.25">
      <c r="B24" s="2" t="s">
        <v>20</v>
      </c>
      <c r="C24" s="3" t="s">
        <v>39</v>
      </c>
      <c r="D24" s="4">
        <v>158147</v>
      </c>
      <c r="E24" s="4">
        <f t="shared" si="0"/>
        <v>38856.756756756753</v>
      </c>
      <c r="F24" s="4" t="s">
        <v>88</v>
      </c>
      <c r="G24" s="2" t="s">
        <v>42</v>
      </c>
      <c r="H24" s="2" t="s">
        <v>43</v>
      </c>
      <c r="I24" s="2" t="s">
        <v>44</v>
      </c>
    </row>
    <row r="25" spans="2:9" x14ac:dyDescent="0.25">
      <c r="B25" s="2" t="s">
        <v>21</v>
      </c>
      <c r="C25" s="3" t="s">
        <v>39</v>
      </c>
      <c r="D25" s="4">
        <v>151452</v>
      </c>
      <c r="E25" s="4">
        <f t="shared" si="0"/>
        <v>37211.793611793611</v>
      </c>
      <c r="F25" s="4" t="s">
        <v>88</v>
      </c>
      <c r="G25" s="2" t="s">
        <v>42</v>
      </c>
      <c r="H25" s="2" t="s">
        <v>43</v>
      </c>
      <c r="I25" s="2" t="s">
        <v>44</v>
      </c>
    </row>
    <row r="26" spans="2:9" x14ac:dyDescent="0.25">
      <c r="B26" s="2" t="s">
        <v>22</v>
      </c>
      <c r="C26" s="3" t="s">
        <v>39</v>
      </c>
      <c r="D26" s="4">
        <v>147765</v>
      </c>
      <c r="E26" s="4">
        <f t="shared" si="0"/>
        <v>36305.896805896802</v>
      </c>
      <c r="F26" s="4" t="s">
        <v>88</v>
      </c>
      <c r="G26" s="2" t="s">
        <v>42</v>
      </c>
      <c r="H26" s="2" t="s">
        <v>43</v>
      </c>
      <c r="I26" s="2" t="s">
        <v>44</v>
      </c>
    </row>
    <row r="27" spans="2:9" x14ac:dyDescent="0.25">
      <c r="B27" s="2" t="s">
        <v>23</v>
      </c>
      <c r="C27" s="3" t="s">
        <v>39</v>
      </c>
      <c r="D27" s="4">
        <v>143052</v>
      </c>
      <c r="E27" s="4">
        <f t="shared" si="0"/>
        <v>35147.911547911543</v>
      </c>
      <c r="F27" s="4" t="s">
        <v>88</v>
      </c>
      <c r="G27" s="2" t="s">
        <v>42</v>
      </c>
      <c r="H27" s="2" t="s">
        <v>43</v>
      </c>
      <c r="I27" s="2" t="s">
        <v>44</v>
      </c>
    </row>
    <row r="28" spans="2:9" x14ac:dyDescent="0.25">
      <c r="B28" s="2" t="s">
        <v>24</v>
      </c>
      <c r="C28" s="3" t="s">
        <v>39</v>
      </c>
      <c r="D28" s="4">
        <v>135777</v>
      </c>
      <c r="E28" s="4">
        <f t="shared" si="0"/>
        <v>33360.442260442258</v>
      </c>
      <c r="F28" s="4" t="s">
        <v>88</v>
      </c>
      <c r="G28" s="2" t="s">
        <v>42</v>
      </c>
      <c r="H28" s="2" t="s">
        <v>43</v>
      </c>
      <c r="I28" s="2" t="s">
        <v>44</v>
      </c>
    </row>
    <row r="29" spans="2:9" x14ac:dyDescent="0.25">
      <c r="B29" s="2" t="s">
        <v>25</v>
      </c>
      <c r="C29" s="3" t="s">
        <v>39</v>
      </c>
      <c r="D29" s="4">
        <v>129704</v>
      </c>
      <c r="E29" s="4">
        <f t="shared" si="0"/>
        <v>31868.304668304667</v>
      </c>
      <c r="F29" s="4" t="s">
        <v>88</v>
      </c>
      <c r="G29" s="2" t="s">
        <v>42</v>
      </c>
      <c r="H29" s="2" t="s">
        <v>43</v>
      </c>
      <c r="I29" s="2" t="s">
        <v>44</v>
      </c>
    </row>
    <row r="30" spans="2:9" x14ac:dyDescent="0.25">
      <c r="B30" s="2" t="s">
        <v>26</v>
      </c>
      <c r="C30" s="3" t="s">
        <v>39</v>
      </c>
      <c r="D30" s="4">
        <v>127790</v>
      </c>
      <c r="E30" s="4">
        <f t="shared" si="0"/>
        <v>31398.034398034397</v>
      </c>
      <c r="F30" s="4" t="s">
        <v>88</v>
      </c>
      <c r="G30" s="2" t="s">
        <v>42</v>
      </c>
      <c r="H30" s="2" t="s">
        <v>43</v>
      </c>
      <c r="I30" s="2" t="s">
        <v>44</v>
      </c>
    </row>
    <row r="31" spans="2:9" x14ac:dyDescent="0.25">
      <c r="B31" s="2" t="s">
        <v>27</v>
      </c>
      <c r="C31" s="3" t="s">
        <v>39</v>
      </c>
      <c r="D31" s="4">
        <v>102518</v>
      </c>
      <c r="E31" s="4">
        <f t="shared" si="0"/>
        <v>25188.697788697787</v>
      </c>
      <c r="F31" s="4" t="s">
        <v>88</v>
      </c>
      <c r="G31" s="2" t="s">
        <v>42</v>
      </c>
      <c r="H31" s="2" t="s">
        <v>43</v>
      </c>
      <c r="I31" s="2" t="s">
        <v>44</v>
      </c>
    </row>
    <row r="32" spans="2:9" x14ac:dyDescent="0.25">
      <c r="B32" s="2" t="s">
        <v>28</v>
      </c>
      <c r="C32" s="3" t="s">
        <v>39</v>
      </c>
      <c r="D32" s="4">
        <v>89674</v>
      </c>
      <c r="E32" s="4">
        <f t="shared" si="0"/>
        <v>22032.923832923832</v>
      </c>
      <c r="F32" s="4" t="s">
        <v>88</v>
      </c>
      <c r="G32" s="2" t="s">
        <v>42</v>
      </c>
      <c r="H32" s="2" t="s">
        <v>43</v>
      </c>
      <c r="I32" s="2" t="s">
        <v>44</v>
      </c>
    </row>
    <row r="33" spans="2:9" x14ac:dyDescent="0.25">
      <c r="B33" s="2" t="s">
        <v>29</v>
      </c>
      <c r="C33" s="3" t="s">
        <v>39</v>
      </c>
      <c r="D33" s="4">
        <v>89004</v>
      </c>
      <c r="E33" s="4">
        <f t="shared" si="0"/>
        <v>21868.304668304667</v>
      </c>
      <c r="F33" s="4" t="s">
        <v>88</v>
      </c>
      <c r="G33" s="2" t="s">
        <v>42</v>
      </c>
      <c r="H33" s="2" t="s">
        <v>43</v>
      </c>
      <c r="I33" s="2" t="s">
        <v>44</v>
      </c>
    </row>
    <row r="34" spans="2:9" x14ac:dyDescent="0.25">
      <c r="B34" s="2" t="s">
        <v>30</v>
      </c>
      <c r="C34" s="3" t="s">
        <v>39</v>
      </c>
      <c r="D34" s="4">
        <v>86067</v>
      </c>
      <c r="E34" s="4">
        <f t="shared" si="0"/>
        <v>21146.683046683047</v>
      </c>
      <c r="F34" s="4" t="s">
        <v>88</v>
      </c>
      <c r="G34" s="2" t="s">
        <v>42</v>
      </c>
      <c r="H34" s="2" t="s">
        <v>43</v>
      </c>
      <c r="I34" s="2" t="s">
        <v>44</v>
      </c>
    </row>
    <row r="35" spans="2:9" x14ac:dyDescent="0.25">
      <c r="B35" s="2" t="s">
        <v>31</v>
      </c>
      <c r="C35" s="3" t="s">
        <v>39</v>
      </c>
      <c r="D35" s="4">
        <v>76411</v>
      </c>
      <c r="E35" s="4">
        <f t="shared" si="0"/>
        <v>18774.201474201473</v>
      </c>
      <c r="F35" s="4" t="s">
        <v>88</v>
      </c>
      <c r="G35" s="2" t="s">
        <v>42</v>
      </c>
      <c r="H35" s="2" t="s">
        <v>43</v>
      </c>
      <c r="I35" s="2" t="s">
        <v>44</v>
      </c>
    </row>
    <row r="36" spans="2:9" x14ac:dyDescent="0.25">
      <c r="B36" s="2" t="s">
        <v>32</v>
      </c>
      <c r="C36" s="3" t="s">
        <v>39</v>
      </c>
      <c r="D36" s="4">
        <v>64302</v>
      </c>
      <c r="E36" s="4">
        <f t="shared" si="0"/>
        <v>15799.017199017198</v>
      </c>
      <c r="F36" s="4" t="s">
        <v>88</v>
      </c>
      <c r="G36" s="2" t="s">
        <v>42</v>
      </c>
      <c r="H36" s="2" t="s">
        <v>43</v>
      </c>
      <c r="I36" s="2" t="s">
        <v>44</v>
      </c>
    </row>
    <row r="37" spans="2:9" x14ac:dyDescent="0.25">
      <c r="B37" s="2" t="s">
        <v>33</v>
      </c>
      <c r="C37" s="3" t="s">
        <v>39</v>
      </c>
      <c r="D37" s="4">
        <v>61157</v>
      </c>
      <c r="E37" s="4">
        <f t="shared" si="0"/>
        <v>15026.289926289925</v>
      </c>
      <c r="F37" s="4" t="s">
        <v>88</v>
      </c>
      <c r="G37" s="2" t="s">
        <v>42</v>
      </c>
      <c r="H37" s="2" t="s">
        <v>43</v>
      </c>
      <c r="I37" s="2" t="s">
        <v>44</v>
      </c>
    </row>
    <row r="38" spans="2:9" x14ac:dyDescent="0.25">
      <c r="B38" s="2" t="s">
        <v>34</v>
      </c>
      <c r="C38" s="3" t="s">
        <v>39</v>
      </c>
      <c r="D38" s="4">
        <v>60667</v>
      </c>
      <c r="E38" s="4">
        <f t="shared" si="0"/>
        <v>14905.896805896806</v>
      </c>
      <c r="F38" s="4" t="s">
        <v>88</v>
      </c>
      <c r="G38" s="2" t="s">
        <v>42</v>
      </c>
      <c r="H38" s="2" t="s">
        <v>43</v>
      </c>
      <c r="I38" s="2" t="s">
        <v>44</v>
      </c>
    </row>
    <row r="39" spans="2:9" x14ac:dyDescent="0.25">
      <c r="B39" s="2" t="s">
        <v>35</v>
      </c>
      <c r="C39" s="3" t="s">
        <v>39</v>
      </c>
      <c r="D39" s="4">
        <v>48812</v>
      </c>
      <c r="E39" s="4">
        <f t="shared" si="0"/>
        <v>11993.120393120393</v>
      </c>
      <c r="F39" s="4" t="s">
        <v>88</v>
      </c>
      <c r="G39" s="2" t="s">
        <v>42</v>
      </c>
      <c r="H39" s="2" t="s">
        <v>43</v>
      </c>
      <c r="I39" s="2" t="s">
        <v>44</v>
      </c>
    </row>
    <row r="40" spans="2:9" x14ac:dyDescent="0.25">
      <c r="B40" s="2" t="s">
        <v>36</v>
      </c>
      <c r="C40" s="3" t="s">
        <v>39</v>
      </c>
      <c r="D40" s="4">
        <v>46953</v>
      </c>
      <c r="E40" s="4">
        <f t="shared" si="0"/>
        <v>11536.363636363636</v>
      </c>
      <c r="F40" s="4" t="s">
        <v>88</v>
      </c>
      <c r="G40" s="2" t="s">
        <v>42</v>
      </c>
      <c r="H40" s="2" t="s">
        <v>43</v>
      </c>
      <c r="I40" s="2" t="s">
        <v>44</v>
      </c>
    </row>
    <row r="41" spans="2:9" x14ac:dyDescent="0.25">
      <c r="B41" s="2" t="s">
        <v>37</v>
      </c>
      <c r="C41" s="3" t="s">
        <v>39</v>
      </c>
      <c r="D41" s="4">
        <v>41839</v>
      </c>
      <c r="E41" s="4">
        <f t="shared" si="0"/>
        <v>10279.852579852579</v>
      </c>
      <c r="F41" s="4" t="s">
        <v>88</v>
      </c>
      <c r="G41" s="2" t="s">
        <v>42</v>
      </c>
      <c r="H41" s="2" t="s">
        <v>43</v>
      </c>
      <c r="I41" s="2" t="s">
        <v>44</v>
      </c>
    </row>
    <row r="42" spans="2:9" x14ac:dyDescent="0.25">
      <c r="B42" s="2" t="s">
        <v>38</v>
      </c>
      <c r="C42" s="3" t="s">
        <v>39</v>
      </c>
      <c r="D42" s="4">
        <v>23681</v>
      </c>
      <c r="E42" s="4">
        <f t="shared" si="0"/>
        <v>5818.4275184275184</v>
      </c>
      <c r="F42" s="4" t="s">
        <v>88</v>
      </c>
      <c r="G42" s="2" t="s">
        <v>42</v>
      </c>
      <c r="H42" s="2" t="s">
        <v>43</v>
      </c>
      <c r="I42" s="2" t="s">
        <v>44</v>
      </c>
    </row>
    <row r="43" spans="2:9" x14ac:dyDescent="0.25">
      <c r="B43" s="28" t="s">
        <v>103</v>
      </c>
      <c r="C43" s="29"/>
      <c r="D43" s="30"/>
      <c r="E43" s="13">
        <f>SUM(E10:E42)</f>
        <v>1438043.2432432438</v>
      </c>
      <c r="F43" s="13" t="s">
        <v>88</v>
      </c>
      <c r="G43" s="31"/>
      <c r="H43" s="32"/>
      <c r="I43" s="33"/>
    </row>
    <row r="44" spans="2:9" x14ac:dyDescent="0.25">
      <c r="B44" s="14" t="s">
        <v>95</v>
      </c>
      <c r="C44" s="15"/>
      <c r="D44" s="16"/>
      <c r="E44" s="13">
        <v>0</v>
      </c>
      <c r="F44" s="13" t="s">
        <v>89</v>
      </c>
      <c r="G44" s="17"/>
      <c r="H44" s="18"/>
      <c r="I44" s="19"/>
    </row>
    <row r="45" spans="2:9" x14ac:dyDescent="0.25">
      <c r="B45" s="34" t="s">
        <v>45</v>
      </c>
      <c r="C45" s="34"/>
      <c r="D45" s="34"/>
      <c r="E45" s="34"/>
      <c r="F45" s="34"/>
      <c r="G45" s="34"/>
      <c r="H45" s="34"/>
      <c r="I45" s="34"/>
    </row>
    <row r="46" spans="2:9" x14ac:dyDescent="0.25">
      <c r="B46" s="2" t="s">
        <v>49</v>
      </c>
      <c r="C46" s="3" t="s">
        <v>46</v>
      </c>
      <c r="D46" s="4">
        <v>270135</v>
      </c>
      <c r="E46" s="4">
        <f>D46</f>
        <v>270135</v>
      </c>
      <c r="F46" s="4" t="s">
        <v>92</v>
      </c>
      <c r="G46" s="2" t="s">
        <v>63</v>
      </c>
      <c r="H46" s="2" t="s">
        <v>43</v>
      </c>
      <c r="I46" s="2" t="s">
        <v>61</v>
      </c>
    </row>
    <row r="47" spans="2:9" x14ac:dyDescent="0.25">
      <c r="B47" s="2" t="s">
        <v>47</v>
      </c>
      <c r="C47" s="3" t="s">
        <v>46</v>
      </c>
      <c r="D47" s="4">
        <v>681863</v>
      </c>
      <c r="E47" s="4">
        <f>D47/$D$3</f>
        <v>185793.73297002725</v>
      </c>
      <c r="F47" s="4" t="s">
        <v>89</v>
      </c>
      <c r="G47" s="2" t="s">
        <v>63</v>
      </c>
      <c r="H47" s="2" t="s">
        <v>43</v>
      </c>
      <c r="I47" s="2" t="s">
        <v>64</v>
      </c>
    </row>
    <row r="48" spans="2:9" x14ac:dyDescent="0.25">
      <c r="B48" s="2" t="s">
        <v>48</v>
      </c>
      <c r="C48" s="3" t="s">
        <v>46</v>
      </c>
      <c r="D48" s="4">
        <v>1839778</v>
      </c>
      <c r="E48" s="4">
        <f>D48/$D$3</f>
        <v>501301.90735694824</v>
      </c>
      <c r="F48" s="4" t="s">
        <v>89</v>
      </c>
      <c r="G48" s="2" t="s">
        <v>63</v>
      </c>
      <c r="H48" s="2" t="s">
        <v>43</v>
      </c>
      <c r="I48" s="2" t="s">
        <v>61</v>
      </c>
    </row>
    <row r="49" spans="2:9" x14ac:dyDescent="0.25">
      <c r="B49" s="2" t="s">
        <v>50</v>
      </c>
      <c r="C49" s="3" t="s">
        <v>46</v>
      </c>
      <c r="D49" s="4">
        <v>3749234</v>
      </c>
      <c r="E49" s="4">
        <f t="shared" ref="E49:E54" si="1">D49/$D$3</f>
        <v>1021589.6457765668</v>
      </c>
      <c r="F49" s="4" t="s">
        <v>89</v>
      </c>
      <c r="G49" s="2" t="s">
        <v>59</v>
      </c>
      <c r="H49" s="2" t="s">
        <v>43</v>
      </c>
      <c r="I49" s="2" t="s">
        <v>62</v>
      </c>
    </row>
    <row r="50" spans="2:9" x14ac:dyDescent="0.25">
      <c r="B50" s="2" t="s">
        <v>51</v>
      </c>
      <c r="C50" s="3" t="s">
        <v>46</v>
      </c>
      <c r="D50" s="4">
        <v>3877056</v>
      </c>
      <c r="E50" s="4">
        <f t="shared" si="1"/>
        <v>1056418.5286103543</v>
      </c>
      <c r="F50" s="4" t="s">
        <v>89</v>
      </c>
      <c r="G50" s="2" t="s">
        <v>63</v>
      </c>
      <c r="H50" s="2" t="s">
        <v>43</v>
      </c>
      <c r="I50" s="2" t="s">
        <v>61</v>
      </c>
    </row>
    <row r="51" spans="2:9" x14ac:dyDescent="0.25">
      <c r="B51" s="2" t="s">
        <v>52</v>
      </c>
      <c r="C51" s="3" t="s">
        <v>46</v>
      </c>
      <c r="D51" s="4">
        <v>719400</v>
      </c>
      <c r="E51" s="4">
        <f t="shared" si="1"/>
        <v>196021.79836512261</v>
      </c>
      <c r="F51" s="4" t="s">
        <v>89</v>
      </c>
      <c r="G51" s="2" t="s">
        <v>59</v>
      </c>
      <c r="H51" s="2" t="s">
        <v>43</v>
      </c>
      <c r="I51" s="2" t="s">
        <v>65</v>
      </c>
    </row>
    <row r="52" spans="2:9" x14ac:dyDescent="0.25">
      <c r="B52" s="2" t="s">
        <v>53</v>
      </c>
      <c r="C52" s="3" t="s">
        <v>46</v>
      </c>
      <c r="D52" s="4">
        <v>6182630</v>
      </c>
      <c r="E52" s="4">
        <f t="shared" si="1"/>
        <v>1684640.3269754769</v>
      </c>
      <c r="F52" s="4" t="s">
        <v>89</v>
      </c>
      <c r="G52" s="2" t="s">
        <v>63</v>
      </c>
      <c r="H52" s="2" t="s">
        <v>43</v>
      </c>
      <c r="I52" s="2" t="s">
        <v>64</v>
      </c>
    </row>
    <row r="53" spans="2:9" x14ac:dyDescent="0.25">
      <c r="B53" s="2" t="s">
        <v>54</v>
      </c>
      <c r="C53" s="3" t="s">
        <v>46</v>
      </c>
      <c r="D53" s="4">
        <v>315007</v>
      </c>
      <c r="E53" s="4">
        <f t="shared" si="1"/>
        <v>85832.970027247953</v>
      </c>
      <c r="F53" s="4" t="s">
        <v>89</v>
      </c>
      <c r="G53" s="2" t="s">
        <v>59</v>
      </c>
      <c r="H53" s="2" t="s">
        <v>43</v>
      </c>
      <c r="I53" s="2" t="s">
        <v>58</v>
      </c>
    </row>
    <row r="54" spans="2:9" x14ac:dyDescent="0.25">
      <c r="B54" s="2" t="s">
        <v>55</v>
      </c>
      <c r="C54" s="3" t="s">
        <v>46</v>
      </c>
      <c r="D54" s="4">
        <v>1820259</v>
      </c>
      <c r="E54" s="4">
        <f t="shared" si="1"/>
        <v>495983.37874659401</v>
      </c>
      <c r="F54" s="4" t="s">
        <v>89</v>
      </c>
      <c r="G54" s="5" t="s">
        <v>60</v>
      </c>
      <c r="H54" s="5" t="s">
        <v>56</v>
      </c>
      <c r="I54" s="2" t="s">
        <v>57</v>
      </c>
    </row>
    <row r="55" spans="2:9" x14ac:dyDescent="0.25">
      <c r="B55" s="35" t="s">
        <v>102</v>
      </c>
      <c r="C55" s="36"/>
      <c r="D55" s="37"/>
      <c r="E55" s="13">
        <f>SUM(E47:E54)</f>
        <v>5227582.2888283394</v>
      </c>
      <c r="F55" s="13" t="s">
        <v>89</v>
      </c>
      <c r="G55" s="31"/>
      <c r="H55" s="32"/>
      <c r="I55" s="33"/>
    </row>
    <row r="56" spans="2:9" x14ac:dyDescent="0.25">
      <c r="B56" s="38"/>
      <c r="C56" s="39"/>
      <c r="D56" s="40"/>
      <c r="E56" s="13">
        <f>E46</f>
        <v>270135</v>
      </c>
      <c r="F56" s="13" t="s">
        <v>92</v>
      </c>
      <c r="G56" s="17"/>
      <c r="H56" s="18"/>
      <c r="I56" s="19"/>
    </row>
    <row r="57" spans="2:9" x14ac:dyDescent="0.25">
      <c r="B57" s="20" t="s">
        <v>104</v>
      </c>
      <c r="C57" s="21"/>
      <c r="D57" s="22"/>
      <c r="E57" s="45">
        <f>E54</f>
        <v>495983.37874659401</v>
      </c>
      <c r="F57" s="45" t="s">
        <v>89</v>
      </c>
      <c r="G57" s="17"/>
      <c r="H57" s="18"/>
      <c r="I57" s="19"/>
    </row>
    <row r="58" spans="2:9" x14ac:dyDescent="0.25">
      <c r="B58" s="34" t="s">
        <v>66</v>
      </c>
      <c r="C58" s="34"/>
      <c r="D58" s="34"/>
      <c r="E58" s="34"/>
      <c r="F58" s="34"/>
      <c r="G58" s="34"/>
      <c r="H58" s="34"/>
      <c r="I58" s="34"/>
    </row>
    <row r="59" spans="2:9" x14ac:dyDescent="0.25">
      <c r="B59" s="2" t="s">
        <v>70</v>
      </c>
      <c r="C59" s="3" t="s">
        <v>79</v>
      </c>
      <c r="D59" s="4">
        <v>0</v>
      </c>
      <c r="E59" s="4">
        <f>D59</f>
        <v>0</v>
      </c>
      <c r="F59" s="4" t="s">
        <v>92</v>
      </c>
      <c r="G59" s="2" t="s">
        <v>59</v>
      </c>
      <c r="H59" s="2" t="s">
        <v>43</v>
      </c>
      <c r="I59" s="2" t="s">
        <v>58</v>
      </c>
    </row>
    <row r="60" spans="2:9" x14ac:dyDescent="0.25">
      <c r="B60" s="2" t="s">
        <v>78</v>
      </c>
      <c r="C60" s="3" t="s">
        <v>79</v>
      </c>
      <c r="D60" s="4">
        <v>2222630</v>
      </c>
      <c r="E60" s="4">
        <f>D60/$D$5</f>
        <v>583367.45406824141</v>
      </c>
      <c r="F60" s="4" t="s">
        <v>91</v>
      </c>
      <c r="G60" s="2" t="s">
        <v>82</v>
      </c>
      <c r="H60" s="2" t="s">
        <v>43</v>
      </c>
      <c r="I60" s="2" t="s">
        <v>83</v>
      </c>
    </row>
    <row r="61" spans="2:9" x14ac:dyDescent="0.25">
      <c r="B61" s="2" t="s">
        <v>68</v>
      </c>
      <c r="C61" s="3" t="s">
        <v>79</v>
      </c>
      <c r="D61" s="4">
        <v>1495193</v>
      </c>
      <c r="E61" s="4">
        <f>D61/$D$5</f>
        <v>392439.10761154856</v>
      </c>
      <c r="F61" s="4" t="s">
        <v>91</v>
      </c>
      <c r="G61" s="2" t="s">
        <v>80</v>
      </c>
      <c r="H61" s="2" t="s">
        <v>43</v>
      </c>
      <c r="I61" s="2" t="s">
        <v>81</v>
      </c>
    </row>
    <row r="62" spans="2:9" x14ac:dyDescent="0.25">
      <c r="B62" s="2" t="s">
        <v>67</v>
      </c>
      <c r="C62" s="3" t="s">
        <v>79</v>
      </c>
      <c r="D62" s="4">
        <v>2972515</v>
      </c>
      <c r="E62" s="4">
        <f t="shared" ref="E62" si="2">D62/$D$3</f>
        <v>809949.59128065396</v>
      </c>
      <c r="F62" s="4" t="s">
        <v>89</v>
      </c>
      <c r="G62" s="5" t="s">
        <v>60</v>
      </c>
      <c r="H62" s="5" t="s">
        <v>56</v>
      </c>
      <c r="I62" s="2" t="s">
        <v>57</v>
      </c>
    </row>
    <row r="63" spans="2:9" x14ac:dyDescent="0.25">
      <c r="B63" s="2" t="s">
        <v>69</v>
      </c>
      <c r="C63" s="3" t="s">
        <v>79</v>
      </c>
      <c r="D63" s="4">
        <v>1824500</v>
      </c>
      <c r="E63" s="4">
        <f t="shared" ref="E63" si="3">D63/$D$3</f>
        <v>497138.9645776567</v>
      </c>
      <c r="F63" s="4" t="s">
        <v>89</v>
      </c>
      <c r="G63" s="5" t="s">
        <v>60</v>
      </c>
      <c r="H63" s="5" t="s">
        <v>56</v>
      </c>
      <c r="I63" s="2" t="s">
        <v>57</v>
      </c>
    </row>
    <row r="64" spans="2:9" x14ac:dyDescent="0.25">
      <c r="B64" s="2" t="s">
        <v>71</v>
      </c>
      <c r="C64" s="3" t="s">
        <v>79</v>
      </c>
      <c r="D64" s="4">
        <v>1697055</v>
      </c>
      <c r="E64" s="4">
        <f t="shared" ref="E64:E70" si="4">D64/$D$3</f>
        <v>462412.80653950956</v>
      </c>
      <c r="F64" s="4" t="s">
        <v>89</v>
      </c>
      <c r="G64" s="5" t="s">
        <v>60</v>
      </c>
      <c r="H64" s="5" t="s">
        <v>56</v>
      </c>
      <c r="I64" s="2" t="s">
        <v>57</v>
      </c>
    </row>
    <row r="65" spans="2:9" x14ac:dyDescent="0.25">
      <c r="B65" s="2" t="s">
        <v>72</v>
      </c>
      <c r="C65" s="3" t="s">
        <v>79</v>
      </c>
      <c r="D65" s="4">
        <v>1084723</v>
      </c>
      <c r="E65" s="4">
        <f t="shared" si="4"/>
        <v>295564.85013623978</v>
      </c>
      <c r="F65" s="4" t="s">
        <v>89</v>
      </c>
      <c r="G65" s="5" t="s">
        <v>60</v>
      </c>
      <c r="H65" s="5" t="s">
        <v>56</v>
      </c>
      <c r="I65" s="2" t="s">
        <v>57</v>
      </c>
    </row>
    <row r="66" spans="2:9" x14ac:dyDescent="0.25">
      <c r="B66" s="6" t="s">
        <v>73</v>
      </c>
      <c r="C66" s="3" t="s">
        <v>79</v>
      </c>
      <c r="D66" s="4">
        <v>1824500</v>
      </c>
      <c r="E66" s="4">
        <f t="shared" si="4"/>
        <v>497138.9645776567</v>
      </c>
      <c r="F66" s="4" t="s">
        <v>89</v>
      </c>
      <c r="G66" s="5" t="s">
        <v>60</v>
      </c>
      <c r="H66" s="5" t="s">
        <v>56</v>
      </c>
      <c r="I66" s="2" t="s">
        <v>57</v>
      </c>
    </row>
    <row r="67" spans="2:9" x14ac:dyDescent="0.25">
      <c r="B67" s="2" t="s">
        <v>74</v>
      </c>
      <c r="C67" s="3" t="s">
        <v>79</v>
      </c>
      <c r="D67" s="4">
        <v>700582</v>
      </c>
      <c r="E67" s="4">
        <f t="shared" si="4"/>
        <v>190894.27792915533</v>
      </c>
      <c r="F67" s="4" t="s">
        <v>89</v>
      </c>
      <c r="G67" s="5" t="s">
        <v>60</v>
      </c>
      <c r="H67" s="5" t="s">
        <v>56</v>
      </c>
      <c r="I67" s="2" t="s">
        <v>57</v>
      </c>
    </row>
    <row r="68" spans="2:9" x14ac:dyDescent="0.25">
      <c r="B68" s="2" t="s">
        <v>75</v>
      </c>
      <c r="C68" s="3" t="s">
        <v>79</v>
      </c>
      <c r="D68" s="4">
        <v>1824500</v>
      </c>
      <c r="E68" s="4">
        <f t="shared" si="4"/>
        <v>497138.9645776567</v>
      </c>
      <c r="F68" s="4" t="s">
        <v>89</v>
      </c>
      <c r="G68" s="5" t="s">
        <v>60</v>
      </c>
      <c r="H68" s="5" t="s">
        <v>56</v>
      </c>
      <c r="I68" s="2" t="s">
        <v>57</v>
      </c>
    </row>
    <row r="69" spans="2:9" x14ac:dyDescent="0.25">
      <c r="B69" s="2" t="s">
        <v>76</v>
      </c>
      <c r="C69" s="3" t="s">
        <v>79</v>
      </c>
      <c r="D69" s="4">
        <v>1733275</v>
      </c>
      <c r="E69" s="4">
        <f t="shared" si="4"/>
        <v>472282.01634877385</v>
      </c>
      <c r="F69" s="4" t="s">
        <v>89</v>
      </c>
      <c r="G69" s="5" t="s">
        <v>60</v>
      </c>
      <c r="H69" s="5" t="s">
        <v>56</v>
      </c>
      <c r="I69" s="2" t="s">
        <v>57</v>
      </c>
    </row>
    <row r="70" spans="2:9" x14ac:dyDescent="0.25">
      <c r="B70" s="2" t="s">
        <v>77</v>
      </c>
      <c r="C70" s="3" t="s">
        <v>79</v>
      </c>
      <c r="D70" s="4">
        <v>1824500</v>
      </c>
      <c r="E70" s="4">
        <f t="shared" si="4"/>
        <v>497138.9645776567</v>
      </c>
      <c r="F70" s="4" t="s">
        <v>89</v>
      </c>
      <c r="G70" s="5" t="s">
        <v>60</v>
      </c>
      <c r="H70" s="5" t="s">
        <v>56</v>
      </c>
      <c r="I70" s="2" t="s">
        <v>84</v>
      </c>
    </row>
    <row r="71" spans="2:9" x14ac:dyDescent="0.25">
      <c r="B71" s="41" t="s">
        <v>94</v>
      </c>
      <c r="C71" s="42"/>
      <c r="D71" s="42"/>
      <c r="E71" s="13">
        <f>SUM(E62:E70)</f>
        <v>4219659.4005449601</v>
      </c>
      <c r="F71" s="13" t="s">
        <v>89</v>
      </c>
      <c r="G71" s="31"/>
      <c r="H71" s="32"/>
      <c r="I71" s="33"/>
    </row>
    <row r="72" spans="2:9" x14ac:dyDescent="0.25">
      <c r="B72" s="43"/>
      <c r="C72" s="44"/>
      <c r="D72" s="44"/>
      <c r="E72" s="13">
        <f>SUM(E60:E61)</f>
        <v>975806.56167979003</v>
      </c>
      <c r="F72" s="13" t="s">
        <v>91</v>
      </c>
      <c r="G72" s="17"/>
      <c r="H72" s="18"/>
      <c r="I72" s="19"/>
    </row>
    <row r="73" spans="2:9" x14ac:dyDescent="0.25">
      <c r="B73" s="20" t="s">
        <v>105</v>
      </c>
      <c r="C73" s="21"/>
      <c r="D73" s="22"/>
      <c r="E73" s="45">
        <f>E70+E69+E68+E67+E66+E65+E64+E63+E62</f>
        <v>4219659.4005449591</v>
      </c>
      <c r="F73" s="45" t="s">
        <v>89</v>
      </c>
      <c r="G73" s="17"/>
      <c r="H73" s="18"/>
      <c r="I73" s="19"/>
    </row>
    <row r="74" spans="2:9" x14ac:dyDescent="0.25">
      <c r="B74" s="52"/>
      <c r="C74" s="53"/>
      <c r="D74" s="53"/>
      <c r="E74" s="53"/>
      <c r="F74" s="53"/>
      <c r="G74" s="53"/>
      <c r="H74" s="53"/>
      <c r="I74" s="54"/>
    </row>
    <row r="75" spans="2:9" x14ac:dyDescent="0.25">
      <c r="B75" s="7" t="s">
        <v>85</v>
      </c>
      <c r="C75" s="55">
        <f>C76*D3</f>
        <v>22627909</v>
      </c>
      <c r="D75" s="56"/>
      <c r="E75" s="46" t="s">
        <v>106</v>
      </c>
      <c r="F75" s="47"/>
      <c r="G75" s="47"/>
      <c r="H75" s="47"/>
      <c r="I75" s="48"/>
    </row>
    <row r="76" spans="2:9" x14ac:dyDescent="0.25">
      <c r="B76" s="7" t="s">
        <v>86</v>
      </c>
      <c r="C76" s="55">
        <f>E73+E57+950000+500000</f>
        <v>6165642.7792915534</v>
      </c>
      <c r="D76" s="56"/>
      <c r="E76" s="49"/>
      <c r="F76" s="50"/>
      <c r="G76" s="50"/>
      <c r="H76" s="50"/>
      <c r="I76" s="51"/>
    </row>
  </sheetData>
  <mergeCells count="14">
    <mergeCell ref="C75:D75"/>
    <mergeCell ref="B3:B5"/>
    <mergeCell ref="B43:D43"/>
    <mergeCell ref="G43:I43"/>
    <mergeCell ref="B58:I58"/>
    <mergeCell ref="B9:I9"/>
    <mergeCell ref="B45:I45"/>
    <mergeCell ref="G55:I55"/>
    <mergeCell ref="B55:D56"/>
    <mergeCell ref="G71:I71"/>
    <mergeCell ref="B71:D72"/>
    <mergeCell ref="E75:I76"/>
    <mergeCell ref="B74:I74"/>
    <mergeCell ref="C76:D76"/>
  </mergeCells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מרש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Bensal</dc:creator>
  <cp:lastModifiedBy>Yuval Bensal</cp:lastModifiedBy>
  <cp:lastPrinted>2024-12-24T09:19:21Z</cp:lastPrinted>
  <dcterms:created xsi:type="dcterms:W3CDTF">2015-06-05T18:17:20Z</dcterms:created>
  <dcterms:modified xsi:type="dcterms:W3CDTF">2024-12-24T10:48:36Z</dcterms:modified>
</cp:coreProperties>
</file>