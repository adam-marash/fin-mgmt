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workbookProtection workbookAlgorithmName="SHA-512" workbookHashValue="n2RyDLJk3FsidI0vBjUOyM2ZFgDIlMkjdWPJIm8GWg7EtWI3NXPGzw4XsWDPZKZNzHyH0gjhNlrzDKEsnqbqfg==" workbookSaltValue="7K0JfcfhQmYYDQedRRcLbw==" workbookSpinCount="100000" lockStructure="1"/>
  <bookViews>
    <workbookView xWindow="-105" yWindow="-105" windowWidth="19425" windowHeight="11505" tabRatio="885"/>
  </bookViews>
  <sheets>
    <sheet name="גאנט השקעות 2024-2025-2026" sheetId="8" r:id="rId1"/>
  </sheets>
  <definedNames>
    <definedName name="_xlnm.Print_Area" localSheetId="0">'גאנט השקעות 2024-2025-2026'!$A$1:$P$20</definedName>
  </definedNames>
  <calcPr calcId="191029" iterate="1" iterateCount="250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83" i="8" l="1"/>
  <c r="E36" i="8"/>
  <c r="K36" i="8"/>
  <c r="P36" i="8"/>
  <c r="E9" i="8"/>
  <c r="K39" i="8"/>
  <c r="K31" i="8" l="1"/>
  <c r="K32" i="8"/>
  <c r="K33" i="8"/>
  <c r="K34" i="8"/>
  <c r="K35" i="8"/>
  <c r="K37" i="8"/>
  <c r="K38" i="8"/>
  <c r="K40" i="8"/>
  <c r="K41" i="8"/>
  <c r="K42" i="8"/>
  <c r="K43" i="8"/>
  <c r="K44" i="8"/>
  <c r="K45" i="8"/>
  <c r="K46" i="8"/>
  <c r="K47" i="8"/>
  <c r="K48" i="8"/>
  <c r="K49" i="8"/>
  <c r="K50" i="8"/>
  <c r="K51" i="8"/>
  <c r="K30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E32" i="8"/>
  <c r="E33" i="8"/>
  <c r="E34" i="8"/>
  <c r="E35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31" i="8"/>
  <c r="E30" i="8"/>
  <c r="E25" i="8"/>
  <c r="D61" i="8"/>
  <c r="D62" i="8"/>
  <c r="D63" i="8"/>
  <c r="D64" i="8"/>
  <c r="D65" i="8"/>
  <c r="D66" i="8"/>
  <c r="D67" i="8"/>
  <c r="D69" i="8"/>
  <c r="D70" i="8"/>
  <c r="D72" i="8"/>
  <c r="D74" i="8"/>
  <c r="D75" i="8"/>
  <c r="D76" i="8"/>
  <c r="D77" i="8"/>
  <c r="D79" i="8"/>
  <c r="D80" i="8"/>
  <c r="D81" i="8"/>
  <c r="D60" i="8"/>
  <c r="P31" i="8"/>
  <c r="P32" i="8"/>
  <c r="P33" i="8"/>
  <c r="P34" i="8"/>
  <c r="P35" i="8"/>
  <c r="P37" i="8"/>
  <c r="P38" i="8"/>
  <c r="P39" i="8"/>
  <c r="G69" i="8" s="1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30" i="8"/>
  <c r="P3" i="8"/>
  <c r="E61" i="8" s="1"/>
  <c r="P4" i="8"/>
  <c r="E62" i="8" s="1"/>
  <c r="P5" i="8"/>
  <c r="E63" i="8" s="1"/>
  <c r="P6" i="8"/>
  <c r="E64" i="8" s="1"/>
  <c r="P7" i="8"/>
  <c r="E65" i="8" s="1"/>
  <c r="P8" i="8"/>
  <c r="E66" i="8" s="1"/>
  <c r="P9" i="8"/>
  <c r="E67" i="8" s="1"/>
  <c r="P11" i="8"/>
  <c r="E69" i="8" s="1"/>
  <c r="P12" i="8"/>
  <c r="E70" i="8" s="1"/>
  <c r="P13" i="8"/>
  <c r="E71" i="8" s="1"/>
  <c r="P14" i="8"/>
  <c r="E72" i="8" s="1"/>
  <c r="P16" i="8"/>
  <c r="E74" i="8" s="1"/>
  <c r="P17" i="8"/>
  <c r="E75" i="8" s="1"/>
  <c r="P18" i="8"/>
  <c r="E76" i="8" s="1"/>
  <c r="P19" i="8"/>
  <c r="E77" i="8" s="1"/>
  <c r="P20" i="8"/>
  <c r="E78" i="8" s="1"/>
  <c r="P21" i="8"/>
  <c r="E79" i="8" s="1"/>
  <c r="P22" i="8"/>
  <c r="E80" i="8" s="1"/>
  <c r="P23" i="8"/>
  <c r="E81" i="8" s="1"/>
  <c r="P24" i="8"/>
  <c r="E82" i="8" s="1"/>
  <c r="P2" i="8"/>
  <c r="E60" i="8" s="1"/>
  <c r="O53" i="8"/>
  <c r="F83" i="8" l="1"/>
  <c r="E53" i="8"/>
  <c r="G72" i="8"/>
  <c r="G70" i="8"/>
  <c r="G60" i="8"/>
  <c r="G68" i="8"/>
  <c r="G81" i="8"/>
  <c r="G67" i="8"/>
  <c r="G76" i="8"/>
  <c r="G63" i="8"/>
  <c r="G75" i="8"/>
  <c r="G62" i="8"/>
  <c r="G74" i="8"/>
  <c r="G61" i="8"/>
  <c r="G73" i="8"/>
  <c r="G71" i="8"/>
  <c r="G66" i="8"/>
  <c r="G78" i="8"/>
  <c r="G65" i="8"/>
  <c r="G77" i="8"/>
  <c r="G64" i="8"/>
  <c r="G80" i="8"/>
  <c r="G79" i="8"/>
  <c r="P53" i="8"/>
  <c r="O26" i="8" l="1"/>
  <c r="D52" i="8"/>
  <c r="D48" i="8"/>
  <c r="D43" i="8"/>
  <c r="D41" i="8"/>
  <c r="D38" i="8"/>
  <c r="N53" i="8"/>
  <c r="N26" i="8" s="1"/>
  <c r="M53" i="8"/>
  <c r="M26" i="8" s="1"/>
  <c r="L53" i="8"/>
  <c r="L26" i="8" s="1"/>
  <c r="I53" i="8"/>
  <c r="I26" i="8" s="1"/>
  <c r="H53" i="8"/>
  <c r="H26" i="8" s="1"/>
  <c r="G53" i="8"/>
  <c r="F52" i="8"/>
  <c r="K25" i="8"/>
  <c r="D15" i="8"/>
  <c r="D73" i="8" s="1"/>
  <c r="L15" i="8"/>
  <c r="O15" i="8"/>
  <c r="J25" i="8"/>
  <c r="I25" i="8"/>
  <c r="H25" i="8"/>
  <c r="G25" i="8"/>
  <c r="F25" i="8"/>
  <c r="N25" i="8"/>
  <c r="M25" i="8"/>
  <c r="D24" i="8"/>
  <c r="D20" i="8"/>
  <c r="D13" i="8"/>
  <c r="O10" i="8"/>
  <c r="P10" i="8" s="1"/>
  <c r="E68" i="8" s="1"/>
  <c r="D10" i="8"/>
  <c r="D68" i="8" s="1"/>
  <c r="D71" i="8" l="1"/>
  <c r="D78" i="8"/>
  <c r="D82" i="8"/>
  <c r="I54" i="8"/>
  <c r="L25" i="8"/>
  <c r="P15" i="8"/>
  <c r="F53" i="8"/>
  <c r="H54" i="8"/>
  <c r="G26" i="8"/>
  <c r="D53" i="8"/>
  <c r="G54" i="8"/>
  <c r="N54" i="8"/>
  <c r="J54" i="8"/>
  <c r="M54" i="8"/>
  <c r="O25" i="8"/>
  <c r="J52" i="8"/>
  <c r="K52" i="8" s="1"/>
  <c r="D25" i="8"/>
  <c r="D83" i="8" l="1"/>
  <c r="L54" i="8"/>
  <c r="G82" i="8"/>
  <c r="G83" i="8" s="1"/>
  <c r="P25" i="8"/>
  <c r="E73" i="8"/>
  <c r="E83" i="8" s="1"/>
  <c r="J53" i="8"/>
  <c r="O54" i="8"/>
  <c r="K53" i="8" l="1"/>
  <c r="J26" i="8"/>
</calcChain>
</file>

<file path=xl/comments1.xml><?xml version="1.0" encoding="utf-8"?>
<comments xmlns="http://schemas.openxmlformats.org/spreadsheetml/2006/main">
  <authors>
    <author>Niv Shlitin</author>
  </authors>
  <commentList>
    <comment ref="O9" authorId="0" shapeId="0">
      <text>
        <r>
          <rPr>
            <b/>
            <sz val="9"/>
            <color indexed="81"/>
            <rFont val="Tahoma"/>
            <family val="2"/>
          </rPr>
          <t>Niv Shlitin:</t>
        </r>
        <r>
          <rPr>
            <sz val="9"/>
            <color indexed="81"/>
            <rFont val="Tahoma"/>
            <family val="2"/>
          </rPr>
          <t xml:space="preserve">
קריאה אחרונה מה30/11/25
</t>
        </r>
      </text>
    </comment>
    <comment ref="N33" authorId="0" shapeId="0">
      <text>
        <r>
          <rPr>
            <b/>
            <sz val="9"/>
            <color indexed="81"/>
            <rFont val="Tahoma"/>
            <family val="2"/>
          </rPr>
          <t>Niv Shlitin:</t>
        </r>
        <r>
          <rPr>
            <sz val="9"/>
            <color indexed="81"/>
            <rFont val="Tahoma"/>
            <family val="2"/>
          </rPr>
          <t xml:space="preserve">
146,907
החזר הון
</t>
        </r>
      </text>
    </comment>
    <comment ref="O33" authorId="0" shapeId="0">
      <text>
        <r>
          <rPr>
            <b/>
            <sz val="9"/>
            <color indexed="81"/>
            <rFont val="Tahoma"/>
            <family val="2"/>
          </rPr>
          <t>Niv Shlitin:</t>
        </r>
        <r>
          <rPr>
            <sz val="9"/>
            <color indexed="81"/>
            <rFont val="Tahoma"/>
            <family val="2"/>
          </rPr>
          <t xml:space="preserve">
39,907
החזר הון</t>
        </r>
      </text>
    </comment>
    <comment ref="I39" authorId="0" shapeId="0">
      <text>
        <r>
          <rPr>
            <b/>
            <sz val="9"/>
            <color indexed="81"/>
            <rFont val="Tahoma"/>
            <family val="2"/>
          </rPr>
          <t>Niv Shlitin:</t>
        </r>
        <r>
          <rPr>
            <sz val="9"/>
            <color indexed="81"/>
            <rFont val="Tahoma"/>
            <family val="2"/>
          </rPr>
          <t xml:space="preserve">
4,871 החזר הון
</t>
        </r>
      </text>
    </comment>
    <comment ref="G41" authorId="0" shapeId="0">
      <text>
        <r>
          <rPr>
            <b/>
            <sz val="9"/>
            <color indexed="81"/>
            <rFont val="Tahoma"/>
            <family val="2"/>
          </rPr>
          <t xml:space="preserve">Niv Shlitin:
</t>
        </r>
        <r>
          <rPr>
            <sz val="9"/>
            <color indexed="81"/>
            <rFont val="Tahoma"/>
            <family val="2"/>
          </rPr>
          <t xml:space="preserve">5,374 החזר הון
</t>
        </r>
      </text>
    </comment>
    <comment ref="H41" authorId="0" shapeId="0">
      <text>
        <r>
          <rPr>
            <b/>
            <sz val="9"/>
            <color indexed="81"/>
            <rFont val="Tahoma"/>
            <family val="2"/>
          </rPr>
          <t>Niv Shlitin:</t>
        </r>
        <r>
          <rPr>
            <sz val="9"/>
            <color indexed="81"/>
            <rFont val="Tahoma"/>
            <family val="2"/>
          </rPr>
          <t xml:space="preserve">
406 החזר הון
</t>
        </r>
      </text>
    </comment>
    <comment ref="G44" authorId="0" shapeId="0">
      <text>
        <r>
          <rPr>
            <b/>
            <sz val="9"/>
            <color indexed="81"/>
            <rFont val="Tahoma"/>
            <family val="2"/>
          </rPr>
          <t>Niv Shlitin:</t>
        </r>
        <r>
          <rPr>
            <sz val="9"/>
            <color indexed="81"/>
            <rFont val="Tahoma"/>
            <family val="2"/>
          </rPr>
          <t xml:space="preserve">
11,637 החזר הון
</t>
        </r>
      </text>
    </comment>
    <comment ref="F45" authorId="0" shapeId="0">
      <text>
        <r>
          <rPr>
            <b/>
            <sz val="9"/>
            <color indexed="81"/>
            <rFont val="Tahoma"/>
            <family val="2"/>
          </rPr>
          <t>Niv Shlitin:</t>
        </r>
        <r>
          <rPr>
            <sz val="9"/>
            <color indexed="81"/>
            <rFont val="Tahoma"/>
            <family val="2"/>
          </rPr>
          <t xml:space="preserve">
החזר הון 2,734
</t>
        </r>
      </text>
    </comment>
    <comment ref="M45" authorId="0" shapeId="0">
      <text>
        <r>
          <rPr>
            <b/>
            <sz val="9"/>
            <color indexed="81"/>
            <rFont val="Tahoma"/>
            <family val="2"/>
          </rPr>
          <t>Niv Shlitin:</t>
        </r>
        <r>
          <rPr>
            <sz val="9"/>
            <color indexed="81"/>
            <rFont val="Tahoma"/>
            <family val="2"/>
          </rPr>
          <t xml:space="preserve">
7,079 החזר הון
</t>
        </r>
      </text>
    </comment>
    <comment ref="F47" authorId="0" shapeId="0">
      <text>
        <r>
          <rPr>
            <b/>
            <sz val="9"/>
            <color indexed="81"/>
            <rFont val="Tahoma"/>
            <family val="2"/>
          </rPr>
          <t>Niv Shlitin:</t>
        </r>
        <r>
          <rPr>
            <sz val="9"/>
            <color indexed="81"/>
            <rFont val="Tahoma"/>
            <family val="2"/>
          </rPr>
          <t xml:space="preserve">
החזר הון 308,008
</t>
        </r>
      </text>
    </comment>
    <comment ref="F52" authorId="0" shapeId="0">
      <text>
        <r>
          <rPr>
            <b/>
            <sz val="9"/>
            <color indexed="81"/>
            <rFont val="Tahoma"/>
            <family val="2"/>
          </rPr>
          <t>Niv Shlitin:</t>
        </r>
        <r>
          <rPr>
            <sz val="9"/>
            <color indexed="81"/>
            <rFont val="Tahoma"/>
            <family val="2"/>
          </rPr>
          <t xml:space="preserve">
החזר הון 42,875
</t>
        </r>
      </text>
    </comment>
    <comment ref="G52" authorId="0" shapeId="0">
      <text>
        <r>
          <rPr>
            <b/>
            <sz val="9"/>
            <color indexed="81"/>
            <rFont val="Tahoma"/>
            <family val="2"/>
          </rPr>
          <t>Niv Shlitin:</t>
        </r>
        <r>
          <rPr>
            <sz val="9"/>
            <color indexed="81"/>
            <rFont val="Tahoma"/>
            <family val="2"/>
          </rPr>
          <t xml:space="preserve">
החזר הון 1270
</t>
        </r>
      </text>
    </comment>
    <comment ref="H52" authorId="0" shapeId="0">
      <text>
        <r>
          <rPr>
            <b/>
            <sz val="9"/>
            <color indexed="81"/>
            <rFont val="Tahoma"/>
            <family val="2"/>
          </rPr>
          <t>Niv Shlitin:</t>
        </r>
        <r>
          <rPr>
            <sz val="9"/>
            <color indexed="81"/>
            <rFont val="Tahoma"/>
            <family val="2"/>
          </rPr>
          <t xml:space="preserve">
החזר הון 1270
</t>
        </r>
      </text>
    </comment>
    <comment ref="I52" authorId="0" shapeId="0">
      <text>
        <r>
          <rPr>
            <b/>
            <sz val="9"/>
            <color indexed="81"/>
            <rFont val="Tahoma"/>
            <family val="2"/>
          </rPr>
          <t>Niv Shlitin:</t>
        </r>
        <r>
          <rPr>
            <sz val="9"/>
            <color indexed="81"/>
            <rFont val="Tahoma"/>
            <family val="2"/>
          </rPr>
          <t xml:space="preserve">
החזר הון 1295
</t>
        </r>
      </text>
    </comment>
    <comment ref="L52" authorId="0" shapeId="0">
      <text>
        <r>
          <rPr>
            <b/>
            <sz val="9"/>
            <color indexed="81"/>
            <rFont val="Tahoma"/>
            <family val="2"/>
          </rPr>
          <t>Niv Shlitin:</t>
        </r>
        <r>
          <rPr>
            <sz val="9"/>
            <color indexed="81"/>
            <rFont val="Tahoma"/>
            <family val="2"/>
          </rPr>
          <t xml:space="preserve">
החזר הון 1333
</t>
        </r>
      </text>
    </comment>
    <comment ref="N52" authorId="0" shapeId="0">
      <text>
        <r>
          <rPr>
            <b/>
            <sz val="9"/>
            <color indexed="81"/>
            <rFont val="Tahoma"/>
            <family val="2"/>
          </rPr>
          <t>Niv Shlitin:</t>
        </r>
        <r>
          <rPr>
            <sz val="9"/>
            <color indexed="81"/>
            <rFont val="Tahoma"/>
            <family val="2"/>
          </rPr>
          <t xml:space="preserve">
החזר הון 127
</t>
        </r>
      </text>
    </comment>
  </commentList>
</comments>
</file>

<file path=xl/sharedStrings.xml><?xml version="1.0" encoding="utf-8"?>
<sst xmlns="http://schemas.openxmlformats.org/spreadsheetml/2006/main" count="221" uniqueCount="101">
  <si>
    <t>סוג ההשקעה</t>
  </si>
  <si>
    <t>שם ההשקעה</t>
  </si>
  <si>
    <t>Debt</t>
  </si>
  <si>
    <t>VC</t>
  </si>
  <si>
    <t>התחייבות מקוריות $</t>
  </si>
  <si>
    <t>Private Equity</t>
  </si>
  <si>
    <t>Hamagen</t>
  </si>
  <si>
    <t>השקעה Q1 ב- 2024</t>
  </si>
  <si>
    <t>השקעה Q2 ב- 2024</t>
  </si>
  <si>
    <t>השקעה Q3 ב- 2024</t>
  </si>
  <si>
    <t>השקעה Q4 ב- 2024</t>
  </si>
  <si>
    <t>Real Estate</t>
  </si>
  <si>
    <t>השקעה Q1 ב- 2025</t>
  </si>
  <si>
    <t>השקעה Q2 ב- 2025</t>
  </si>
  <si>
    <t>השקעה Q3 ב- 2025</t>
  </si>
  <si>
    <t>השקעה Q4 ב- 2025</t>
  </si>
  <si>
    <t>הכנסה Q1 2025</t>
  </si>
  <si>
    <t>הכנסה Q2 2025</t>
  </si>
  <si>
    <t>הכנסה Q3 2025</t>
  </si>
  <si>
    <t>הכנסה Q4 2025</t>
  </si>
  <si>
    <t>Electra BTR</t>
  </si>
  <si>
    <t>Q1 2024</t>
  </si>
  <si>
    <t>Q3 2025</t>
  </si>
  <si>
    <t>Liquidity Capital II</t>
  </si>
  <si>
    <t>Q2 2019</t>
  </si>
  <si>
    <t>Impact חוב</t>
  </si>
  <si>
    <t>Pollen Street Credit Fund III</t>
  </si>
  <si>
    <t>Viola Credit ALF III</t>
  </si>
  <si>
    <t>KDC Media Fund - Stardom Ventures</t>
  </si>
  <si>
    <t>Coller Capital VIII</t>
  </si>
  <si>
    <t>ISF - III</t>
  </si>
  <si>
    <t>Electra USA 2</t>
  </si>
  <si>
    <t>Faro-Point FRG-X</t>
  </si>
  <si>
    <t>דיור מוגן באטלנטה בוליגו</t>
  </si>
  <si>
    <t>דיור מוגן באטלנטה בוליגו 2</t>
  </si>
  <si>
    <t>מגורים Multi-Family בפילדלפיה - גלפנד</t>
  </si>
  <si>
    <t>מגורים Multi-Family ו Single-Family בניו הייבן - נץ</t>
  </si>
  <si>
    <t>מרילנד, Gatewater Landing, גלפנד</t>
  </si>
  <si>
    <t>עסקת הרטפורד קונטיקט - התחדשות עירונית</t>
  </si>
  <si>
    <t>קאליבר- Caliber</t>
  </si>
  <si>
    <t>Q4 2021</t>
  </si>
  <si>
    <t>Q2 2021</t>
  </si>
  <si>
    <t>Q4 2020</t>
  </si>
  <si>
    <t>Q3 2021</t>
  </si>
  <si>
    <t>Q3 2020</t>
  </si>
  <si>
    <t>Q1 2022</t>
  </si>
  <si>
    <t>הכנסה Q1 2024</t>
  </si>
  <si>
    <t>הכנסה Q2 2024</t>
  </si>
  <si>
    <t>הכנסה Q3 2024</t>
  </si>
  <si>
    <t>הכנסה Q4 2024</t>
  </si>
  <si>
    <t>Q3 2023</t>
  </si>
  <si>
    <t>Q3 2019</t>
  </si>
  <si>
    <t>Q1 2025</t>
  </si>
  <si>
    <t>Q4 2019</t>
  </si>
  <si>
    <t>Q1 2020</t>
  </si>
  <si>
    <t>סה"כ</t>
  </si>
  <si>
    <t>הכנסות</t>
  </si>
  <si>
    <t>הכנסות פאסיביות</t>
  </si>
  <si>
    <t>מועד צפוי/בפועל לתחילת ההשקעה</t>
  </si>
  <si>
    <t>סך השקעה עד 2024</t>
  </si>
  <si>
    <r>
      <t xml:space="preserve">מגורים וינה 1 - 2025 - Residence Vienna 1
</t>
    </r>
    <r>
      <rPr>
        <b/>
        <sz val="11"/>
        <color theme="1"/>
        <rFont val="Calibri"/>
        <family val="2"/>
        <scheme val="minor"/>
      </rPr>
      <t>*ההשקעה ב-EUR (הסכומים המוצגים הומרו לUSD)</t>
    </r>
  </si>
  <si>
    <r>
      <t xml:space="preserve">Serviced Apartments, Vienna
</t>
    </r>
    <r>
      <rPr>
        <b/>
        <sz val="11"/>
        <color theme="1"/>
        <rFont val="Calibri"/>
        <family val="2"/>
        <scheme val="minor"/>
      </rPr>
      <t>*ההשקעה ב-EUR (הסכומים המוצגים הומרו לUSD)</t>
    </r>
  </si>
  <si>
    <r>
      <t xml:space="preserve">Impact Real Estate FOF
</t>
    </r>
    <r>
      <rPr>
        <b/>
        <sz val="11"/>
        <color theme="1"/>
        <rFont val="Calibri"/>
        <family val="2"/>
        <scheme val="minor"/>
      </rPr>
      <t>*ההשקעה ב-EUR (הסכומים המוצגים הומרו לUSD)</t>
    </r>
  </si>
  <si>
    <r>
      <t xml:space="preserve">ריאליטי גרמניה - רכישת פורטפוליו של סופרמרקטים
</t>
    </r>
    <r>
      <rPr>
        <b/>
        <sz val="11"/>
        <color theme="1"/>
        <rFont val="Calibri"/>
        <family val="2"/>
        <scheme val="minor"/>
      </rPr>
      <t>*ההשקעה ב-EUR (הסכומים המוצגים הומרו לUSD)</t>
    </r>
  </si>
  <si>
    <t>סך הכנסות עד 2024</t>
  </si>
  <si>
    <t>השקעות</t>
  </si>
  <si>
    <t>סך ההשקעה במוצר</t>
  </si>
  <si>
    <t>סך התקבולים מהמצור</t>
  </si>
  <si>
    <r>
      <t xml:space="preserve">בית מרס
</t>
    </r>
    <r>
      <rPr>
        <b/>
        <sz val="11"/>
        <color theme="1"/>
        <rFont val="Calibri"/>
        <family val="2"/>
        <scheme val="minor"/>
      </rPr>
      <t>*ההשקעה ב-ILS (הסכומים המוצגים הומרו לUSD)</t>
    </r>
  </si>
  <si>
    <t>תחילת ההשקעה</t>
  </si>
  <si>
    <t>סך הכנסות 2024</t>
  </si>
  <si>
    <t>סך הכנסה 2025</t>
  </si>
  <si>
    <t>יתרה ($)</t>
  </si>
  <si>
    <t>100-120K$</t>
  </si>
  <si>
    <t>60K$</t>
  </si>
  <si>
    <t>50-60K$</t>
  </si>
  <si>
    <t>250-400K$</t>
  </si>
  <si>
    <t>קלאס צובר</t>
  </si>
  <si>
    <t>0-50K$</t>
  </si>
  <si>
    <t>300K$</t>
  </si>
  <si>
    <t>25K$</t>
  </si>
  <si>
    <t>200K$</t>
  </si>
  <si>
    <t>סבירות גבוהה למימוש</t>
  </si>
  <si>
    <t>30K$</t>
  </si>
  <si>
    <t>60K$ + סבירות גבוהה למימוש</t>
  </si>
  <si>
    <t>30K$ + סבירות גבוהה למימוש</t>
  </si>
  <si>
    <t>25K$ + סבירות גבוהה למימוש</t>
  </si>
  <si>
    <t>20K$</t>
  </si>
  <si>
    <t>סבירות למימוש</t>
  </si>
  <si>
    <t>20K$ + סבירות למימוש</t>
  </si>
  <si>
    <t>$1,245,000 - 1,475,000</t>
  </si>
  <si>
    <t>סך השקעה עד סוף 2025</t>
  </si>
  <si>
    <t>סך השקעה עד סוף 2024</t>
  </si>
  <si>
    <t>צפי תקבולים ב- 2026</t>
  </si>
  <si>
    <r>
      <t xml:space="preserve">Electra USA 2
</t>
    </r>
    <r>
      <rPr>
        <b/>
        <sz val="11"/>
        <color theme="1"/>
        <rFont val="Calibri"/>
        <family val="2"/>
        <scheme val="minor"/>
      </rPr>
      <t>* הסכום המוצג הינו ברוטו לפני ניכויי נס</t>
    </r>
  </si>
  <si>
    <t>הערות</t>
  </si>
  <si>
    <t>** בשנת 26-27 צפויים להגיע אקזיטים בסכום של כ-
7,000,000 - $5,000,000</t>
  </si>
  <si>
    <t>ההשקעה ב-EUR (הסכומים המוצגים הומרו לUSD)</t>
  </si>
  <si>
    <t>ההשקעה ב-ILS (הסכומים המוצגים הומרו לUSD)</t>
  </si>
  <si>
    <t>הסכום המוצג הינו ברוטו לפני ניכויי נס
סכום נטו - 736,628
סכום ברוטו - 834,522</t>
  </si>
  <si>
    <t>תשואה מתחילת השקעה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</si>
</sst>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_-"/>
    <numFmt numFmtId="165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b/>
      <sz val="14"/>
      <color rgb="FFCFB78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90C2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CFB780"/>
      </left>
      <right style="thin">
        <color rgb="FFCFB780"/>
      </right>
      <top style="medium">
        <color indexed="64"/>
      </top>
      <bottom/>
      <diagonal/>
    </border>
    <border>
      <left style="thin">
        <color rgb="FFCFB78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FB780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CFB78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rgb="FFCFB780"/>
      </top>
      <bottom style="thin">
        <color rgb="FFCFB780"/>
      </bottom>
      <diagonal/>
    </border>
    <border>
      <left style="medium">
        <color indexed="64"/>
      </left>
      <right/>
      <top style="medium">
        <color indexed="64"/>
      </top>
      <bottom style="thin">
        <color rgb="FFCFB780"/>
      </bottom>
      <diagonal/>
    </border>
    <border>
      <left/>
      <right style="thin">
        <color rgb="FFCFB780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CFB780"/>
      </top>
      <bottom/>
      <diagonal/>
    </border>
    <border>
      <left style="medium">
        <color indexed="64"/>
      </left>
      <right style="thin">
        <color indexed="64"/>
      </right>
      <top/>
      <bottom style="thin">
        <color rgb="FFCFB78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2">
    <xf numFmtId="0" fontId="0" fillId="0" borderId="0" xfId="0"/>
    <xf numFmtId="0" fontId="0" fillId="0" borderId="0" xfId="0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 readingOrder="2"/>
    </xf>
    <xf numFmtId="0" fontId="7" fillId="0" borderId="0" xfId="0" applyFont="1" applyAlignment="1">
      <alignment horizontal="center" vertical="center" wrapText="1"/>
    </xf>
    <xf numFmtId="0" fontId="6" fillId="2" borderId="32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 readingOrder="2"/>
    </xf>
    <xf numFmtId="0" fontId="6" fillId="2" borderId="33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 readingOrder="2"/>
    </xf>
    <xf numFmtId="10" fontId="0" fillId="0" borderId="0" xfId="2" applyNumberFormat="1" applyFont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 readingOrder="2"/>
    </xf>
    <xf numFmtId="0" fontId="7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 readingOrder="2"/>
    </xf>
    <xf numFmtId="0" fontId="7" fillId="5" borderId="38" xfId="0" applyFont="1" applyFill="1" applyBorder="1" applyAlignment="1" applyProtection="1">
      <alignment horizontal="center" vertical="center" wrapText="1" readingOrder="2"/>
      <protection hidden="1"/>
    </xf>
    <xf numFmtId="0" fontId="5" fillId="3" borderId="5" xfId="0" applyFont="1" applyFill="1" applyBorder="1" applyAlignment="1" applyProtection="1">
      <alignment horizontal="center" vertical="center" wrapText="1"/>
      <protection hidden="1"/>
    </xf>
    <xf numFmtId="165" fontId="8" fillId="3" borderId="6" xfId="1" applyNumberFormat="1" applyFont="1" applyFill="1" applyBorder="1" applyAlignment="1" applyProtection="1">
      <alignment horizontal="center" vertical="center" wrapText="1"/>
      <protection hidden="1"/>
    </xf>
    <xf numFmtId="165" fontId="8" fillId="3" borderId="16" xfId="1" applyNumberFormat="1" applyFont="1" applyFill="1" applyBorder="1" applyAlignment="1" applyProtection="1">
      <alignment horizontal="center" vertical="center" wrapText="1"/>
      <protection hidden="1"/>
    </xf>
    <xf numFmtId="165" fontId="8" fillId="3" borderId="7" xfId="1" applyNumberFormat="1" applyFont="1" applyFill="1" applyBorder="1" applyAlignment="1" applyProtection="1">
      <alignment horizontal="center" vertical="center" wrapText="1"/>
      <protection hidden="1"/>
    </xf>
    <xf numFmtId="165" fontId="8" fillId="4" borderId="42" xfId="1" applyNumberFormat="1" applyFont="1" applyFill="1" applyBorder="1" applyAlignment="1" applyProtection="1">
      <alignment horizontal="center" vertical="center" wrapText="1"/>
      <protection hidden="1"/>
    </xf>
    <xf numFmtId="165" fontId="8" fillId="4" borderId="1" xfId="1" applyNumberFormat="1" applyFont="1" applyFill="1" applyBorder="1" applyAlignment="1" applyProtection="1">
      <alignment horizontal="center" vertical="center" wrapText="1"/>
      <protection hidden="1"/>
    </xf>
    <xf numFmtId="165" fontId="8" fillId="4" borderId="38" xfId="1" applyNumberFormat="1" applyFont="1" applyFill="1" applyBorder="1" applyAlignment="1" applyProtection="1">
      <alignment horizontal="center" vertical="center" wrapText="1"/>
      <protection hidden="1"/>
    </xf>
    <xf numFmtId="165" fontId="8" fillId="3" borderId="10" xfId="1" applyNumberFormat="1" applyFont="1" applyFill="1" applyBorder="1" applyAlignment="1" applyProtection="1">
      <alignment horizontal="center" vertical="center" wrapText="1"/>
      <protection hidden="1"/>
    </xf>
    <xf numFmtId="165" fontId="8" fillId="4" borderId="5" xfId="1" applyNumberFormat="1" applyFont="1" applyFill="1" applyBorder="1" applyAlignment="1" applyProtection="1">
      <alignment horizontal="center" vertical="center" wrapText="1"/>
      <protection hidden="1"/>
    </xf>
    <xf numFmtId="165" fontId="8" fillId="4" borderId="6" xfId="1" applyNumberFormat="1" applyFont="1" applyFill="1" applyBorder="1" applyAlignment="1" applyProtection="1">
      <alignment horizontal="center" vertical="center" wrapText="1"/>
      <protection hidden="1"/>
    </xf>
    <xf numFmtId="165" fontId="8" fillId="4" borderId="7" xfId="1" applyNumberFormat="1" applyFont="1" applyFill="1" applyBorder="1" applyAlignment="1" applyProtection="1">
      <alignment horizontal="center" vertical="center" wrapText="1"/>
      <protection hidden="1"/>
    </xf>
    <xf numFmtId="0" fontId="5" fillId="3" borderId="17" xfId="0" applyFont="1" applyFill="1" applyBorder="1" applyAlignment="1" applyProtection="1">
      <alignment horizontal="center" vertical="center" wrapText="1"/>
      <protection hidden="1"/>
    </xf>
    <xf numFmtId="165" fontId="8" fillId="3" borderId="1" xfId="1" applyNumberFormat="1" applyFont="1" applyFill="1" applyBorder="1" applyAlignment="1" applyProtection="1">
      <alignment horizontal="center" vertical="center" wrapText="1"/>
      <protection hidden="1"/>
    </xf>
    <xf numFmtId="165" fontId="8" fillId="3" borderId="38" xfId="1" applyNumberFormat="1" applyFont="1" applyFill="1" applyBorder="1" applyAlignment="1" applyProtection="1">
      <alignment horizontal="center" vertical="center" wrapText="1"/>
      <protection hidden="1"/>
    </xf>
    <xf numFmtId="165" fontId="8" fillId="3" borderId="18" xfId="1" applyNumberFormat="1" applyFont="1" applyFill="1" applyBorder="1" applyAlignment="1" applyProtection="1">
      <alignment horizontal="center" vertical="center" wrapText="1"/>
      <protection hidden="1"/>
    </xf>
    <xf numFmtId="165" fontId="8" fillId="4" borderId="17" xfId="1" applyNumberFormat="1" applyFont="1" applyFill="1" applyBorder="1" applyAlignment="1" applyProtection="1">
      <alignment horizontal="center" vertical="center" wrapText="1"/>
      <protection hidden="1"/>
    </xf>
    <xf numFmtId="165" fontId="8" fillId="4" borderId="18" xfId="1" applyNumberFormat="1" applyFont="1" applyFill="1" applyBorder="1" applyAlignment="1" applyProtection="1">
      <alignment horizontal="center" vertical="center" wrapText="1"/>
      <protection hidden="1"/>
    </xf>
    <xf numFmtId="0" fontId="7" fillId="0" borderId="38" xfId="0" applyFont="1" applyFill="1" applyBorder="1" applyAlignment="1" applyProtection="1">
      <alignment horizontal="center" vertical="center" wrapText="1" readingOrder="2"/>
      <protection hidden="1"/>
    </xf>
    <xf numFmtId="0" fontId="7" fillId="5" borderId="39" xfId="0" applyFont="1" applyFill="1" applyBorder="1" applyAlignment="1" applyProtection="1">
      <alignment horizontal="center" vertical="center" wrapText="1" readingOrder="2"/>
      <protection hidden="1"/>
    </xf>
    <xf numFmtId="0" fontId="5" fillId="3" borderId="26" xfId="0" applyFont="1" applyFill="1" applyBorder="1" applyAlignment="1" applyProtection="1">
      <alignment horizontal="center" vertical="center" wrapText="1"/>
      <protection hidden="1"/>
    </xf>
    <xf numFmtId="165" fontId="8" fillId="3" borderId="27" xfId="1" applyNumberFormat="1" applyFont="1" applyFill="1" applyBorder="1" applyAlignment="1" applyProtection="1">
      <alignment horizontal="center" vertical="center" wrapText="1"/>
      <protection hidden="1"/>
    </xf>
    <xf numFmtId="165" fontId="8" fillId="3" borderId="39" xfId="1" applyNumberFormat="1" applyFont="1" applyFill="1" applyBorder="1" applyAlignment="1" applyProtection="1">
      <alignment horizontal="center" vertical="center" wrapText="1"/>
      <protection hidden="1"/>
    </xf>
    <xf numFmtId="165" fontId="8" fillId="3" borderId="28" xfId="1" applyNumberFormat="1" applyFont="1" applyFill="1" applyBorder="1" applyAlignment="1" applyProtection="1">
      <alignment horizontal="center" vertical="center" wrapText="1"/>
      <protection hidden="1"/>
    </xf>
    <xf numFmtId="165" fontId="8" fillId="4" borderId="31" xfId="1" applyNumberFormat="1" applyFont="1" applyFill="1" applyBorder="1" applyAlignment="1" applyProtection="1">
      <alignment horizontal="center" vertical="center" wrapText="1"/>
      <protection hidden="1"/>
    </xf>
    <xf numFmtId="165" fontId="8" fillId="4" borderId="27" xfId="1" applyNumberFormat="1" applyFont="1" applyFill="1" applyBorder="1" applyAlignment="1" applyProtection="1">
      <alignment horizontal="center" vertical="center" wrapText="1"/>
      <protection hidden="1"/>
    </xf>
    <xf numFmtId="165" fontId="8" fillId="4" borderId="39" xfId="1" applyNumberFormat="1" applyFont="1" applyFill="1" applyBorder="1" applyAlignment="1" applyProtection="1">
      <alignment horizontal="center" vertical="center" wrapText="1"/>
      <protection hidden="1"/>
    </xf>
    <xf numFmtId="165" fontId="8" fillId="3" borderId="30" xfId="1" applyNumberFormat="1" applyFont="1" applyFill="1" applyBorder="1" applyAlignment="1" applyProtection="1">
      <alignment horizontal="center" vertical="center" wrapText="1"/>
      <protection hidden="1"/>
    </xf>
    <xf numFmtId="165" fontId="8" fillId="4" borderId="26" xfId="1" applyNumberFormat="1" applyFont="1" applyFill="1" applyBorder="1" applyAlignment="1" applyProtection="1">
      <alignment horizontal="center" vertical="center" wrapText="1"/>
      <protection hidden="1"/>
    </xf>
    <xf numFmtId="165" fontId="8" fillId="4" borderId="28" xfId="1" applyNumberFormat="1" applyFont="1" applyFill="1" applyBorder="1" applyAlignment="1" applyProtection="1">
      <alignment horizontal="center" vertical="center" wrapText="1"/>
      <protection hidden="1"/>
    </xf>
    <xf numFmtId="0" fontId="7" fillId="0" borderId="40" xfId="0" applyFont="1" applyBorder="1" applyAlignment="1" applyProtection="1">
      <alignment horizontal="center" vertical="center" wrapText="1" readingOrder="2"/>
      <protection hidden="1"/>
    </xf>
    <xf numFmtId="0" fontId="10" fillId="3" borderId="45" xfId="0" applyFont="1" applyFill="1" applyBorder="1" applyAlignment="1" applyProtection="1">
      <alignment horizontal="center" vertical="center" wrapText="1"/>
      <protection hidden="1"/>
    </xf>
    <xf numFmtId="37" fontId="10" fillId="3" borderId="29" xfId="0" applyNumberFormat="1" applyFont="1" applyFill="1" applyBorder="1" applyAlignment="1" applyProtection="1">
      <alignment horizontal="center" vertical="center" wrapText="1"/>
      <protection hidden="1"/>
    </xf>
    <xf numFmtId="37" fontId="10" fillId="3" borderId="40" xfId="0" applyNumberFormat="1" applyFont="1" applyFill="1" applyBorder="1" applyAlignment="1" applyProtection="1">
      <alignment horizontal="center" vertical="center" wrapText="1"/>
      <protection hidden="1"/>
    </xf>
    <xf numFmtId="37" fontId="10" fillId="3" borderId="35" xfId="0" applyNumberFormat="1" applyFont="1" applyFill="1" applyBorder="1" applyAlignment="1" applyProtection="1">
      <alignment horizontal="center" vertical="center" wrapText="1"/>
      <protection hidden="1"/>
    </xf>
    <xf numFmtId="165" fontId="10" fillId="4" borderId="43" xfId="1" applyNumberFormat="1" applyFont="1" applyFill="1" applyBorder="1" applyAlignment="1" applyProtection="1">
      <alignment horizontal="center" vertical="center" wrapText="1"/>
      <protection hidden="1"/>
    </xf>
    <xf numFmtId="165" fontId="10" fillId="4" borderId="29" xfId="1" applyNumberFormat="1" applyFont="1" applyFill="1" applyBorder="1" applyAlignment="1" applyProtection="1">
      <alignment horizontal="center" vertical="center" wrapText="1"/>
      <protection hidden="1"/>
    </xf>
    <xf numFmtId="165" fontId="10" fillId="4" borderId="40" xfId="1" applyNumberFormat="1" applyFont="1" applyFill="1" applyBorder="1" applyAlignment="1" applyProtection="1">
      <alignment horizontal="center" vertical="center" wrapText="1"/>
      <protection hidden="1"/>
    </xf>
    <xf numFmtId="165" fontId="10" fillId="3" borderId="4" xfId="1" applyNumberFormat="1" applyFont="1" applyFill="1" applyBorder="1" applyAlignment="1" applyProtection="1">
      <alignment horizontal="center" vertical="center" wrapText="1"/>
      <protection hidden="1"/>
    </xf>
    <xf numFmtId="165" fontId="10" fillId="4" borderId="45" xfId="1" applyNumberFormat="1" applyFont="1" applyFill="1" applyBorder="1" applyAlignment="1" applyProtection="1">
      <alignment horizontal="center" vertical="center" wrapText="1"/>
      <protection hidden="1"/>
    </xf>
    <xf numFmtId="165" fontId="10" fillId="4" borderId="35" xfId="1" applyNumberFormat="1" applyFont="1" applyFill="1" applyBorder="1" applyAlignment="1" applyProtection="1">
      <alignment horizontal="center" vertical="center" wrapText="1"/>
      <protection hidden="1"/>
    </xf>
    <xf numFmtId="0" fontId="7" fillId="0" borderId="41" xfId="0" applyFont="1" applyBorder="1" applyAlignment="1" applyProtection="1">
      <alignment horizontal="center" vertical="center" wrapText="1" readingOrder="2"/>
      <protection hidden="1"/>
    </xf>
    <xf numFmtId="0" fontId="10" fillId="3" borderId="46" xfId="0" applyFont="1" applyFill="1" applyBorder="1" applyAlignment="1" applyProtection="1">
      <alignment horizontal="center" vertical="center" wrapText="1"/>
      <protection hidden="1"/>
    </xf>
    <xf numFmtId="0" fontId="10" fillId="3" borderId="36" xfId="0" applyFont="1" applyFill="1" applyBorder="1" applyAlignment="1" applyProtection="1">
      <alignment horizontal="center" vertical="center" wrapText="1"/>
      <protection hidden="1"/>
    </xf>
    <xf numFmtId="0" fontId="10" fillId="3" borderId="41" xfId="0" applyFont="1" applyFill="1" applyBorder="1" applyAlignment="1" applyProtection="1">
      <alignment horizontal="center" vertical="center" wrapText="1"/>
      <protection hidden="1"/>
    </xf>
    <xf numFmtId="0" fontId="10" fillId="3" borderId="37" xfId="0" applyFont="1" applyFill="1" applyBorder="1" applyAlignment="1" applyProtection="1">
      <alignment horizontal="center" vertical="center" wrapText="1"/>
      <protection hidden="1"/>
    </xf>
    <xf numFmtId="165" fontId="10" fillId="4" borderId="44" xfId="1" applyNumberFormat="1" applyFont="1" applyFill="1" applyBorder="1" applyAlignment="1" applyProtection="1">
      <alignment horizontal="center" vertical="center" wrapText="1"/>
      <protection hidden="1"/>
    </xf>
    <xf numFmtId="165" fontId="10" fillId="4" borderId="36" xfId="1" applyNumberFormat="1" applyFont="1" applyFill="1" applyBorder="1" applyAlignment="1" applyProtection="1">
      <alignment horizontal="center" vertical="center" wrapText="1"/>
      <protection hidden="1"/>
    </xf>
    <xf numFmtId="165" fontId="10" fillId="4" borderId="41" xfId="1" applyNumberFormat="1" applyFont="1" applyFill="1" applyBorder="1" applyAlignment="1" applyProtection="1">
      <alignment horizontal="center" vertical="center" wrapText="1"/>
      <protection hidden="1"/>
    </xf>
    <xf numFmtId="165" fontId="10" fillId="3" borderId="2" xfId="1" applyNumberFormat="1" applyFont="1" applyFill="1" applyBorder="1" applyAlignment="1" applyProtection="1">
      <alignment horizontal="center" vertical="center" wrapText="1"/>
      <protection hidden="1"/>
    </xf>
    <xf numFmtId="165" fontId="10" fillId="4" borderId="46" xfId="1" applyNumberFormat="1" applyFont="1" applyFill="1" applyBorder="1" applyAlignment="1" applyProtection="1">
      <alignment horizontal="center" vertical="center" wrapText="1"/>
      <protection hidden="1"/>
    </xf>
    <xf numFmtId="165" fontId="10" fillId="4" borderId="37" xfId="1" applyNumberFormat="1" applyFont="1" applyFill="1" applyBorder="1" applyAlignment="1" applyProtection="1">
      <alignment horizontal="center" vertical="center" wrapText="1"/>
      <protection hidden="1"/>
    </xf>
    <xf numFmtId="0" fontId="6" fillId="2" borderId="23" xfId="0" applyFont="1" applyFill="1" applyBorder="1" applyAlignment="1" applyProtection="1">
      <alignment horizontal="center" vertical="center" wrapText="1"/>
      <protection hidden="1"/>
    </xf>
    <xf numFmtId="0" fontId="6" fillId="2" borderId="4" xfId="0" applyFont="1" applyFill="1" applyBorder="1" applyAlignment="1" applyProtection="1">
      <alignment horizontal="center" vertical="center" wrapText="1"/>
      <protection hidden="1"/>
    </xf>
    <xf numFmtId="0" fontId="6" fillId="2" borderId="22" xfId="0" applyFont="1" applyFill="1" applyBorder="1" applyAlignment="1" applyProtection="1">
      <alignment horizontal="center" vertical="center" wrapText="1"/>
      <protection hidden="1"/>
    </xf>
    <xf numFmtId="165" fontId="6" fillId="2" borderId="24" xfId="1" applyNumberFormat="1" applyFont="1" applyFill="1" applyBorder="1" applyAlignment="1" applyProtection="1">
      <alignment horizontal="center" vertical="center" wrapText="1"/>
      <protection hidden="1"/>
    </xf>
    <xf numFmtId="165" fontId="6" fillId="2" borderId="22" xfId="1" applyNumberFormat="1" applyFont="1" applyFill="1" applyBorder="1" applyAlignment="1" applyProtection="1">
      <alignment horizontal="center" vertical="center" wrapText="1"/>
      <protection hidden="1"/>
    </xf>
    <xf numFmtId="0" fontId="7" fillId="3" borderId="47" xfId="0" applyFont="1" applyFill="1" applyBorder="1" applyAlignment="1" applyProtection="1">
      <alignment horizontal="center" vertical="center" wrapText="1"/>
      <protection hidden="1"/>
    </xf>
    <xf numFmtId="165" fontId="8" fillId="3" borderId="22" xfId="1" applyNumberFormat="1" applyFont="1" applyFill="1" applyBorder="1" applyAlignment="1" applyProtection="1">
      <alignment horizontal="center" vertical="center" wrapText="1"/>
      <protection hidden="1"/>
    </xf>
    <xf numFmtId="165" fontId="8" fillId="3" borderId="47" xfId="1" applyNumberFormat="1" applyFont="1" applyFill="1" applyBorder="1" applyAlignment="1" applyProtection="1">
      <alignment horizontal="center" vertical="center"/>
      <protection hidden="1"/>
    </xf>
    <xf numFmtId="165" fontId="8" fillId="4" borderId="10" xfId="1" applyNumberFormat="1" applyFont="1" applyFill="1" applyBorder="1" applyAlignment="1" applyProtection="1">
      <alignment horizontal="center" vertical="center" wrapText="1"/>
      <protection hidden="1"/>
    </xf>
    <xf numFmtId="165" fontId="8" fillId="4" borderId="51" xfId="1" applyNumberFormat="1" applyFont="1" applyFill="1" applyBorder="1" applyAlignment="1" applyProtection="1">
      <alignment horizontal="center" vertical="center"/>
      <protection hidden="1"/>
    </xf>
    <xf numFmtId="10" fontId="8" fillId="0" borderId="10" xfId="0" applyNumberFormat="1" applyFont="1" applyBorder="1" applyAlignment="1" applyProtection="1">
      <alignment horizontal="center" vertical="center" wrapText="1"/>
      <protection hidden="1"/>
    </xf>
    <xf numFmtId="0" fontId="7" fillId="3" borderId="14" xfId="0" applyFont="1" applyFill="1" applyBorder="1" applyAlignment="1" applyProtection="1">
      <alignment horizontal="center" vertical="center" wrapText="1"/>
      <protection hidden="1"/>
    </xf>
    <xf numFmtId="165" fontId="8" fillId="3" borderId="14" xfId="1" applyNumberFormat="1" applyFont="1" applyFill="1" applyBorder="1" applyAlignment="1" applyProtection="1">
      <alignment horizontal="center" vertical="center"/>
      <protection hidden="1"/>
    </xf>
    <xf numFmtId="165" fontId="8" fillId="4" borderId="52" xfId="1" applyNumberFormat="1" applyFont="1" applyFill="1" applyBorder="1" applyAlignment="1" applyProtection="1">
      <alignment horizontal="center" vertical="center"/>
      <protection hidden="1"/>
    </xf>
    <xf numFmtId="10" fontId="8" fillId="0" borderId="10" xfId="2" applyNumberFormat="1" applyFont="1" applyBorder="1" applyAlignment="1" applyProtection="1">
      <alignment horizontal="center" vertical="center" wrapText="1"/>
      <protection hidden="1"/>
    </xf>
    <xf numFmtId="165" fontId="8" fillId="0" borderId="10" xfId="1" applyNumberFormat="1" applyFont="1" applyFill="1" applyBorder="1" applyAlignment="1" applyProtection="1">
      <alignment horizontal="center" vertical="center"/>
      <protection hidden="1"/>
    </xf>
    <xf numFmtId="0" fontId="7" fillId="3" borderId="15" xfId="0" applyFont="1" applyFill="1" applyBorder="1" applyAlignment="1" applyProtection="1">
      <alignment horizontal="center" vertical="center" wrapText="1"/>
      <protection hidden="1"/>
    </xf>
    <xf numFmtId="165" fontId="8" fillId="3" borderId="15" xfId="1" applyNumberFormat="1" applyFont="1" applyFill="1" applyBorder="1" applyAlignment="1" applyProtection="1">
      <alignment horizontal="center" vertical="center"/>
      <protection hidden="1"/>
    </xf>
    <xf numFmtId="165" fontId="8" fillId="4" borderId="53" xfId="1" applyNumberFormat="1" applyFont="1" applyFill="1" applyBorder="1" applyAlignment="1" applyProtection="1">
      <alignment horizontal="center" vertical="center"/>
      <protection hidden="1"/>
    </xf>
    <xf numFmtId="0" fontId="11" fillId="5" borderId="3" xfId="0" applyFont="1" applyFill="1" applyBorder="1" applyAlignment="1" applyProtection="1">
      <alignment horizontal="center" vertical="center" wrapText="1" readingOrder="2"/>
      <protection hidden="1"/>
    </xf>
    <xf numFmtId="0" fontId="7" fillId="3" borderId="3" xfId="0" applyFont="1" applyFill="1" applyBorder="1" applyAlignment="1" applyProtection="1">
      <alignment horizontal="center" vertical="center" wrapText="1" readingOrder="2"/>
      <protection hidden="1"/>
    </xf>
    <xf numFmtId="37" fontId="10" fillId="3" borderId="2" xfId="0" applyNumberFormat="1" applyFont="1" applyFill="1" applyBorder="1" applyAlignment="1" applyProtection="1">
      <alignment horizontal="center" vertical="center" wrapText="1"/>
      <protection hidden="1"/>
    </xf>
    <xf numFmtId="165" fontId="10" fillId="3" borderId="3" xfId="0" applyNumberFormat="1" applyFont="1" applyFill="1" applyBorder="1" applyAlignment="1" applyProtection="1">
      <alignment horizontal="center" vertical="center"/>
      <protection hidden="1"/>
    </xf>
    <xf numFmtId="37" fontId="10" fillId="4" borderId="2" xfId="0" applyNumberFormat="1" applyFont="1" applyFill="1" applyBorder="1" applyAlignment="1" applyProtection="1">
      <alignment horizontal="center" vertical="center" wrapText="1"/>
      <protection hidden="1"/>
    </xf>
    <xf numFmtId="165" fontId="10" fillId="4" borderId="54" xfId="1" applyNumberFormat="1" applyFont="1" applyFill="1" applyBorder="1" applyAlignment="1" applyProtection="1">
      <alignment horizontal="center" vertical="center"/>
      <protection hidden="1"/>
    </xf>
    <xf numFmtId="10" fontId="10" fillId="0" borderId="48" xfId="2" applyNumberFormat="1" applyFont="1" applyBorder="1" applyAlignment="1" applyProtection="1">
      <alignment horizontal="center" vertical="center" wrapText="1"/>
      <protection hidden="1"/>
    </xf>
    <xf numFmtId="0" fontId="6" fillId="2" borderId="33" xfId="0" applyFont="1" applyFill="1" applyBorder="1" applyAlignment="1" applyProtection="1">
      <alignment horizontal="center" vertical="center" wrapText="1"/>
      <protection hidden="1"/>
    </xf>
    <xf numFmtId="0" fontId="6" fillId="2" borderId="9" xfId="0" applyFont="1" applyFill="1" applyBorder="1" applyAlignment="1" applyProtection="1">
      <alignment horizontal="center" vertical="center" wrapText="1" readingOrder="2"/>
      <protection hidden="1"/>
    </xf>
    <xf numFmtId="0" fontId="6" fillId="2" borderId="24" xfId="0" applyFont="1" applyFill="1" applyBorder="1" applyAlignment="1" applyProtection="1">
      <alignment horizontal="center" vertical="center" wrapText="1"/>
      <protection hidden="1"/>
    </xf>
    <xf numFmtId="0" fontId="6" fillId="2" borderId="25" xfId="0" applyFont="1" applyFill="1" applyBorder="1" applyAlignment="1" applyProtection="1">
      <alignment horizontal="center" vertical="center" wrapText="1"/>
      <protection hidden="1"/>
    </xf>
    <xf numFmtId="0" fontId="6" fillId="2" borderId="34" xfId="0" applyFont="1" applyFill="1" applyBorder="1" applyAlignment="1" applyProtection="1">
      <alignment horizontal="center" vertical="center" wrapText="1"/>
      <protection hidden="1"/>
    </xf>
    <xf numFmtId="0" fontId="6" fillId="2" borderId="9" xfId="0" applyFont="1" applyFill="1" applyBorder="1" applyAlignment="1" applyProtection="1">
      <alignment horizontal="center" vertical="center" wrapText="1"/>
      <protection hidden="1"/>
    </xf>
    <xf numFmtId="0" fontId="6" fillId="2" borderId="4" xfId="0" applyFont="1" applyFill="1" applyBorder="1" applyAlignment="1" applyProtection="1">
      <alignment horizontal="center" vertical="center" wrapText="1" readingOrder="2"/>
      <protection hidden="1"/>
    </xf>
    <xf numFmtId="165" fontId="8" fillId="0" borderId="47" xfId="1" applyNumberFormat="1" applyFont="1" applyBorder="1" applyAlignment="1" applyProtection="1">
      <alignment horizontal="center" vertical="center" wrapText="1"/>
      <protection hidden="1"/>
    </xf>
    <xf numFmtId="0" fontId="5" fillId="0" borderId="22" xfId="0" applyFont="1" applyBorder="1" applyAlignment="1" applyProtection="1">
      <alignment horizontal="center" vertical="center" wrapText="1" readingOrder="2"/>
      <protection hidden="1"/>
    </xf>
    <xf numFmtId="165" fontId="8" fillId="0" borderId="14" xfId="1" applyNumberFormat="1" applyFont="1" applyBorder="1" applyAlignment="1" applyProtection="1">
      <alignment horizontal="center" vertical="center" wrapText="1"/>
      <protection hidden="1"/>
    </xf>
    <xf numFmtId="0" fontId="5" fillId="0" borderId="10" xfId="0" applyFont="1" applyBorder="1" applyAlignment="1" applyProtection="1">
      <alignment horizontal="center" vertical="center" wrapText="1" readingOrder="2"/>
      <protection hidden="1"/>
    </xf>
    <xf numFmtId="0" fontId="6" fillId="2" borderId="32" xfId="0" applyFont="1" applyFill="1" applyBorder="1" applyAlignment="1" applyProtection="1">
      <alignment horizontal="center" vertical="center" wrapText="1"/>
      <protection hidden="1"/>
    </xf>
    <xf numFmtId="165" fontId="5" fillId="0" borderId="10" xfId="0" applyNumberFormat="1" applyFont="1" applyBorder="1" applyAlignment="1" applyProtection="1">
      <alignment horizontal="center" vertical="center" wrapText="1" readingOrder="2"/>
      <protection hidden="1"/>
    </xf>
    <xf numFmtId="165" fontId="8" fillId="4" borderId="19" xfId="1" applyNumberFormat="1" applyFont="1" applyFill="1" applyBorder="1" applyAlignment="1" applyProtection="1">
      <alignment horizontal="center" vertical="center" wrapText="1"/>
      <protection hidden="1"/>
    </xf>
    <xf numFmtId="165" fontId="8" fillId="4" borderId="20" xfId="1" applyNumberFormat="1" applyFont="1" applyFill="1" applyBorder="1" applyAlignment="1" applyProtection="1">
      <alignment horizontal="center" vertical="center" wrapText="1"/>
      <protection hidden="1"/>
    </xf>
    <xf numFmtId="165" fontId="8" fillId="4" borderId="21" xfId="1" applyNumberFormat="1" applyFont="1" applyFill="1" applyBorder="1" applyAlignment="1" applyProtection="1">
      <alignment horizontal="center" vertical="center" wrapText="1"/>
      <protection hidden="1"/>
    </xf>
    <xf numFmtId="165" fontId="8" fillId="0" borderId="15" xfId="1" applyNumberFormat="1" applyFont="1" applyBorder="1" applyAlignment="1" applyProtection="1">
      <alignment horizontal="center" vertical="center" wrapText="1"/>
      <protection hidden="1"/>
    </xf>
    <xf numFmtId="37" fontId="10" fillId="3" borderId="4" xfId="0" applyNumberFormat="1" applyFont="1" applyFill="1" applyBorder="1" applyAlignment="1" applyProtection="1">
      <alignment horizontal="center" vertical="center" wrapText="1"/>
      <protection hidden="1"/>
    </xf>
    <xf numFmtId="165" fontId="10" fillId="0" borderId="3" xfId="1" applyNumberFormat="1" applyFont="1" applyBorder="1" applyAlignment="1" applyProtection="1">
      <alignment horizontal="center" vertical="center" wrapText="1"/>
      <protection hidden="1"/>
    </xf>
    <xf numFmtId="0" fontId="0" fillId="0" borderId="10" xfId="0" applyBorder="1" applyAlignment="1" applyProtection="1">
      <alignment horizontal="center" vertical="center" wrapText="1" readingOrder="2"/>
      <protection hidden="1"/>
    </xf>
    <xf numFmtId="0" fontId="6" fillId="2" borderId="3" xfId="0" applyFont="1" applyFill="1" applyBorder="1" applyAlignment="1" applyProtection="1">
      <alignment horizontal="center" vertical="center" wrapText="1"/>
      <protection hidden="1"/>
    </xf>
    <xf numFmtId="0" fontId="0" fillId="0" borderId="3" xfId="0" applyBorder="1" applyAlignment="1" applyProtection="1">
      <alignment horizontal="center" vertical="center" wrapText="1"/>
      <protection hidden="1"/>
    </xf>
    <xf numFmtId="165" fontId="10" fillId="0" borderId="2" xfId="1" applyNumberFormat="1" applyFont="1" applyBorder="1" applyAlignment="1" applyProtection="1">
      <alignment horizontal="center" vertical="center" wrapText="1" readingOrder="2"/>
      <protection hidden="1"/>
    </xf>
    <xf numFmtId="0" fontId="6" fillId="2" borderId="11" xfId="0" applyFont="1" applyFill="1" applyBorder="1" applyAlignment="1" applyProtection="1">
      <alignment horizontal="center" vertical="center" wrapText="1"/>
      <protection hidden="1"/>
    </xf>
    <xf numFmtId="0" fontId="6" fillId="2" borderId="12" xfId="0" applyFont="1" applyFill="1" applyBorder="1" applyAlignment="1" applyProtection="1">
      <alignment horizontal="center" vertical="center" wrapText="1"/>
      <protection hidden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 applyProtection="1">
      <alignment horizontal="center" vertical="center" wrapText="1"/>
      <protection hidden="1"/>
    </xf>
    <xf numFmtId="0" fontId="6" fillId="2" borderId="49" xfId="0" applyFont="1" applyFill="1" applyBorder="1" applyAlignment="1" applyProtection="1">
      <alignment horizontal="center" vertical="center" wrapText="1"/>
      <protection hidden="1"/>
    </xf>
    <xf numFmtId="0" fontId="6" fillId="2" borderId="50" xfId="0" applyFont="1" applyFill="1" applyBorder="1" applyAlignment="1" applyProtection="1">
      <alignment horizontal="center" vertical="center" wrapText="1"/>
      <protection hidden="1"/>
    </xf>
    <xf numFmtId="0" fontId="6" fillId="2" borderId="49" xfId="0" applyFont="1" applyFill="1" applyBorder="1" applyAlignment="1">
      <alignment horizontal="center" vertical="center" wrapText="1"/>
    </xf>
    <xf numFmtId="0" fontId="6" fillId="2" borderId="50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CFB780"/>
      <color rgb="FF090C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83"/>
  <sheetViews>
    <sheetView rightToLeft="1" tabSelected="1" topLeftCell="F25" zoomScaleNormal="100" zoomScalePageLayoutView="10" workbookViewId="0">
      <selection activeCell="K33" sqref="K33"/>
    </sheetView>
  </sheetViews>
  <sheetFormatPr defaultColWidth="12.42578125" defaultRowHeight="18.75" x14ac:dyDescent="0.25"/>
  <cols>
    <col min="1" max="1" width="17.5703125" style="5" bestFit="1" customWidth="1"/>
    <col min="2" max="2" width="55.85546875" style="4" bestFit="1" customWidth="1"/>
    <col min="3" max="3" width="28.7109375" style="1" bestFit="1" customWidth="1"/>
    <col min="4" max="4" width="23.42578125" style="1" bestFit="1" customWidth="1"/>
    <col min="5" max="5" width="22.5703125" style="1" bestFit="1" customWidth="1"/>
    <col min="6" max="6" width="22.28515625" style="1" bestFit="1" customWidth="1"/>
    <col min="7" max="7" width="25" style="1" bestFit="1" customWidth="1"/>
    <col min="8" max="8" width="22.5703125" style="16" bestFit="1" customWidth="1"/>
    <col min="9" max="9" width="22.28515625" style="1" bestFit="1" customWidth="1"/>
    <col min="10" max="10" width="22.5703125" style="1" bestFit="1" customWidth="1"/>
    <col min="11" max="11" width="26.7109375" style="1" bestFit="1" customWidth="1"/>
    <col min="12" max="15" width="22.5703125" style="1" bestFit="1" customWidth="1"/>
    <col min="16" max="16" width="26.7109375" style="1" bestFit="1" customWidth="1"/>
    <col min="17" max="17" width="34.7109375" style="1" bestFit="1" customWidth="1"/>
    <col min="18" max="18" width="59.42578125" style="15" bestFit="1" customWidth="1"/>
    <col min="19" max="16384" width="12.42578125" style="1"/>
  </cols>
  <sheetData>
    <row r="1" spans="1:18" s="5" customFormat="1" ht="38.25" thickBot="1" x14ac:dyDescent="0.3">
      <c r="A1" s="8" t="s">
        <v>0</v>
      </c>
      <c r="B1" s="7" t="s">
        <v>1</v>
      </c>
      <c r="C1" s="9" t="s">
        <v>58</v>
      </c>
      <c r="D1" s="9" t="s">
        <v>4</v>
      </c>
      <c r="E1" s="9" t="s">
        <v>72</v>
      </c>
      <c r="F1" s="3" t="s">
        <v>59</v>
      </c>
      <c r="G1" s="3" t="s">
        <v>7</v>
      </c>
      <c r="H1" s="3" t="s">
        <v>8</v>
      </c>
      <c r="I1" s="3" t="s">
        <v>9</v>
      </c>
      <c r="J1" s="11" t="s">
        <v>10</v>
      </c>
      <c r="K1" s="3" t="s">
        <v>92</v>
      </c>
      <c r="L1" s="13" t="s">
        <v>12</v>
      </c>
      <c r="M1" s="3" t="s">
        <v>13</v>
      </c>
      <c r="N1" s="10" t="s">
        <v>14</v>
      </c>
      <c r="O1" s="2" t="s">
        <v>15</v>
      </c>
      <c r="P1" s="3" t="s">
        <v>91</v>
      </c>
      <c r="R1" s="4"/>
    </row>
    <row r="2" spans="1:18" x14ac:dyDescent="0.25">
      <c r="A2" s="124" t="s">
        <v>2</v>
      </c>
      <c r="B2" s="21" t="s">
        <v>23</v>
      </c>
      <c r="C2" s="22" t="s">
        <v>24</v>
      </c>
      <c r="D2" s="23">
        <v>400000</v>
      </c>
      <c r="E2" s="24">
        <v>56451</v>
      </c>
      <c r="F2" s="25">
        <v>400000</v>
      </c>
      <c r="G2" s="26">
        <v>0</v>
      </c>
      <c r="H2" s="27">
        <v>0</v>
      </c>
      <c r="I2" s="27">
        <v>0</v>
      </c>
      <c r="J2" s="28">
        <v>0</v>
      </c>
      <c r="K2" s="29">
        <v>400000</v>
      </c>
      <c r="L2" s="30">
        <v>0</v>
      </c>
      <c r="M2" s="31">
        <v>0</v>
      </c>
      <c r="N2" s="31">
        <v>0</v>
      </c>
      <c r="O2" s="32">
        <v>0</v>
      </c>
      <c r="P2" s="29">
        <f>K2+SUM(L2:O2)</f>
        <v>400000</v>
      </c>
    </row>
    <row r="3" spans="1:18" x14ac:dyDescent="0.25">
      <c r="A3" s="125"/>
      <c r="B3" s="21" t="s">
        <v>26</v>
      </c>
      <c r="C3" s="33" t="s">
        <v>40</v>
      </c>
      <c r="D3" s="34">
        <v>500000</v>
      </c>
      <c r="E3" s="35">
        <v>517786</v>
      </c>
      <c r="F3" s="36">
        <v>500000</v>
      </c>
      <c r="G3" s="26">
        <v>0</v>
      </c>
      <c r="H3" s="27">
        <v>0</v>
      </c>
      <c r="I3" s="27">
        <v>0</v>
      </c>
      <c r="J3" s="28">
        <v>0</v>
      </c>
      <c r="K3" s="29">
        <v>500000</v>
      </c>
      <c r="L3" s="37">
        <v>0</v>
      </c>
      <c r="M3" s="27">
        <v>0</v>
      </c>
      <c r="N3" s="27">
        <v>0</v>
      </c>
      <c r="O3" s="38">
        <v>0</v>
      </c>
      <c r="P3" s="29">
        <f t="shared" ref="P3:P24" si="0">K3+SUM(L3:O3)</f>
        <v>500000</v>
      </c>
    </row>
    <row r="4" spans="1:18" x14ac:dyDescent="0.25">
      <c r="A4" s="125"/>
      <c r="B4" s="39" t="s">
        <v>27</v>
      </c>
      <c r="C4" s="33" t="s">
        <v>21</v>
      </c>
      <c r="D4" s="34">
        <v>600000</v>
      </c>
      <c r="E4" s="35">
        <v>333010</v>
      </c>
      <c r="F4" s="36">
        <v>0</v>
      </c>
      <c r="G4" s="26">
        <v>0</v>
      </c>
      <c r="H4" s="27">
        <v>90045</v>
      </c>
      <c r="I4" s="27">
        <v>60045</v>
      </c>
      <c r="J4" s="28">
        <v>120045</v>
      </c>
      <c r="K4" s="29">
        <v>270135</v>
      </c>
      <c r="L4" s="37">
        <v>0</v>
      </c>
      <c r="M4" s="27">
        <v>0</v>
      </c>
      <c r="N4" s="27">
        <v>0</v>
      </c>
      <c r="O4" s="38">
        <v>0</v>
      </c>
      <c r="P4" s="29">
        <f t="shared" si="0"/>
        <v>270135</v>
      </c>
    </row>
    <row r="5" spans="1:18" x14ac:dyDescent="0.25">
      <c r="A5" s="125"/>
      <c r="B5" s="21" t="s">
        <v>25</v>
      </c>
      <c r="C5" s="33" t="s">
        <v>41</v>
      </c>
      <c r="D5" s="34">
        <v>1000000</v>
      </c>
      <c r="E5" s="35">
        <v>852940</v>
      </c>
      <c r="F5" s="36">
        <v>1000000</v>
      </c>
      <c r="G5" s="26">
        <v>0</v>
      </c>
      <c r="H5" s="27">
        <v>0</v>
      </c>
      <c r="I5" s="27">
        <v>0</v>
      </c>
      <c r="J5" s="28">
        <v>0</v>
      </c>
      <c r="K5" s="29">
        <v>1000000</v>
      </c>
      <c r="L5" s="37">
        <v>0</v>
      </c>
      <c r="M5" s="27">
        <v>0</v>
      </c>
      <c r="N5" s="27">
        <v>0</v>
      </c>
      <c r="O5" s="38">
        <v>0</v>
      </c>
      <c r="P5" s="29">
        <f t="shared" si="0"/>
        <v>1000000</v>
      </c>
    </row>
    <row r="6" spans="1:18" x14ac:dyDescent="0.25">
      <c r="A6" s="126"/>
      <c r="B6" s="21" t="s">
        <v>6</v>
      </c>
      <c r="C6" s="33" t="s">
        <v>42</v>
      </c>
      <c r="D6" s="34">
        <v>800000</v>
      </c>
      <c r="E6" s="35">
        <v>1133988</v>
      </c>
      <c r="F6" s="36">
        <v>800000</v>
      </c>
      <c r="G6" s="26">
        <v>0</v>
      </c>
      <c r="H6" s="27">
        <v>0</v>
      </c>
      <c r="I6" s="27">
        <v>0</v>
      </c>
      <c r="J6" s="28">
        <v>0</v>
      </c>
      <c r="K6" s="29">
        <v>800000</v>
      </c>
      <c r="L6" s="37">
        <v>0</v>
      </c>
      <c r="M6" s="27">
        <v>0</v>
      </c>
      <c r="N6" s="27">
        <v>0</v>
      </c>
      <c r="O6" s="38">
        <v>0</v>
      </c>
      <c r="P6" s="29">
        <f t="shared" si="0"/>
        <v>800000</v>
      </c>
    </row>
    <row r="7" spans="1:18" x14ac:dyDescent="0.25">
      <c r="A7" s="6" t="s">
        <v>3</v>
      </c>
      <c r="B7" s="39" t="s">
        <v>28</v>
      </c>
      <c r="C7" s="33" t="s">
        <v>43</v>
      </c>
      <c r="D7" s="34">
        <v>250000</v>
      </c>
      <c r="E7" s="35">
        <v>218726</v>
      </c>
      <c r="F7" s="36">
        <v>163584</v>
      </c>
      <c r="G7" s="26">
        <v>6606</v>
      </c>
      <c r="H7" s="27">
        <v>0</v>
      </c>
      <c r="I7" s="27">
        <v>12107</v>
      </c>
      <c r="J7" s="28">
        <v>0</v>
      </c>
      <c r="K7" s="29">
        <v>182297</v>
      </c>
      <c r="L7" s="37">
        <v>10260</v>
      </c>
      <c r="M7" s="27">
        <v>0</v>
      </c>
      <c r="N7" s="27">
        <v>11316</v>
      </c>
      <c r="O7" s="38">
        <v>0</v>
      </c>
      <c r="P7" s="29">
        <f t="shared" si="0"/>
        <v>203873</v>
      </c>
    </row>
    <row r="8" spans="1:18" x14ac:dyDescent="0.25">
      <c r="A8" s="130" t="s">
        <v>5</v>
      </c>
      <c r="B8" s="21" t="s">
        <v>29</v>
      </c>
      <c r="C8" s="33" t="s">
        <v>44</v>
      </c>
      <c r="D8" s="34">
        <v>1000000</v>
      </c>
      <c r="E8" s="35">
        <v>1765207</v>
      </c>
      <c r="F8" s="36">
        <v>1000000</v>
      </c>
      <c r="G8" s="26">
        <v>0</v>
      </c>
      <c r="H8" s="27">
        <v>0</v>
      </c>
      <c r="I8" s="27">
        <v>0</v>
      </c>
      <c r="J8" s="28">
        <v>0</v>
      </c>
      <c r="K8" s="29">
        <v>1000000</v>
      </c>
      <c r="L8" s="37">
        <v>0</v>
      </c>
      <c r="M8" s="27">
        <v>0</v>
      </c>
      <c r="N8" s="27">
        <v>0</v>
      </c>
      <c r="O8" s="38">
        <v>0</v>
      </c>
      <c r="P8" s="29">
        <f t="shared" si="0"/>
        <v>1000000</v>
      </c>
    </row>
    <row r="9" spans="1:18" x14ac:dyDescent="0.25">
      <c r="A9" s="131"/>
      <c r="B9" s="39" t="s">
        <v>30</v>
      </c>
      <c r="C9" s="33" t="s">
        <v>45</v>
      </c>
      <c r="D9" s="34">
        <v>335000</v>
      </c>
      <c r="E9" s="35">
        <f>121358+44287</f>
        <v>165645</v>
      </c>
      <c r="F9" s="36">
        <v>39310</v>
      </c>
      <c r="G9" s="26">
        <v>24573</v>
      </c>
      <c r="H9" s="27">
        <v>0</v>
      </c>
      <c r="I9" s="27">
        <v>0</v>
      </c>
      <c r="J9" s="28">
        <v>38656</v>
      </c>
      <c r="K9" s="29">
        <v>102539</v>
      </c>
      <c r="L9" s="37">
        <v>0</v>
      </c>
      <c r="M9" s="27">
        <v>35031</v>
      </c>
      <c r="N9" s="27">
        <v>0</v>
      </c>
      <c r="O9" s="38">
        <v>44287</v>
      </c>
      <c r="P9" s="29">
        <f t="shared" si="0"/>
        <v>181857</v>
      </c>
    </row>
    <row r="10" spans="1:18" ht="33.75" x14ac:dyDescent="0.25">
      <c r="A10" s="124" t="s">
        <v>11</v>
      </c>
      <c r="B10" s="39" t="s">
        <v>62</v>
      </c>
      <c r="C10" s="33" t="s">
        <v>22</v>
      </c>
      <c r="D10" s="34">
        <f>350000*1.16486</f>
        <v>407701</v>
      </c>
      <c r="E10" s="35">
        <v>116487.16486</v>
      </c>
      <c r="F10" s="36">
        <v>0</v>
      </c>
      <c r="G10" s="26">
        <v>0</v>
      </c>
      <c r="H10" s="27">
        <v>0</v>
      </c>
      <c r="I10" s="27">
        <v>0</v>
      </c>
      <c r="J10" s="28">
        <v>0</v>
      </c>
      <c r="K10" s="29">
        <v>0</v>
      </c>
      <c r="L10" s="37">
        <v>0</v>
      </c>
      <c r="M10" s="27">
        <v>0</v>
      </c>
      <c r="N10" s="27">
        <v>0</v>
      </c>
      <c r="O10" s="38">
        <f>100000*1.16486</f>
        <v>116486</v>
      </c>
      <c r="P10" s="29">
        <f t="shared" si="0"/>
        <v>116486</v>
      </c>
    </row>
    <row r="11" spans="1:18" x14ac:dyDescent="0.25">
      <c r="A11" s="125"/>
      <c r="B11" s="21" t="s">
        <v>31</v>
      </c>
      <c r="C11" s="33" t="s">
        <v>24</v>
      </c>
      <c r="D11" s="34">
        <v>600000</v>
      </c>
      <c r="E11" s="35">
        <v>279728</v>
      </c>
      <c r="F11" s="36">
        <v>600000</v>
      </c>
      <c r="G11" s="26">
        <v>0</v>
      </c>
      <c r="H11" s="27">
        <v>0</v>
      </c>
      <c r="I11" s="27">
        <v>0</v>
      </c>
      <c r="J11" s="28">
        <v>0</v>
      </c>
      <c r="K11" s="29">
        <v>600000</v>
      </c>
      <c r="L11" s="37">
        <v>0</v>
      </c>
      <c r="M11" s="27">
        <v>0</v>
      </c>
      <c r="N11" s="27">
        <v>0</v>
      </c>
      <c r="O11" s="38">
        <v>0</v>
      </c>
      <c r="P11" s="29">
        <f t="shared" si="0"/>
        <v>600000</v>
      </c>
    </row>
    <row r="12" spans="1:18" x14ac:dyDescent="0.25">
      <c r="A12" s="125"/>
      <c r="B12" s="21" t="s">
        <v>32</v>
      </c>
      <c r="C12" s="33" t="s">
        <v>43</v>
      </c>
      <c r="D12" s="34">
        <v>600000</v>
      </c>
      <c r="E12" s="35">
        <v>588636</v>
      </c>
      <c r="F12" s="36">
        <v>600000</v>
      </c>
      <c r="G12" s="26">
        <v>0</v>
      </c>
      <c r="H12" s="27">
        <v>0</v>
      </c>
      <c r="I12" s="27">
        <v>0</v>
      </c>
      <c r="J12" s="28">
        <v>0</v>
      </c>
      <c r="K12" s="29">
        <v>591495</v>
      </c>
      <c r="L12" s="37">
        <v>0</v>
      </c>
      <c r="M12" s="27">
        <v>0</v>
      </c>
      <c r="N12" s="27">
        <v>0</v>
      </c>
      <c r="O12" s="38">
        <v>0</v>
      </c>
      <c r="P12" s="29">
        <f t="shared" si="0"/>
        <v>591495</v>
      </c>
    </row>
    <row r="13" spans="1:18" ht="33.75" x14ac:dyDescent="0.25">
      <c r="A13" s="125"/>
      <c r="B13" s="21" t="s">
        <v>61</v>
      </c>
      <c r="C13" s="33" t="s">
        <v>45</v>
      </c>
      <c r="D13" s="34">
        <f>400000*1.16486</f>
        <v>465944</v>
      </c>
      <c r="E13" s="35">
        <v>459209.94433999999</v>
      </c>
      <c r="F13" s="36">
        <v>465944</v>
      </c>
      <c r="G13" s="26">
        <v>0</v>
      </c>
      <c r="H13" s="27">
        <v>0</v>
      </c>
      <c r="I13" s="27">
        <v>0</v>
      </c>
      <c r="J13" s="28">
        <v>0</v>
      </c>
      <c r="K13" s="29">
        <v>465944</v>
      </c>
      <c r="L13" s="37">
        <v>0</v>
      </c>
      <c r="M13" s="27">
        <v>0</v>
      </c>
      <c r="N13" s="27">
        <v>0</v>
      </c>
      <c r="O13" s="38">
        <v>0</v>
      </c>
      <c r="P13" s="29">
        <f t="shared" si="0"/>
        <v>465944</v>
      </c>
    </row>
    <row r="14" spans="1:18" x14ac:dyDescent="0.25">
      <c r="A14" s="125"/>
      <c r="B14" s="21" t="s">
        <v>20</v>
      </c>
      <c r="C14" s="33" t="s">
        <v>50</v>
      </c>
      <c r="D14" s="34">
        <v>500000</v>
      </c>
      <c r="E14" s="35">
        <v>500000</v>
      </c>
      <c r="F14" s="36">
        <v>500000</v>
      </c>
      <c r="G14" s="26">
        <v>0</v>
      </c>
      <c r="H14" s="27">
        <v>0</v>
      </c>
      <c r="I14" s="27">
        <v>0</v>
      </c>
      <c r="J14" s="28">
        <v>0</v>
      </c>
      <c r="K14" s="29">
        <v>500000</v>
      </c>
      <c r="L14" s="37">
        <v>0</v>
      </c>
      <c r="M14" s="27">
        <v>0</v>
      </c>
      <c r="N14" s="27">
        <v>0</v>
      </c>
      <c r="O14" s="38">
        <v>0</v>
      </c>
      <c r="P14" s="29">
        <f t="shared" si="0"/>
        <v>500000</v>
      </c>
    </row>
    <row r="15" spans="1:18" ht="33.75" x14ac:dyDescent="0.25">
      <c r="A15" s="125"/>
      <c r="B15" s="21" t="s">
        <v>68</v>
      </c>
      <c r="C15" s="33" t="s">
        <v>52</v>
      </c>
      <c r="D15" s="34">
        <f>2000000*0.3044</f>
        <v>608800</v>
      </c>
      <c r="E15" s="35">
        <v>572637.28</v>
      </c>
      <c r="F15" s="36">
        <v>0</v>
      </c>
      <c r="G15" s="26">
        <v>0</v>
      </c>
      <c r="H15" s="27">
        <v>0</v>
      </c>
      <c r="I15" s="27">
        <v>0</v>
      </c>
      <c r="J15" s="28">
        <v>0</v>
      </c>
      <c r="K15" s="29">
        <v>0</v>
      </c>
      <c r="L15" s="37">
        <f>1700000*0.3044</f>
        <v>517480</v>
      </c>
      <c r="M15" s="27">
        <v>0</v>
      </c>
      <c r="N15" s="27">
        <v>0</v>
      </c>
      <c r="O15" s="38">
        <f>181200*0.3044</f>
        <v>55157.279999999999</v>
      </c>
      <c r="P15" s="29">
        <f t="shared" si="0"/>
        <v>572637.28</v>
      </c>
    </row>
    <row r="16" spans="1:18" x14ac:dyDescent="0.25">
      <c r="A16" s="125"/>
      <c r="B16" s="21" t="s">
        <v>33</v>
      </c>
      <c r="C16" s="33" t="s">
        <v>51</v>
      </c>
      <c r="D16" s="34">
        <v>500000</v>
      </c>
      <c r="E16" s="35">
        <v>465074</v>
      </c>
      <c r="F16" s="36">
        <v>500000</v>
      </c>
      <c r="G16" s="26">
        <v>0</v>
      </c>
      <c r="H16" s="27">
        <v>0</v>
      </c>
      <c r="I16" s="27">
        <v>0</v>
      </c>
      <c r="J16" s="28">
        <v>0</v>
      </c>
      <c r="K16" s="29">
        <v>500000</v>
      </c>
      <c r="L16" s="37">
        <v>0</v>
      </c>
      <c r="M16" s="27">
        <v>0</v>
      </c>
      <c r="N16" s="27">
        <v>0</v>
      </c>
      <c r="O16" s="38">
        <v>0</v>
      </c>
      <c r="P16" s="29">
        <f t="shared" si="0"/>
        <v>500000</v>
      </c>
    </row>
    <row r="17" spans="1:18" x14ac:dyDescent="0.25">
      <c r="A17" s="125"/>
      <c r="B17" s="21" t="s">
        <v>34</v>
      </c>
      <c r="C17" s="33" t="s">
        <v>44</v>
      </c>
      <c r="D17" s="34">
        <v>300000</v>
      </c>
      <c r="E17" s="35">
        <v>290187</v>
      </c>
      <c r="F17" s="36">
        <v>300000</v>
      </c>
      <c r="G17" s="26">
        <v>0</v>
      </c>
      <c r="H17" s="27">
        <v>0</v>
      </c>
      <c r="I17" s="27">
        <v>0</v>
      </c>
      <c r="J17" s="28">
        <v>0</v>
      </c>
      <c r="K17" s="29">
        <v>300000</v>
      </c>
      <c r="L17" s="37">
        <v>0</v>
      </c>
      <c r="M17" s="27">
        <v>0</v>
      </c>
      <c r="N17" s="27">
        <v>0</v>
      </c>
      <c r="O17" s="38">
        <v>0</v>
      </c>
      <c r="P17" s="29">
        <f t="shared" si="0"/>
        <v>300000</v>
      </c>
    </row>
    <row r="18" spans="1:18" x14ac:dyDescent="0.25">
      <c r="A18" s="125"/>
      <c r="B18" s="21" t="s">
        <v>35</v>
      </c>
      <c r="C18" s="33" t="s">
        <v>53</v>
      </c>
      <c r="D18" s="34">
        <v>500000</v>
      </c>
      <c r="E18" s="35">
        <v>500000</v>
      </c>
      <c r="F18" s="36">
        <v>500000</v>
      </c>
      <c r="G18" s="26">
        <v>0</v>
      </c>
      <c r="H18" s="27">
        <v>0</v>
      </c>
      <c r="I18" s="27">
        <v>0</v>
      </c>
      <c r="J18" s="28">
        <v>0</v>
      </c>
      <c r="K18" s="29">
        <v>500000</v>
      </c>
      <c r="L18" s="37">
        <v>0</v>
      </c>
      <c r="M18" s="27">
        <v>0</v>
      </c>
      <c r="N18" s="27">
        <v>0</v>
      </c>
      <c r="O18" s="38">
        <v>0</v>
      </c>
      <c r="P18" s="29">
        <f t="shared" si="0"/>
        <v>500000</v>
      </c>
    </row>
    <row r="19" spans="1:18" x14ac:dyDescent="0.25">
      <c r="A19" s="125"/>
      <c r="B19" s="21" t="s">
        <v>36</v>
      </c>
      <c r="C19" s="33" t="s">
        <v>54</v>
      </c>
      <c r="D19" s="34">
        <v>500000</v>
      </c>
      <c r="E19" s="35">
        <v>191993</v>
      </c>
      <c r="F19" s="36">
        <v>500000</v>
      </c>
      <c r="G19" s="26"/>
      <c r="H19" s="27"/>
      <c r="I19" s="27"/>
      <c r="J19" s="28"/>
      <c r="K19" s="29">
        <v>500000</v>
      </c>
      <c r="L19" s="37"/>
      <c r="M19" s="27"/>
      <c r="N19" s="27"/>
      <c r="O19" s="38">
        <v>0</v>
      </c>
      <c r="P19" s="29">
        <f t="shared" si="0"/>
        <v>500000</v>
      </c>
    </row>
    <row r="20" spans="1:18" ht="33.75" x14ac:dyDescent="0.25">
      <c r="A20" s="125"/>
      <c r="B20" s="21" t="s">
        <v>60</v>
      </c>
      <c r="C20" s="33" t="s">
        <v>52</v>
      </c>
      <c r="D20" s="34">
        <f>510000*1.16486</f>
        <v>594078.6</v>
      </c>
      <c r="E20" s="35">
        <v>594078.6</v>
      </c>
      <c r="F20" s="36">
        <v>0</v>
      </c>
      <c r="G20" s="26">
        <v>0</v>
      </c>
      <c r="H20" s="27">
        <v>0</v>
      </c>
      <c r="I20" s="27">
        <v>0</v>
      </c>
      <c r="J20" s="28">
        <v>0</v>
      </c>
      <c r="K20" s="29">
        <v>0</v>
      </c>
      <c r="L20" s="37">
        <v>594078.6</v>
      </c>
      <c r="M20" s="27">
        <v>0</v>
      </c>
      <c r="N20" s="27">
        <v>0</v>
      </c>
      <c r="O20" s="38">
        <v>0</v>
      </c>
      <c r="P20" s="29">
        <f t="shared" si="0"/>
        <v>594078.6</v>
      </c>
    </row>
    <row r="21" spans="1:18" x14ac:dyDescent="0.25">
      <c r="A21" s="125"/>
      <c r="B21" s="21" t="s">
        <v>37</v>
      </c>
      <c r="C21" s="33" t="s">
        <v>42</v>
      </c>
      <c r="D21" s="34">
        <v>500000</v>
      </c>
      <c r="E21" s="35">
        <v>500000</v>
      </c>
      <c r="F21" s="36">
        <v>500000</v>
      </c>
      <c r="G21" s="26">
        <v>0</v>
      </c>
      <c r="H21" s="27">
        <v>0</v>
      </c>
      <c r="I21" s="27">
        <v>0</v>
      </c>
      <c r="J21" s="28">
        <v>0</v>
      </c>
      <c r="K21" s="29">
        <v>500000</v>
      </c>
      <c r="L21" s="37">
        <v>0</v>
      </c>
      <c r="M21" s="27">
        <v>0</v>
      </c>
      <c r="N21" s="27">
        <v>0</v>
      </c>
      <c r="O21" s="38">
        <v>0</v>
      </c>
      <c r="P21" s="29">
        <f t="shared" si="0"/>
        <v>500000</v>
      </c>
    </row>
    <row r="22" spans="1:18" x14ac:dyDescent="0.25">
      <c r="A22" s="125"/>
      <c r="B22" s="21" t="s">
        <v>38</v>
      </c>
      <c r="C22" s="33" t="s">
        <v>44</v>
      </c>
      <c r="D22" s="34">
        <v>475000</v>
      </c>
      <c r="E22" s="35">
        <v>475000</v>
      </c>
      <c r="F22" s="36">
        <v>475000</v>
      </c>
      <c r="G22" s="26">
        <v>0</v>
      </c>
      <c r="H22" s="27">
        <v>0</v>
      </c>
      <c r="I22" s="27">
        <v>0</v>
      </c>
      <c r="J22" s="28">
        <v>0</v>
      </c>
      <c r="K22" s="29">
        <v>475000</v>
      </c>
      <c r="L22" s="37">
        <v>0</v>
      </c>
      <c r="M22" s="27">
        <v>0</v>
      </c>
      <c r="N22" s="27">
        <v>0</v>
      </c>
      <c r="O22" s="38">
        <v>0</v>
      </c>
      <c r="P22" s="29">
        <f t="shared" si="0"/>
        <v>475000</v>
      </c>
    </row>
    <row r="23" spans="1:18" x14ac:dyDescent="0.25">
      <c r="A23" s="125"/>
      <c r="B23" s="21" t="s">
        <v>39</v>
      </c>
      <c r="C23" s="33" t="s">
        <v>50</v>
      </c>
      <c r="D23" s="34">
        <v>500000</v>
      </c>
      <c r="E23" s="35">
        <v>500000</v>
      </c>
      <c r="F23" s="36">
        <v>500000</v>
      </c>
      <c r="G23" s="26">
        <v>0</v>
      </c>
      <c r="H23" s="27">
        <v>0</v>
      </c>
      <c r="I23" s="27">
        <v>0</v>
      </c>
      <c r="J23" s="28">
        <v>0</v>
      </c>
      <c r="K23" s="29">
        <v>500000</v>
      </c>
      <c r="L23" s="37">
        <v>0</v>
      </c>
      <c r="M23" s="27">
        <v>0</v>
      </c>
      <c r="N23" s="27">
        <v>0</v>
      </c>
      <c r="O23" s="38">
        <v>0</v>
      </c>
      <c r="P23" s="29">
        <f t="shared" si="0"/>
        <v>500000</v>
      </c>
    </row>
    <row r="24" spans="1:18" ht="34.5" thickBot="1" x14ac:dyDescent="0.3">
      <c r="A24" s="125"/>
      <c r="B24" s="40" t="s">
        <v>63</v>
      </c>
      <c r="C24" s="41" t="s">
        <v>51</v>
      </c>
      <c r="D24" s="42">
        <f>625000*1.16486</f>
        <v>728037.5</v>
      </c>
      <c r="E24" s="43">
        <v>679868.20927999995</v>
      </c>
      <c r="F24" s="44">
        <v>728037.5</v>
      </c>
      <c r="G24" s="45">
        <v>0</v>
      </c>
      <c r="H24" s="46">
        <v>0</v>
      </c>
      <c r="I24" s="46">
        <v>0</v>
      </c>
      <c r="J24" s="47">
        <v>0</v>
      </c>
      <c r="K24" s="48">
        <v>728037.5</v>
      </c>
      <c r="L24" s="49">
        <v>0</v>
      </c>
      <c r="M24" s="46">
        <v>0</v>
      </c>
      <c r="N24" s="46">
        <v>0</v>
      </c>
      <c r="O24" s="50">
        <v>0</v>
      </c>
      <c r="P24" s="29">
        <f t="shared" si="0"/>
        <v>728037.5</v>
      </c>
    </row>
    <row r="25" spans="1:18" ht="19.5" thickBot="1" x14ac:dyDescent="0.3">
      <c r="A25" s="11" t="s">
        <v>55</v>
      </c>
      <c r="B25" s="51"/>
      <c r="C25" s="52"/>
      <c r="D25" s="53">
        <f t="shared" ref="D25:P25" si="1">SUM(D2:D24)</f>
        <v>12664561.1</v>
      </c>
      <c r="E25" s="54">
        <f t="shared" si="1"/>
        <v>11756652.198479999</v>
      </c>
      <c r="F25" s="55">
        <f t="shared" si="1"/>
        <v>10071875.5</v>
      </c>
      <c r="G25" s="56">
        <f t="shared" si="1"/>
        <v>31179</v>
      </c>
      <c r="H25" s="57">
        <f t="shared" si="1"/>
        <v>90045</v>
      </c>
      <c r="I25" s="57">
        <f t="shared" si="1"/>
        <v>72152</v>
      </c>
      <c r="J25" s="58">
        <f t="shared" si="1"/>
        <v>158701</v>
      </c>
      <c r="K25" s="59">
        <f t="shared" si="1"/>
        <v>10415447.5</v>
      </c>
      <c r="L25" s="60">
        <f t="shared" si="1"/>
        <v>1121818.6000000001</v>
      </c>
      <c r="M25" s="57">
        <f t="shared" si="1"/>
        <v>35031</v>
      </c>
      <c r="N25" s="57">
        <f t="shared" si="1"/>
        <v>11316</v>
      </c>
      <c r="O25" s="61">
        <f t="shared" si="1"/>
        <v>215930.28</v>
      </c>
      <c r="P25" s="59">
        <f t="shared" si="1"/>
        <v>11799543.380000001</v>
      </c>
    </row>
    <row r="26" spans="1:18" ht="19.5" thickBot="1" x14ac:dyDescent="0.3">
      <c r="A26" s="12" t="s">
        <v>56</v>
      </c>
      <c r="B26" s="62" t="s">
        <v>57</v>
      </c>
      <c r="C26" s="63"/>
      <c r="D26" s="64"/>
      <c r="E26" s="65"/>
      <c r="F26" s="66"/>
      <c r="G26" s="67">
        <f>G53</f>
        <v>96700</v>
      </c>
      <c r="H26" s="68">
        <f t="shared" ref="H26:O26" si="2">H53</f>
        <v>79538</v>
      </c>
      <c r="I26" s="68">
        <f t="shared" si="2"/>
        <v>79428</v>
      </c>
      <c r="J26" s="69">
        <f t="shared" si="2"/>
        <v>327017.11288972117</v>
      </c>
      <c r="K26" s="70"/>
      <c r="L26" s="71">
        <f t="shared" si="2"/>
        <v>133182</v>
      </c>
      <c r="M26" s="68">
        <f t="shared" si="2"/>
        <v>153306.07668664056</v>
      </c>
      <c r="N26" s="68">
        <f t="shared" si="2"/>
        <v>358763</v>
      </c>
      <c r="O26" s="72">
        <f t="shared" si="2"/>
        <v>81210</v>
      </c>
      <c r="P26" s="70"/>
    </row>
    <row r="27" spans="1:18" x14ac:dyDescent="0.25">
      <c r="H27" s="1"/>
    </row>
    <row r="28" spans="1:18" ht="19.5" thickBot="1" x14ac:dyDescent="0.3">
      <c r="H28" s="1"/>
    </row>
    <row r="29" spans="1:18" ht="38.25" thickBot="1" x14ac:dyDescent="0.3">
      <c r="A29" s="99" t="s">
        <v>0</v>
      </c>
      <c r="B29" s="100" t="s">
        <v>1</v>
      </c>
      <c r="C29" s="101" t="s">
        <v>58</v>
      </c>
      <c r="D29" s="101" t="s">
        <v>4</v>
      </c>
      <c r="E29" s="101" t="s">
        <v>72</v>
      </c>
      <c r="F29" s="74" t="s">
        <v>64</v>
      </c>
      <c r="G29" s="74" t="s">
        <v>46</v>
      </c>
      <c r="H29" s="74" t="s">
        <v>47</v>
      </c>
      <c r="I29" s="74" t="s">
        <v>48</v>
      </c>
      <c r="J29" s="73" t="s">
        <v>49</v>
      </c>
      <c r="K29" s="74" t="s">
        <v>70</v>
      </c>
      <c r="L29" s="102" t="s">
        <v>16</v>
      </c>
      <c r="M29" s="74" t="s">
        <v>17</v>
      </c>
      <c r="N29" s="103" t="s">
        <v>18</v>
      </c>
      <c r="O29" s="104" t="s">
        <v>19</v>
      </c>
      <c r="P29" s="74" t="s">
        <v>71</v>
      </c>
      <c r="Q29" s="74" t="s">
        <v>93</v>
      </c>
      <c r="R29" s="105" t="s">
        <v>95</v>
      </c>
    </row>
    <row r="30" spans="1:18" ht="19.5" thickBot="1" x14ac:dyDescent="0.3">
      <c r="A30" s="122" t="s">
        <v>2</v>
      </c>
      <c r="B30" s="21" t="s">
        <v>23</v>
      </c>
      <c r="C30" s="22" t="s">
        <v>24</v>
      </c>
      <c r="D30" s="23">
        <v>400000</v>
      </c>
      <c r="E30" s="24">
        <f t="shared" ref="E30:E52" si="3">E2</f>
        <v>56451</v>
      </c>
      <c r="F30" s="24">
        <v>315893</v>
      </c>
      <c r="G30" s="30">
        <v>23830</v>
      </c>
      <c r="H30" s="31">
        <v>9001</v>
      </c>
      <c r="I30" s="31">
        <v>16430</v>
      </c>
      <c r="J30" s="32">
        <v>16430</v>
      </c>
      <c r="K30" s="79">
        <f>SUM(G30:J30)</f>
        <v>65691</v>
      </c>
      <c r="L30" s="26">
        <v>5235</v>
      </c>
      <c r="M30" s="27">
        <v>99272</v>
      </c>
      <c r="N30" s="27">
        <v>44886</v>
      </c>
      <c r="O30" s="28">
        <v>8297</v>
      </c>
      <c r="P30" s="29">
        <f>SUM(L30:O30)</f>
        <v>157690</v>
      </c>
      <c r="Q30" s="106" t="s">
        <v>73</v>
      </c>
      <c r="R30" s="107"/>
    </row>
    <row r="31" spans="1:18" ht="19.5" thickBot="1" x14ac:dyDescent="0.3">
      <c r="A31" s="123"/>
      <c r="B31" s="21" t="s">
        <v>26</v>
      </c>
      <c r="C31" s="33" t="s">
        <v>40</v>
      </c>
      <c r="D31" s="34">
        <v>500000</v>
      </c>
      <c r="E31" s="35">
        <f t="shared" si="3"/>
        <v>517786</v>
      </c>
      <c r="F31" s="35">
        <v>45017</v>
      </c>
      <c r="G31" s="37">
        <v>16841</v>
      </c>
      <c r="H31" s="27">
        <v>29937</v>
      </c>
      <c r="I31" s="27">
        <v>0</v>
      </c>
      <c r="J31" s="38">
        <v>12375</v>
      </c>
      <c r="K31" s="79">
        <f t="shared" ref="K31:K52" si="4">SUM(G31:J31)</f>
        <v>59153</v>
      </c>
      <c r="L31" s="26">
        <v>17472</v>
      </c>
      <c r="M31" s="27">
        <v>13097</v>
      </c>
      <c r="N31" s="27">
        <v>28746</v>
      </c>
      <c r="O31" s="28">
        <v>0</v>
      </c>
      <c r="P31" s="29">
        <f t="shared" ref="P31:P52" si="5">SUM(L31:O31)</f>
        <v>59315</v>
      </c>
      <c r="Q31" s="108" t="s">
        <v>74</v>
      </c>
      <c r="R31" s="109"/>
    </row>
    <row r="32" spans="1:18" ht="19.5" thickBot="1" x14ac:dyDescent="0.3">
      <c r="A32" s="123"/>
      <c r="B32" s="39" t="s">
        <v>27</v>
      </c>
      <c r="C32" s="33" t="s">
        <v>21</v>
      </c>
      <c r="D32" s="34">
        <v>600000</v>
      </c>
      <c r="E32" s="35">
        <f t="shared" si="3"/>
        <v>333010</v>
      </c>
      <c r="F32" s="35">
        <v>0</v>
      </c>
      <c r="G32" s="37">
        <v>0</v>
      </c>
      <c r="H32" s="27">
        <v>0</v>
      </c>
      <c r="I32" s="27">
        <v>917</v>
      </c>
      <c r="J32" s="38">
        <v>2905</v>
      </c>
      <c r="K32" s="79">
        <f t="shared" si="4"/>
        <v>3822</v>
      </c>
      <c r="L32" s="26">
        <v>6595</v>
      </c>
      <c r="M32" s="27">
        <v>8842</v>
      </c>
      <c r="N32" s="27">
        <v>8911</v>
      </c>
      <c r="O32" s="28">
        <v>9217</v>
      </c>
      <c r="P32" s="29">
        <f t="shared" si="5"/>
        <v>33565</v>
      </c>
      <c r="Q32" s="108" t="s">
        <v>75</v>
      </c>
      <c r="R32" s="109"/>
    </row>
    <row r="33" spans="1:18" ht="19.5" thickBot="1" x14ac:dyDescent="0.3">
      <c r="A33" s="123"/>
      <c r="B33" s="21" t="s">
        <v>25</v>
      </c>
      <c r="C33" s="33" t="s">
        <v>41</v>
      </c>
      <c r="D33" s="34">
        <v>1000000</v>
      </c>
      <c r="E33" s="35">
        <f t="shared" si="3"/>
        <v>852940</v>
      </c>
      <c r="F33" s="35">
        <v>88717</v>
      </c>
      <c r="G33" s="37">
        <v>0</v>
      </c>
      <c r="H33" s="27">
        <v>11597</v>
      </c>
      <c r="I33" s="27">
        <v>23866</v>
      </c>
      <c r="J33" s="38">
        <v>9783</v>
      </c>
      <c r="K33" s="79">
        <f t="shared" si="4"/>
        <v>45246</v>
      </c>
      <c r="L33" s="26">
        <v>13011</v>
      </c>
      <c r="M33" s="27">
        <v>0</v>
      </c>
      <c r="N33" s="27">
        <v>146907</v>
      </c>
      <c r="O33" s="28">
        <v>39907</v>
      </c>
      <c r="P33" s="29">
        <f t="shared" si="5"/>
        <v>199825</v>
      </c>
      <c r="Q33" s="108" t="s">
        <v>76</v>
      </c>
      <c r="R33" s="109"/>
    </row>
    <row r="34" spans="1:18" ht="19.5" thickBot="1" x14ac:dyDescent="0.3">
      <c r="A34" s="127"/>
      <c r="B34" s="21" t="s">
        <v>6</v>
      </c>
      <c r="C34" s="33" t="s">
        <v>42</v>
      </c>
      <c r="D34" s="34">
        <v>800000</v>
      </c>
      <c r="E34" s="35">
        <f t="shared" si="3"/>
        <v>1133988</v>
      </c>
      <c r="F34" s="35">
        <v>0</v>
      </c>
      <c r="G34" s="37">
        <v>0</v>
      </c>
      <c r="H34" s="27">
        <v>0</v>
      </c>
      <c r="I34" s="27">
        <v>0</v>
      </c>
      <c r="J34" s="38">
        <v>0</v>
      </c>
      <c r="K34" s="79">
        <f t="shared" si="4"/>
        <v>0</v>
      </c>
      <c r="L34" s="26">
        <v>0</v>
      </c>
      <c r="M34" s="27">
        <v>0</v>
      </c>
      <c r="N34" s="27">
        <v>0</v>
      </c>
      <c r="O34" s="28">
        <v>0</v>
      </c>
      <c r="P34" s="29">
        <f t="shared" si="5"/>
        <v>0</v>
      </c>
      <c r="Q34" s="108">
        <v>0</v>
      </c>
      <c r="R34" s="109" t="s">
        <v>77</v>
      </c>
    </row>
    <row r="35" spans="1:18" ht="19.5" thickBot="1" x14ac:dyDescent="0.3">
      <c r="A35" s="110" t="s">
        <v>3</v>
      </c>
      <c r="B35" s="39" t="s">
        <v>28</v>
      </c>
      <c r="C35" s="33" t="s">
        <v>43</v>
      </c>
      <c r="D35" s="34">
        <v>250000</v>
      </c>
      <c r="E35" s="35">
        <f t="shared" si="3"/>
        <v>218726</v>
      </c>
      <c r="F35" s="35">
        <v>13329</v>
      </c>
      <c r="G35" s="37">
        <v>0</v>
      </c>
      <c r="H35" s="27">
        <v>0</v>
      </c>
      <c r="I35" s="27">
        <v>0</v>
      </c>
      <c r="J35" s="38">
        <v>0</v>
      </c>
      <c r="K35" s="79">
        <f t="shared" si="4"/>
        <v>0</v>
      </c>
      <c r="L35" s="26">
        <v>0</v>
      </c>
      <c r="M35" s="27">
        <v>0</v>
      </c>
      <c r="N35" s="27">
        <v>0</v>
      </c>
      <c r="O35" s="28">
        <v>0</v>
      </c>
      <c r="P35" s="29">
        <f t="shared" si="5"/>
        <v>0</v>
      </c>
      <c r="Q35" s="108" t="s">
        <v>78</v>
      </c>
      <c r="R35" s="109"/>
    </row>
    <row r="36" spans="1:18" ht="19.5" thickBot="1" x14ac:dyDescent="0.3">
      <c r="A36" s="128" t="s">
        <v>5</v>
      </c>
      <c r="B36" s="21" t="s">
        <v>29</v>
      </c>
      <c r="C36" s="33" t="s">
        <v>44</v>
      </c>
      <c r="D36" s="34">
        <v>1000000</v>
      </c>
      <c r="E36" s="35">
        <f t="shared" si="3"/>
        <v>1765207</v>
      </c>
      <c r="F36" s="35">
        <v>7328</v>
      </c>
      <c r="G36" s="37">
        <v>0</v>
      </c>
      <c r="H36" s="27">
        <v>0</v>
      </c>
      <c r="I36" s="27">
        <v>0</v>
      </c>
      <c r="J36" s="38">
        <v>0</v>
      </c>
      <c r="K36" s="79">
        <f t="shared" si="4"/>
        <v>0</v>
      </c>
      <c r="L36" s="26">
        <v>0</v>
      </c>
      <c r="M36" s="27">
        <v>0</v>
      </c>
      <c r="N36" s="27">
        <v>0</v>
      </c>
      <c r="O36" s="28">
        <v>0</v>
      </c>
      <c r="P36" s="29">
        <f t="shared" si="5"/>
        <v>0</v>
      </c>
      <c r="Q36" s="108" t="s">
        <v>79</v>
      </c>
      <c r="R36" s="109"/>
    </row>
    <row r="37" spans="1:18" ht="19.5" thickBot="1" x14ac:dyDescent="0.3">
      <c r="A37" s="129"/>
      <c r="B37" s="39" t="s">
        <v>30</v>
      </c>
      <c r="C37" s="33" t="s">
        <v>45</v>
      </c>
      <c r="D37" s="34">
        <v>335000</v>
      </c>
      <c r="E37" s="35">
        <f t="shared" si="3"/>
        <v>165645</v>
      </c>
      <c r="F37" s="35">
        <v>0</v>
      </c>
      <c r="G37" s="37">
        <v>3396</v>
      </c>
      <c r="H37" s="27">
        <v>0</v>
      </c>
      <c r="I37" s="27">
        <v>0</v>
      </c>
      <c r="J37" s="38">
        <v>0</v>
      </c>
      <c r="K37" s="79">
        <f t="shared" si="4"/>
        <v>3396</v>
      </c>
      <c r="L37" s="26">
        <v>17985</v>
      </c>
      <c r="M37" s="27">
        <v>0</v>
      </c>
      <c r="N37" s="27">
        <v>0</v>
      </c>
      <c r="O37" s="28">
        <v>0</v>
      </c>
      <c r="P37" s="29">
        <f t="shared" si="5"/>
        <v>17985</v>
      </c>
      <c r="Q37" s="108" t="s">
        <v>80</v>
      </c>
      <c r="R37" s="109"/>
    </row>
    <row r="38" spans="1:18" ht="34.5" thickBot="1" x14ac:dyDescent="0.3">
      <c r="A38" s="122" t="s">
        <v>11</v>
      </c>
      <c r="B38" s="39" t="s">
        <v>62</v>
      </c>
      <c r="C38" s="33" t="s">
        <v>22</v>
      </c>
      <c r="D38" s="34">
        <f>350000*1.16486</f>
        <v>407701</v>
      </c>
      <c r="E38" s="35">
        <f t="shared" si="3"/>
        <v>116487.16486</v>
      </c>
      <c r="F38" s="35">
        <v>0</v>
      </c>
      <c r="G38" s="37">
        <v>0</v>
      </c>
      <c r="H38" s="27">
        <v>0</v>
      </c>
      <c r="I38" s="27">
        <v>0</v>
      </c>
      <c r="J38" s="38">
        <v>0</v>
      </c>
      <c r="K38" s="79">
        <f t="shared" si="4"/>
        <v>0</v>
      </c>
      <c r="L38" s="26">
        <v>0</v>
      </c>
      <c r="M38" s="27">
        <v>0</v>
      </c>
      <c r="N38" s="27">
        <v>0</v>
      </c>
      <c r="O38" s="28">
        <v>0</v>
      </c>
      <c r="P38" s="29">
        <f t="shared" si="5"/>
        <v>0</v>
      </c>
      <c r="Q38" s="108">
        <v>0</v>
      </c>
      <c r="R38" s="109"/>
    </row>
    <row r="39" spans="1:18" ht="48" thickBot="1" x14ac:dyDescent="0.3">
      <c r="A39" s="123"/>
      <c r="B39" s="21" t="s">
        <v>94</v>
      </c>
      <c r="C39" s="33" t="s">
        <v>24</v>
      </c>
      <c r="D39" s="34">
        <v>600000</v>
      </c>
      <c r="E39" s="35">
        <f t="shared" si="3"/>
        <v>279728</v>
      </c>
      <c r="F39" s="35">
        <v>600034</v>
      </c>
      <c r="G39" s="37">
        <v>5716</v>
      </c>
      <c r="H39" s="27">
        <v>0</v>
      </c>
      <c r="I39" s="27">
        <v>4871</v>
      </c>
      <c r="J39" s="38">
        <v>84438.704729721212</v>
      </c>
      <c r="K39" s="79">
        <f t="shared" si="4"/>
        <v>95025.704729721212</v>
      </c>
      <c r="L39" s="26">
        <v>50013</v>
      </c>
      <c r="M39" s="27">
        <v>4027.0766866405556</v>
      </c>
      <c r="N39" s="27">
        <v>82100</v>
      </c>
      <c r="O39" s="28">
        <v>3322</v>
      </c>
      <c r="P39" s="29">
        <f t="shared" si="5"/>
        <v>139462.07668664056</v>
      </c>
      <c r="Q39" s="108" t="s">
        <v>81</v>
      </c>
      <c r="R39" s="111" t="s">
        <v>99</v>
      </c>
    </row>
    <row r="40" spans="1:18" ht="19.5" thickBot="1" x14ac:dyDescent="0.3">
      <c r="A40" s="123"/>
      <c r="B40" s="21" t="s">
        <v>32</v>
      </c>
      <c r="C40" s="33" t="s">
        <v>43</v>
      </c>
      <c r="D40" s="34">
        <v>600000</v>
      </c>
      <c r="E40" s="35">
        <f t="shared" si="3"/>
        <v>588636</v>
      </c>
      <c r="F40" s="35">
        <v>27387</v>
      </c>
      <c r="G40" s="37">
        <v>5280</v>
      </c>
      <c r="H40" s="27">
        <v>0</v>
      </c>
      <c r="I40" s="27">
        <v>5989</v>
      </c>
      <c r="J40" s="38">
        <v>10596</v>
      </c>
      <c r="K40" s="79">
        <f t="shared" si="4"/>
        <v>21865</v>
      </c>
      <c r="L40" s="26">
        <v>0</v>
      </c>
      <c r="M40" s="27">
        <v>5298</v>
      </c>
      <c r="N40" s="27">
        <v>13819</v>
      </c>
      <c r="O40" s="28">
        <v>5886</v>
      </c>
      <c r="P40" s="29">
        <f t="shared" si="5"/>
        <v>25003</v>
      </c>
      <c r="Q40" s="108" t="s">
        <v>85</v>
      </c>
      <c r="R40" s="109"/>
    </row>
    <row r="41" spans="1:18" ht="34.5" thickBot="1" x14ac:dyDescent="0.3">
      <c r="A41" s="123"/>
      <c r="B41" s="21" t="s">
        <v>61</v>
      </c>
      <c r="C41" s="33" t="s">
        <v>45</v>
      </c>
      <c r="D41" s="34">
        <f>400000*1.16486</f>
        <v>465944</v>
      </c>
      <c r="E41" s="35">
        <f t="shared" si="3"/>
        <v>459209.94433999999</v>
      </c>
      <c r="F41" s="35">
        <v>2825</v>
      </c>
      <c r="G41" s="37">
        <v>6943</v>
      </c>
      <c r="H41" s="27">
        <v>5337</v>
      </c>
      <c r="I41" s="27">
        <v>3121</v>
      </c>
      <c r="J41" s="38">
        <v>0</v>
      </c>
      <c r="K41" s="79">
        <f t="shared" si="4"/>
        <v>15401</v>
      </c>
      <c r="L41" s="26">
        <v>0</v>
      </c>
      <c r="M41" s="27">
        <v>0</v>
      </c>
      <c r="N41" s="27">
        <v>0</v>
      </c>
      <c r="O41" s="28">
        <v>0</v>
      </c>
      <c r="P41" s="29">
        <f t="shared" si="5"/>
        <v>0</v>
      </c>
      <c r="Q41" s="108" t="s">
        <v>86</v>
      </c>
      <c r="R41" s="109" t="s">
        <v>97</v>
      </c>
    </row>
    <row r="42" spans="1:18" ht="19.5" thickBot="1" x14ac:dyDescent="0.3">
      <c r="A42" s="123"/>
      <c r="B42" s="21" t="s">
        <v>20</v>
      </c>
      <c r="C42" s="33" t="s">
        <v>50</v>
      </c>
      <c r="D42" s="34">
        <v>500000</v>
      </c>
      <c r="E42" s="35">
        <f t="shared" si="3"/>
        <v>500000</v>
      </c>
      <c r="F42" s="35">
        <v>0</v>
      </c>
      <c r="G42" s="37">
        <v>0</v>
      </c>
      <c r="H42" s="27">
        <v>0</v>
      </c>
      <c r="I42" s="27">
        <v>0</v>
      </c>
      <c r="J42" s="38">
        <v>0</v>
      </c>
      <c r="K42" s="79">
        <f t="shared" si="4"/>
        <v>0</v>
      </c>
      <c r="L42" s="26">
        <v>0</v>
      </c>
      <c r="M42" s="27">
        <v>1473</v>
      </c>
      <c r="N42" s="27">
        <v>1473</v>
      </c>
      <c r="O42" s="28">
        <v>0</v>
      </c>
      <c r="P42" s="29">
        <f t="shared" si="5"/>
        <v>2946</v>
      </c>
      <c r="Q42" s="108" t="s">
        <v>83</v>
      </c>
      <c r="R42" s="109"/>
    </row>
    <row r="43" spans="1:18" ht="34.5" thickBot="1" x14ac:dyDescent="0.3">
      <c r="A43" s="123"/>
      <c r="B43" s="21" t="s">
        <v>68</v>
      </c>
      <c r="C43" s="33" t="s">
        <v>52</v>
      </c>
      <c r="D43" s="34">
        <f>2000000*0.3044</f>
        <v>608800</v>
      </c>
      <c r="E43" s="35">
        <f t="shared" si="3"/>
        <v>572637.28</v>
      </c>
      <c r="F43" s="35">
        <v>0</v>
      </c>
      <c r="G43" s="37">
        <v>0</v>
      </c>
      <c r="H43" s="27">
        <v>0</v>
      </c>
      <c r="I43" s="27">
        <v>0</v>
      </c>
      <c r="J43" s="38">
        <v>0</v>
      </c>
      <c r="K43" s="79">
        <f t="shared" si="4"/>
        <v>0</v>
      </c>
      <c r="L43" s="26">
        <v>0</v>
      </c>
      <c r="M43" s="27">
        <v>0</v>
      </c>
      <c r="N43" s="27">
        <v>0</v>
      </c>
      <c r="O43" s="28">
        <v>0</v>
      </c>
      <c r="P43" s="29">
        <f t="shared" si="5"/>
        <v>0</v>
      </c>
      <c r="Q43" s="108">
        <v>0</v>
      </c>
      <c r="R43" s="109" t="s">
        <v>98</v>
      </c>
    </row>
    <row r="44" spans="1:18" ht="19.5" thickBot="1" x14ac:dyDescent="0.3">
      <c r="A44" s="123"/>
      <c r="B44" s="21" t="s">
        <v>33</v>
      </c>
      <c r="C44" s="33" t="s">
        <v>51</v>
      </c>
      <c r="D44" s="34">
        <v>500000</v>
      </c>
      <c r="E44" s="35">
        <f t="shared" si="3"/>
        <v>465074</v>
      </c>
      <c r="F44" s="35">
        <v>69831</v>
      </c>
      <c r="G44" s="37">
        <v>24729</v>
      </c>
      <c r="H44" s="27">
        <v>10743</v>
      </c>
      <c r="I44" s="27">
        <v>12833</v>
      </c>
      <c r="J44" s="38">
        <v>10292</v>
      </c>
      <c r="K44" s="79">
        <f t="shared" si="4"/>
        <v>58597</v>
      </c>
      <c r="L44" s="26">
        <v>11567</v>
      </c>
      <c r="M44" s="27">
        <v>12680</v>
      </c>
      <c r="N44" s="27">
        <v>12927</v>
      </c>
      <c r="O44" s="28">
        <v>11998</v>
      </c>
      <c r="P44" s="29">
        <f t="shared" si="5"/>
        <v>49172</v>
      </c>
      <c r="Q44" s="108" t="s">
        <v>84</v>
      </c>
      <c r="R44" s="109"/>
    </row>
    <row r="45" spans="1:18" ht="19.5" thickBot="1" x14ac:dyDescent="0.3">
      <c r="A45" s="123"/>
      <c r="B45" s="21" t="s">
        <v>34</v>
      </c>
      <c r="C45" s="33" t="s">
        <v>44</v>
      </c>
      <c r="D45" s="34">
        <v>300000</v>
      </c>
      <c r="E45" s="35">
        <f t="shared" si="3"/>
        <v>290187</v>
      </c>
      <c r="F45" s="35">
        <v>2734</v>
      </c>
      <c r="G45" s="37">
        <v>0</v>
      </c>
      <c r="H45" s="27">
        <v>2449</v>
      </c>
      <c r="I45" s="27">
        <v>1714</v>
      </c>
      <c r="J45" s="38">
        <v>1742</v>
      </c>
      <c r="K45" s="79">
        <f t="shared" si="4"/>
        <v>5905</v>
      </c>
      <c r="L45" s="26">
        <v>2808</v>
      </c>
      <c r="M45" s="27">
        <v>8617</v>
      </c>
      <c r="N45" s="27">
        <v>1214</v>
      </c>
      <c r="O45" s="28">
        <v>2583</v>
      </c>
      <c r="P45" s="29">
        <f t="shared" si="5"/>
        <v>15222</v>
      </c>
      <c r="Q45" s="108" t="s">
        <v>85</v>
      </c>
      <c r="R45" s="109"/>
    </row>
    <row r="46" spans="1:18" ht="19.5" thickBot="1" x14ac:dyDescent="0.3">
      <c r="A46" s="123"/>
      <c r="B46" s="21" t="s">
        <v>35</v>
      </c>
      <c r="C46" s="33" t="s">
        <v>53</v>
      </c>
      <c r="D46" s="34">
        <v>500000</v>
      </c>
      <c r="E46" s="35">
        <f t="shared" si="3"/>
        <v>500000</v>
      </c>
      <c r="F46" s="35">
        <v>98184</v>
      </c>
      <c r="G46" s="37">
        <v>0</v>
      </c>
      <c r="H46" s="27">
        <v>0</v>
      </c>
      <c r="I46" s="27">
        <v>0</v>
      </c>
      <c r="J46" s="38">
        <v>0</v>
      </c>
      <c r="K46" s="79">
        <f t="shared" si="4"/>
        <v>0</v>
      </c>
      <c r="L46" s="26">
        <v>0</v>
      </c>
      <c r="M46" s="27">
        <v>0</v>
      </c>
      <c r="N46" s="27">
        <v>0</v>
      </c>
      <c r="O46" s="28">
        <v>0</v>
      </c>
      <c r="P46" s="29">
        <f t="shared" si="5"/>
        <v>0</v>
      </c>
      <c r="Q46" s="108" t="s">
        <v>89</v>
      </c>
      <c r="R46" s="109"/>
    </row>
    <row r="47" spans="1:18" ht="19.5" thickBot="1" x14ac:dyDescent="0.3">
      <c r="A47" s="123"/>
      <c r="B47" s="21" t="s">
        <v>36</v>
      </c>
      <c r="C47" s="33" t="s">
        <v>54</v>
      </c>
      <c r="D47" s="34">
        <v>500000</v>
      </c>
      <c r="E47" s="35">
        <f t="shared" si="3"/>
        <v>191993</v>
      </c>
      <c r="F47" s="35">
        <v>341298</v>
      </c>
      <c r="G47" s="37">
        <v>0</v>
      </c>
      <c r="H47" s="27">
        <v>1948</v>
      </c>
      <c r="I47" s="27">
        <v>1215</v>
      </c>
      <c r="J47" s="38">
        <v>0</v>
      </c>
      <c r="K47" s="79">
        <f t="shared" si="4"/>
        <v>3163</v>
      </c>
      <c r="L47" s="26">
        <v>0</v>
      </c>
      <c r="M47" s="27">
        <v>0</v>
      </c>
      <c r="N47" s="27">
        <v>2907</v>
      </c>
      <c r="O47" s="28">
        <v>0</v>
      </c>
      <c r="P47" s="29">
        <f t="shared" si="5"/>
        <v>2907</v>
      </c>
      <c r="Q47" s="108" t="s">
        <v>88</v>
      </c>
      <c r="R47" s="109"/>
    </row>
    <row r="48" spans="1:18" ht="34.5" thickBot="1" x14ac:dyDescent="0.3">
      <c r="A48" s="123"/>
      <c r="B48" s="21" t="s">
        <v>60</v>
      </c>
      <c r="C48" s="33" t="s">
        <v>52</v>
      </c>
      <c r="D48" s="34">
        <f>510000*1.16486</f>
        <v>594078.6</v>
      </c>
      <c r="E48" s="35">
        <f t="shared" si="3"/>
        <v>594078.6</v>
      </c>
      <c r="F48" s="35">
        <v>0</v>
      </c>
      <c r="G48" s="37">
        <v>0</v>
      </c>
      <c r="H48" s="27">
        <v>0</v>
      </c>
      <c r="I48" s="27">
        <v>0</v>
      </c>
      <c r="J48" s="38">
        <v>0</v>
      </c>
      <c r="K48" s="79">
        <f t="shared" si="4"/>
        <v>0</v>
      </c>
      <c r="L48" s="26">
        <v>0</v>
      </c>
      <c r="M48" s="27">
        <v>0</v>
      </c>
      <c r="N48" s="27">
        <v>0</v>
      </c>
      <c r="O48" s="28">
        <v>0</v>
      </c>
      <c r="P48" s="29">
        <f t="shared" si="5"/>
        <v>0</v>
      </c>
      <c r="Q48" s="108">
        <v>0</v>
      </c>
      <c r="R48" s="109" t="s">
        <v>97</v>
      </c>
    </row>
    <row r="49" spans="1:18" ht="19.5" thickBot="1" x14ac:dyDescent="0.3">
      <c r="A49" s="123"/>
      <c r="B49" s="21" t="s">
        <v>37</v>
      </c>
      <c r="C49" s="33" t="s">
        <v>42</v>
      </c>
      <c r="D49" s="34">
        <v>500000</v>
      </c>
      <c r="E49" s="35">
        <f t="shared" si="3"/>
        <v>500000</v>
      </c>
      <c r="F49" s="35">
        <v>141841</v>
      </c>
      <c r="G49" s="37">
        <v>0</v>
      </c>
      <c r="H49" s="27">
        <v>0</v>
      </c>
      <c r="I49" s="27">
        <v>0</v>
      </c>
      <c r="J49" s="38">
        <v>0</v>
      </c>
      <c r="K49" s="79">
        <f t="shared" si="4"/>
        <v>0</v>
      </c>
      <c r="L49" s="26">
        <v>0</v>
      </c>
      <c r="M49" s="27">
        <v>0</v>
      </c>
      <c r="N49" s="27">
        <v>0</v>
      </c>
      <c r="O49" s="28">
        <v>0</v>
      </c>
      <c r="P49" s="29">
        <f t="shared" si="5"/>
        <v>0</v>
      </c>
      <c r="Q49" s="108" t="s">
        <v>89</v>
      </c>
      <c r="R49" s="109"/>
    </row>
    <row r="50" spans="1:18" ht="19.5" thickBot="1" x14ac:dyDescent="0.3">
      <c r="A50" s="123"/>
      <c r="B50" s="21" t="s">
        <v>38</v>
      </c>
      <c r="C50" s="33" t="s">
        <v>44</v>
      </c>
      <c r="D50" s="34">
        <v>475000</v>
      </c>
      <c r="E50" s="35">
        <f t="shared" si="3"/>
        <v>475000</v>
      </c>
      <c r="F50" s="35">
        <v>61285</v>
      </c>
      <c r="G50" s="37">
        <v>0</v>
      </c>
      <c r="H50" s="27">
        <v>0</v>
      </c>
      <c r="I50" s="27">
        <v>0</v>
      </c>
      <c r="J50" s="38">
        <v>0</v>
      </c>
      <c r="K50" s="79">
        <f t="shared" si="4"/>
        <v>0</v>
      </c>
      <c r="L50" s="26">
        <v>0</v>
      </c>
      <c r="M50" s="27">
        <v>0</v>
      </c>
      <c r="N50" s="27">
        <v>0</v>
      </c>
      <c r="O50" s="28">
        <v>0</v>
      </c>
      <c r="P50" s="29">
        <f t="shared" si="5"/>
        <v>0</v>
      </c>
      <c r="Q50" s="108" t="s">
        <v>87</v>
      </c>
      <c r="R50" s="109"/>
    </row>
    <row r="51" spans="1:18" ht="19.5" thickBot="1" x14ac:dyDescent="0.3">
      <c r="A51" s="123"/>
      <c r="B51" s="21" t="s">
        <v>39</v>
      </c>
      <c r="C51" s="33" t="s">
        <v>50</v>
      </c>
      <c r="D51" s="34">
        <v>500000</v>
      </c>
      <c r="E51" s="35">
        <f t="shared" si="3"/>
        <v>500000</v>
      </c>
      <c r="F51" s="35">
        <v>0</v>
      </c>
      <c r="G51" s="37">
        <v>7020</v>
      </c>
      <c r="H51" s="27">
        <v>6441</v>
      </c>
      <c r="I51" s="27">
        <v>6361</v>
      </c>
      <c r="J51" s="38">
        <v>6305</v>
      </c>
      <c r="K51" s="79">
        <f t="shared" si="4"/>
        <v>26127</v>
      </c>
      <c r="L51" s="26">
        <v>6369</v>
      </c>
      <c r="M51" s="27">
        <v>0</v>
      </c>
      <c r="N51" s="27">
        <v>12746</v>
      </c>
      <c r="O51" s="28">
        <v>0</v>
      </c>
      <c r="P51" s="29">
        <f t="shared" si="5"/>
        <v>19115</v>
      </c>
      <c r="Q51" s="108" t="s">
        <v>80</v>
      </c>
      <c r="R51" s="109"/>
    </row>
    <row r="52" spans="1:18" ht="34.5" thickBot="1" x14ac:dyDescent="0.3">
      <c r="A52" s="123"/>
      <c r="B52" s="40" t="s">
        <v>63</v>
      </c>
      <c r="C52" s="41" t="s">
        <v>51</v>
      </c>
      <c r="D52" s="42">
        <f>625000*1.16486</f>
        <v>728037.5</v>
      </c>
      <c r="E52" s="35">
        <f t="shared" si="3"/>
        <v>679868.20927999995</v>
      </c>
      <c r="F52" s="43">
        <f>70828*1.16486</f>
        <v>82504.704079999996</v>
      </c>
      <c r="G52" s="112">
        <v>2945</v>
      </c>
      <c r="H52" s="113">
        <v>2085</v>
      </c>
      <c r="I52" s="113">
        <v>2111</v>
      </c>
      <c r="J52" s="114">
        <f>F52+SUM(F52:I52)</f>
        <v>172150.40815999999</v>
      </c>
      <c r="K52" s="79">
        <f t="shared" si="4"/>
        <v>179291.40815999999</v>
      </c>
      <c r="L52" s="45">
        <v>2127</v>
      </c>
      <c r="M52" s="46">
        <v>0</v>
      </c>
      <c r="N52" s="46">
        <v>2127</v>
      </c>
      <c r="O52" s="47">
        <v>0</v>
      </c>
      <c r="P52" s="29">
        <f t="shared" si="5"/>
        <v>4254</v>
      </c>
      <c r="Q52" s="115" t="s">
        <v>82</v>
      </c>
      <c r="R52" s="109" t="s">
        <v>97</v>
      </c>
    </row>
    <row r="53" spans="1:18" ht="19.5" thickBot="1" x14ac:dyDescent="0.3">
      <c r="A53" s="73" t="s">
        <v>55</v>
      </c>
      <c r="B53" s="51"/>
      <c r="C53" s="52"/>
      <c r="D53" s="53">
        <f t="shared" ref="D53:P53" si="6">SUM(D30:D52)</f>
        <v>12664561.1</v>
      </c>
      <c r="E53" s="54">
        <f t="shared" si="6"/>
        <v>11756652.198479999</v>
      </c>
      <c r="F53" s="54">
        <f t="shared" si="6"/>
        <v>1898207.7040800001</v>
      </c>
      <c r="G53" s="60">
        <f t="shared" si="6"/>
        <v>96700</v>
      </c>
      <c r="H53" s="57">
        <f t="shared" si="6"/>
        <v>79538</v>
      </c>
      <c r="I53" s="57">
        <f t="shared" si="6"/>
        <v>79428</v>
      </c>
      <c r="J53" s="61">
        <f t="shared" si="6"/>
        <v>327017.11288972117</v>
      </c>
      <c r="K53" s="116">
        <f t="shared" si="6"/>
        <v>582683.11288972117</v>
      </c>
      <c r="L53" s="56">
        <f t="shared" si="6"/>
        <v>133182</v>
      </c>
      <c r="M53" s="57">
        <f t="shared" si="6"/>
        <v>153306.07668664056</v>
      </c>
      <c r="N53" s="57">
        <f t="shared" si="6"/>
        <v>358763</v>
      </c>
      <c r="O53" s="58">
        <f t="shared" si="6"/>
        <v>81210</v>
      </c>
      <c r="P53" s="59">
        <f t="shared" si="6"/>
        <v>726461.0766866405</v>
      </c>
      <c r="Q53" s="117" t="s">
        <v>90</v>
      </c>
      <c r="R53" s="118"/>
    </row>
    <row r="54" spans="1:18" ht="54.75" thickBot="1" x14ac:dyDescent="0.3">
      <c r="A54" s="119" t="s">
        <v>65</v>
      </c>
      <c r="B54" s="62" t="s">
        <v>65</v>
      </c>
      <c r="C54" s="63"/>
      <c r="D54" s="64"/>
      <c r="E54" s="65"/>
      <c r="F54" s="65"/>
      <c r="G54" s="71">
        <f>G25</f>
        <v>31179</v>
      </c>
      <c r="H54" s="68">
        <f>H25</f>
        <v>90045</v>
      </c>
      <c r="I54" s="68">
        <f>I25</f>
        <v>72152</v>
      </c>
      <c r="J54" s="72">
        <f>J25</f>
        <v>158701</v>
      </c>
      <c r="K54" s="94"/>
      <c r="L54" s="67">
        <f>L25</f>
        <v>1121818.6000000001</v>
      </c>
      <c r="M54" s="68">
        <f>M25</f>
        <v>35031</v>
      </c>
      <c r="N54" s="68">
        <f>N25</f>
        <v>11316</v>
      </c>
      <c r="O54" s="69">
        <f>O25</f>
        <v>215930.28</v>
      </c>
      <c r="P54" s="70"/>
      <c r="Q54" s="120"/>
      <c r="R54" s="121" t="s">
        <v>96</v>
      </c>
    </row>
    <row r="55" spans="1:18" x14ac:dyDescent="0.25">
      <c r="H55" s="1"/>
    </row>
    <row r="56" spans="1:18" x14ac:dyDescent="0.25">
      <c r="H56" s="1"/>
    </row>
    <row r="57" spans="1:18" s="19" customFormat="1" x14ac:dyDescent="0.25">
      <c r="A57" s="18"/>
      <c r="B57" s="17"/>
      <c r="R57" s="20"/>
    </row>
    <row r="58" spans="1:18" ht="19.5" thickBot="1" x14ac:dyDescent="0.3">
      <c r="H58" s="1"/>
    </row>
    <row r="59" spans="1:18" ht="38.25" thickBot="1" x14ac:dyDescent="0.3">
      <c r="B59" s="73" t="s">
        <v>1</v>
      </c>
      <c r="C59" s="73" t="s">
        <v>69</v>
      </c>
      <c r="D59" s="74" t="s">
        <v>4</v>
      </c>
      <c r="E59" s="73" t="s">
        <v>66</v>
      </c>
      <c r="F59" s="75" t="s">
        <v>72</v>
      </c>
      <c r="G59" s="76" t="s">
        <v>67</v>
      </c>
      <c r="H59" s="77" t="s">
        <v>100</v>
      </c>
    </row>
    <row r="60" spans="1:18" x14ac:dyDescent="0.25">
      <c r="B60" s="21" t="s">
        <v>23</v>
      </c>
      <c r="C60" s="78" t="s">
        <v>24</v>
      </c>
      <c r="D60" s="79">
        <f t="shared" ref="D60:D82" si="7">D2</f>
        <v>400000</v>
      </c>
      <c r="E60" s="80">
        <f t="shared" ref="E60:E82" si="8">P2</f>
        <v>400000</v>
      </c>
      <c r="F60" s="81">
        <f t="shared" ref="F60:F82" si="9">E2</f>
        <v>56451</v>
      </c>
      <c r="G60" s="82">
        <f t="shared" ref="G60:G82" si="10">F30+K30+P30</f>
        <v>539274</v>
      </c>
      <c r="H60" s="83">
        <v>0.61499999999999999</v>
      </c>
    </row>
    <row r="61" spans="1:18" x14ac:dyDescent="0.25">
      <c r="B61" s="21" t="s">
        <v>26</v>
      </c>
      <c r="C61" s="84" t="s">
        <v>40</v>
      </c>
      <c r="D61" s="29">
        <f t="shared" si="7"/>
        <v>500000</v>
      </c>
      <c r="E61" s="85">
        <f t="shared" si="8"/>
        <v>500000</v>
      </c>
      <c r="F61" s="81">
        <f t="shared" si="9"/>
        <v>517786</v>
      </c>
      <c r="G61" s="86">
        <f t="shared" si="10"/>
        <v>163485</v>
      </c>
      <c r="H61" s="87">
        <v>0.40560000000000002</v>
      </c>
    </row>
    <row r="62" spans="1:18" x14ac:dyDescent="0.25">
      <c r="B62" s="39" t="s">
        <v>27</v>
      </c>
      <c r="C62" s="84" t="s">
        <v>21</v>
      </c>
      <c r="D62" s="29">
        <f t="shared" si="7"/>
        <v>600000</v>
      </c>
      <c r="E62" s="85">
        <f t="shared" si="8"/>
        <v>270135</v>
      </c>
      <c r="F62" s="81">
        <f t="shared" si="9"/>
        <v>333010</v>
      </c>
      <c r="G62" s="86">
        <f t="shared" si="10"/>
        <v>37387</v>
      </c>
      <c r="H62" s="87">
        <v>0.1988</v>
      </c>
    </row>
    <row r="63" spans="1:18" x14ac:dyDescent="0.25">
      <c r="B63" s="21" t="s">
        <v>25</v>
      </c>
      <c r="C63" s="84" t="s">
        <v>41</v>
      </c>
      <c r="D63" s="29">
        <f t="shared" si="7"/>
        <v>1000000</v>
      </c>
      <c r="E63" s="85">
        <f t="shared" si="8"/>
        <v>1000000</v>
      </c>
      <c r="F63" s="81">
        <f t="shared" si="9"/>
        <v>852940</v>
      </c>
      <c r="G63" s="86">
        <f t="shared" si="10"/>
        <v>333788</v>
      </c>
      <c r="H63" s="87">
        <v>0.17080000000000001</v>
      </c>
    </row>
    <row r="64" spans="1:18" x14ac:dyDescent="0.25">
      <c r="B64" s="21" t="s">
        <v>6</v>
      </c>
      <c r="C64" s="84" t="s">
        <v>42</v>
      </c>
      <c r="D64" s="29">
        <f t="shared" si="7"/>
        <v>800000</v>
      </c>
      <c r="E64" s="85">
        <f t="shared" si="8"/>
        <v>800000</v>
      </c>
      <c r="F64" s="81">
        <f t="shared" si="9"/>
        <v>1133988</v>
      </c>
      <c r="G64" s="86">
        <f t="shared" si="10"/>
        <v>0</v>
      </c>
      <c r="H64" s="87">
        <v>0.43590000000000001</v>
      </c>
    </row>
    <row r="65" spans="2:11" x14ac:dyDescent="0.25">
      <c r="B65" s="39" t="s">
        <v>28</v>
      </c>
      <c r="C65" s="84" t="s">
        <v>43</v>
      </c>
      <c r="D65" s="29">
        <f t="shared" si="7"/>
        <v>250000</v>
      </c>
      <c r="E65" s="85">
        <f t="shared" si="8"/>
        <v>203873</v>
      </c>
      <c r="F65" s="81">
        <f t="shared" si="9"/>
        <v>218726</v>
      </c>
      <c r="G65" s="86">
        <f t="shared" si="10"/>
        <v>13329</v>
      </c>
      <c r="H65" s="87">
        <v>0.88429999999999997</v>
      </c>
    </row>
    <row r="66" spans="2:11" x14ac:dyDescent="0.25">
      <c r="B66" s="21" t="s">
        <v>29</v>
      </c>
      <c r="C66" s="84" t="s">
        <v>44</v>
      </c>
      <c r="D66" s="29">
        <f t="shared" si="7"/>
        <v>1000000</v>
      </c>
      <c r="E66" s="85">
        <f t="shared" si="8"/>
        <v>1000000</v>
      </c>
      <c r="F66" s="81">
        <f t="shared" si="9"/>
        <v>1765207</v>
      </c>
      <c r="G66" s="86">
        <f t="shared" si="10"/>
        <v>7328</v>
      </c>
      <c r="H66" s="87">
        <v>0.77</v>
      </c>
    </row>
    <row r="67" spans="2:11" x14ac:dyDescent="0.25">
      <c r="B67" s="39" t="s">
        <v>30</v>
      </c>
      <c r="C67" s="84" t="s">
        <v>45</v>
      </c>
      <c r="D67" s="29">
        <f t="shared" si="7"/>
        <v>335000</v>
      </c>
      <c r="E67" s="85">
        <f t="shared" si="8"/>
        <v>181857</v>
      </c>
      <c r="F67" s="81">
        <f t="shared" si="9"/>
        <v>165645</v>
      </c>
      <c r="G67" s="86">
        <f t="shared" si="10"/>
        <v>21381</v>
      </c>
      <c r="H67" s="87">
        <v>0.97609999999999997</v>
      </c>
    </row>
    <row r="68" spans="2:11" ht="33.75" x14ac:dyDescent="0.25">
      <c r="B68" s="39" t="s">
        <v>62</v>
      </c>
      <c r="C68" s="84" t="s">
        <v>22</v>
      </c>
      <c r="D68" s="29">
        <f t="shared" si="7"/>
        <v>407701</v>
      </c>
      <c r="E68" s="85">
        <f t="shared" si="8"/>
        <v>116486</v>
      </c>
      <c r="F68" s="81">
        <f t="shared" si="9"/>
        <v>116487.16486</v>
      </c>
      <c r="G68" s="86">
        <f t="shared" si="10"/>
        <v>0</v>
      </c>
      <c r="H68" s="88">
        <v>0</v>
      </c>
    </row>
    <row r="69" spans="2:11" x14ac:dyDescent="0.25">
      <c r="B69" s="21" t="s">
        <v>31</v>
      </c>
      <c r="C69" s="84" t="s">
        <v>24</v>
      </c>
      <c r="D69" s="29">
        <f t="shared" si="7"/>
        <v>600000</v>
      </c>
      <c r="E69" s="85">
        <f t="shared" si="8"/>
        <v>600000</v>
      </c>
      <c r="F69" s="81">
        <f t="shared" si="9"/>
        <v>279728</v>
      </c>
      <c r="G69" s="86">
        <f t="shared" si="10"/>
        <v>834521.78141636169</v>
      </c>
      <c r="H69" s="87">
        <v>0.78559999999999997</v>
      </c>
    </row>
    <row r="70" spans="2:11" x14ac:dyDescent="0.25">
      <c r="B70" s="21" t="s">
        <v>32</v>
      </c>
      <c r="C70" s="84" t="s">
        <v>43</v>
      </c>
      <c r="D70" s="29">
        <f t="shared" si="7"/>
        <v>600000</v>
      </c>
      <c r="E70" s="85">
        <f t="shared" si="8"/>
        <v>591495</v>
      </c>
      <c r="F70" s="81">
        <f t="shared" si="9"/>
        <v>588636</v>
      </c>
      <c r="G70" s="86">
        <f t="shared" si="10"/>
        <v>74255</v>
      </c>
      <c r="H70" s="87">
        <v>7.1900000000000006E-2</v>
      </c>
    </row>
    <row r="71" spans="2:11" ht="33.75" x14ac:dyDescent="0.25">
      <c r="B71" s="21" t="s">
        <v>61</v>
      </c>
      <c r="C71" s="84" t="s">
        <v>45</v>
      </c>
      <c r="D71" s="29">
        <f t="shared" si="7"/>
        <v>465944</v>
      </c>
      <c r="E71" s="85">
        <f t="shared" si="8"/>
        <v>465944</v>
      </c>
      <c r="F71" s="81">
        <f t="shared" si="9"/>
        <v>459209.94433999999</v>
      </c>
      <c r="G71" s="86">
        <f t="shared" si="10"/>
        <v>18226</v>
      </c>
      <c r="H71" s="87">
        <v>4.1300000000000003E-2</v>
      </c>
    </row>
    <row r="72" spans="2:11" x14ac:dyDescent="0.25">
      <c r="B72" s="21" t="s">
        <v>20</v>
      </c>
      <c r="C72" s="84" t="s">
        <v>50</v>
      </c>
      <c r="D72" s="29">
        <f t="shared" si="7"/>
        <v>500000</v>
      </c>
      <c r="E72" s="85">
        <f t="shared" si="8"/>
        <v>500000</v>
      </c>
      <c r="F72" s="81">
        <f t="shared" si="9"/>
        <v>500000</v>
      </c>
      <c r="G72" s="86">
        <f t="shared" si="10"/>
        <v>2946</v>
      </c>
      <c r="H72" s="87">
        <v>6.1999999999999998E-3</v>
      </c>
    </row>
    <row r="73" spans="2:11" ht="33.75" x14ac:dyDescent="0.25">
      <c r="B73" s="21" t="s">
        <v>68</v>
      </c>
      <c r="C73" s="84" t="s">
        <v>52</v>
      </c>
      <c r="D73" s="29">
        <f t="shared" si="7"/>
        <v>608800</v>
      </c>
      <c r="E73" s="85">
        <f t="shared" si="8"/>
        <v>572637.28</v>
      </c>
      <c r="F73" s="81">
        <f t="shared" si="9"/>
        <v>572637.28</v>
      </c>
      <c r="G73" s="86">
        <f t="shared" si="10"/>
        <v>0</v>
      </c>
      <c r="H73" s="88">
        <v>0</v>
      </c>
    </row>
    <row r="74" spans="2:11" x14ac:dyDescent="0.25">
      <c r="B74" s="21" t="s">
        <v>33</v>
      </c>
      <c r="C74" s="84" t="s">
        <v>51</v>
      </c>
      <c r="D74" s="29">
        <f t="shared" si="7"/>
        <v>500000</v>
      </c>
      <c r="E74" s="85">
        <f t="shared" si="8"/>
        <v>500000</v>
      </c>
      <c r="F74" s="81">
        <f t="shared" si="9"/>
        <v>465074</v>
      </c>
      <c r="G74" s="86">
        <f t="shared" si="10"/>
        <v>177600</v>
      </c>
      <c r="H74" s="87">
        <v>0.20849999999999999</v>
      </c>
    </row>
    <row r="75" spans="2:11" x14ac:dyDescent="0.25">
      <c r="B75" s="21" t="s">
        <v>34</v>
      </c>
      <c r="C75" s="84" t="s">
        <v>44</v>
      </c>
      <c r="D75" s="29">
        <f t="shared" si="7"/>
        <v>300000</v>
      </c>
      <c r="E75" s="85">
        <f t="shared" si="8"/>
        <v>300000</v>
      </c>
      <c r="F75" s="81">
        <f t="shared" si="9"/>
        <v>290187</v>
      </c>
      <c r="G75" s="86">
        <f t="shared" si="10"/>
        <v>23861</v>
      </c>
      <c r="H75" s="87">
        <v>2.1999999999999999E-2</v>
      </c>
    </row>
    <row r="76" spans="2:11" x14ac:dyDescent="0.25">
      <c r="B76" s="21" t="s">
        <v>35</v>
      </c>
      <c r="C76" s="84" t="s">
        <v>53</v>
      </c>
      <c r="D76" s="29">
        <f t="shared" si="7"/>
        <v>500000</v>
      </c>
      <c r="E76" s="85">
        <f t="shared" si="8"/>
        <v>500000</v>
      </c>
      <c r="F76" s="81">
        <f t="shared" si="9"/>
        <v>500000</v>
      </c>
      <c r="G76" s="86">
        <f t="shared" si="10"/>
        <v>98184</v>
      </c>
      <c r="H76" s="87">
        <v>0.1961</v>
      </c>
      <c r="K76" s="14"/>
    </row>
    <row r="77" spans="2:11" x14ac:dyDescent="0.25">
      <c r="B77" s="21" t="s">
        <v>36</v>
      </c>
      <c r="C77" s="84" t="s">
        <v>54</v>
      </c>
      <c r="D77" s="29">
        <f t="shared" si="7"/>
        <v>500000</v>
      </c>
      <c r="E77" s="85">
        <f t="shared" si="8"/>
        <v>500000</v>
      </c>
      <c r="F77" s="81">
        <f t="shared" si="9"/>
        <v>191993</v>
      </c>
      <c r="G77" s="86">
        <f t="shared" si="10"/>
        <v>347368</v>
      </c>
      <c r="H77" s="87">
        <v>0.18779999999999999</v>
      </c>
    </row>
    <row r="78" spans="2:11" ht="33.75" x14ac:dyDescent="0.25">
      <c r="B78" s="21" t="s">
        <v>60</v>
      </c>
      <c r="C78" s="84" t="s">
        <v>52</v>
      </c>
      <c r="D78" s="29">
        <f t="shared" si="7"/>
        <v>594078.6</v>
      </c>
      <c r="E78" s="85">
        <f t="shared" si="8"/>
        <v>594078.6</v>
      </c>
      <c r="F78" s="81">
        <f t="shared" si="9"/>
        <v>594078.6</v>
      </c>
      <c r="G78" s="86">
        <f t="shared" si="10"/>
        <v>0</v>
      </c>
      <c r="H78" s="88">
        <v>0</v>
      </c>
    </row>
    <row r="79" spans="2:11" x14ac:dyDescent="0.25">
      <c r="B79" s="21" t="s">
        <v>37</v>
      </c>
      <c r="C79" s="84" t="s">
        <v>42</v>
      </c>
      <c r="D79" s="29">
        <f t="shared" si="7"/>
        <v>500000</v>
      </c>
      <c r="E79" s="85">
        <f t="shared" si="8"/>
        <v>500000</v>
      </c>
      <c r="F79" s="81">
        <f t="shared" si="9"/>
        <v>500000</v>
      </c>
      <c r="G79" s="86">
        <f t="shared" si="10"/>
        <v>141841</v>
      </c>
      <c r="H79" s="87">
        <v>0.28270000000000001</v>
      </c>
    </row>
    <row r="80" spans="2:11" x14ac:dyDescent="0.25">
      <c r="B80" s="21" t="s">
        <v>38</v>
      </c>
      <c r="C80" s="84" t="s">
        <v>44</v>
      </c>
      <c r="D80" s="29">
        <f t="shared" si="7"/>
        <v>475000</v>
      </c>
      <c r="E80" s="85">
        <f t="shared" si="8"/>
        <v>475000</v>
      </c>
      <c r="F80" s="81">
        <f t="shared" si="9"/>
        <v>475000</v>
      </c>
      <c r="G80" s="86">
        <f t="shared" si="10"/>
        <v>61285</v>
      </c>
      <c r="H80" s="87">
        <v>0.12920000000000001</v>
      </c>
    </row>
    <row r="81" spans="2:8" x14ac:dyDescent="0.25">
      <c r="B81" s="21" t="s">
        <v>39</v>
      </c>
      <c r="C81" s="84" t="s">
        <v>50</v>
      </c>
      <c r="D81" s="29">
        <f t="shared" si="7"/>
        <v>500000</v>
      </c>
      <c r="E81" s="85">
        <f t="shared" si="8"/>
        <v>500000</v>
      </c>
      <c r="F81" s="81">
        <f t="shared" si="9"/>
        <v>500000</v>
      </c>
      <c r="G81" s="86">
        <f t="shared" si="10"/>
        <v>45242</v>
      </c>
      <c r="H81" s="87">
        <v>9.0399999999999994E-2</v>
      </c>
    </row>
    <row r="82" spans="2:8" ht="34.5" thickBot="1" x14ac:dyDescent="0.3">
      <c r="B82" s="40" t="s">
        <v>63</v>
      </c>
      <c r="C82" s="89" t="s">
        <v>51</v>
      </c>
      <c r="D82" s="48">
        <f t="shared" si="7"/>
        <v>728037.5</v>
      </c>
      <c r="E82" s="90">
        <f t="shared" si="8"/>
        <v>728037.5</v>
      </c>
      <c r="F82" s="81">
        <f t="shared" si="9"/>
        <v>679868.20927999995</v>
      </c>
      <c r="G82" s="91">
        <f t="shared" si="10"/>
        <v>266050.11223999999</v>
      </c>
      <c r="H82" s="87">
        <v>9.4500000000000001E-2</v>
      </c>
    </row>
    <row r="83" spans="2:8" ht="21" thickBot="1" x14ac:dyDescent="0.3">
      <c r="B83" s="92" t="s">
        <v>55</v>
      </c>
      <c r="C83" s="93"/>
      <c r="D83" s="94">
        <f t="shared" ref="D83" si="11">SUM(D60:D82)</f>
        <v>12664561.1</v>
      </c>
      <c r="E83" s="95">
        <f>SUM(E60:E82)</f>
        <v>11799543.380000001</v>
      </c>
      <c r="F83" s="96">
        <f>SUM(F60:F82)</f>
        <v>11756652.198479999</v>
      </c>
      <c r="G83" s="97">
        <f>SUM(G60:G82)</f>
        <v>3207351.8936563618</v>
      </c>
      <c r="H83" s="98">
        <f>AVERAGE(H79:H82,H74:H77,H69:H72,H60:H67)</f>
        <v>0.32863500000000001</v>
      </c>
    </row>
  </sheetData>
  <sheetProtection algorithmName="SHA-512" hashValue="3gq+QqcGM4VSR5siJaKuBxEWQvmWDTfRDE9ZocFTSP83BgP55JRlHH9sAlycz1zpOx1wi8Ha+IkIkAFILTGUMw==" saltValue="eKueXXNp9GvEUZ0aVV/N4w==" spinCount="100000" sheet="1" objects="1" scenarios="1"/>
  <mergeCells count="6">
    <mergeCell ref="A38:A52"/>
    <mergeCell ref="A2:A6"/>
    <mergeCell ref="A10:A24"/>
    <mergeCell ref="A30:A34"/>
    <mergeCell ref="A36:A37"/>
    <mergeCell ref="A8:A9"/>
  </mergeCells>
  <pageMargins left="0.7" right="0.7" top="0.75" bottom="0.75" header="0.3" footer="0.3"/>
  <pageSetup paperSize="9" scale="98" fitToWidth="0" orientation="landscape" r:id="rId1"/>
  <ignoredErrors>
    <ignoredError sqref="F29:J29 F44 H44:J44 F54:O54 F53:N53 A43 F31:J31 F45:J52 A30 G30:J30 L29:O31 F40:J43 A39 G39:I39 A40:A41 A45:A51 A38 A31:A34 A35 A42 C43:D43 A53:D53 A44 A52 A29:D29 C30:D30 C39:D39 C40:D41 C45:D51 C36:D38 C31:D34 C35:D35 C42:D42 C44:D44 C52:D52 K30:K35 A54 C54:D54 L40:O51 F33:J35 F32:H32 L33:O35 K36:K52 F36:J38 L36:O38" formulaRange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גאנט השקעות 2024-2025-2026</vt:lpstr>
      <vt:lpstr>'גאנט השקעות 2024-2025-2026'!WPrint_Area_W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swaxman</dc:creator>
  <cp:lastModifiedBy>User</cp:lastModifiedBy>
  <cp:lastPrinted>2025-12-09T13:30:38Z</cp:lastPrinted>
  <dcterms:created xsi:type="dcterms:W3CDTF">2022-04-25T08:19:25Z</dcterms:created>
  <dcterms:modified xsi:type="dcterms:W3CDTF">2025-12-09T13:54:52Z</dcterms:modified>
</cp:coreProperties>
</file>