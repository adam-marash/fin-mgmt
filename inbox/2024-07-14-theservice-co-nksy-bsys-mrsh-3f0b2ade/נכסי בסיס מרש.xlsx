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גל\לקוחות\"/>
    </mc:Choice>
  </mc:AlternateContent>
  <bookViews>
    <workbookView xWindow="0" yWindow="0" windowWidth="19368" windowHeight="9108"/>
  </bookViews>
  <sheets>
    <sheet name="נתונים גולמיים לאלוקציה" sheetId="1" r:id="rId1"/>
    <sheet name="גיליון1 (2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7" i="1" l="1"/>
  <c r="N18" i="1"/>
  <c r="N19" i="1"/>
  <c r="N20" i="1"/>
  <c r="N21" i="1"/>
  <c r="N16" i="1"/>
  <c r="M21" i="1"/>
  <c r="M20" i="1"/>
  <c r="M19" i="1"/>
  <c r="M18" i="1"/>
  <c r="M17" i="1"/>
  <c r="M16" i="1"/>
  <c r="Z7" i="1"/>
  <c r="W16" i="1"/>
  <c r="T8" i="1"/>
  <c r="O13" i="1"/>
  <c r="J12" i="1"/>
</calcChain>
</file>

<file path=xl/sharedStrings.xml><?xml version="1.0" encoding="utf-8"?>
<sst xmlns="http://schemas.openxmlformats.org/spreadsheetml/2006/main" count="306" uniqueCount="84">
  <si>
    <t>סוג מוצר</t>
  </si>
  <si>
    <t>יצרן</t>
  </si>
  <si>
    <t>תיאור</t>
  </si>
  <si>
    <t>מדיניות השקעה</t>
  </si>
  <si>
    <t>סכום צבור</t>
  </si>
  <si>
    <t>חשבון בנק</t>
  </si>
  <si>
    <t>בנק לאומי</t>
  </si>
  <si>
    <t>מימון חוץ בנקאי</t>
  </si>
  <si>
    <t>כרמל קרדיט</t>
  </si>
  <si>
    <t>עוש מט"ח</t>
  </si>
  <si>
    <t>גרנזי HSBC PB- דולר</t>
  </si>
  <si>
    <t>ג'רסיHSBC-אירו</t>
  </si>
  <si>
    <t>ג'רסיHSBC-דולר</t>
  </si>
  <si>
    <t>מטח דולר</t>
  </si>
  <si>
    <t xml:space="preserve">גרנזי HSBC PB-אירו </t>
  </si>
  <si>
    <t>מט'ח שוטף אירו פת"ח-תושבי חוץ</t>
  </si>
  <si>
    <t xml:space="preserve">ג'רסיHSBC-פאונד בריטי </t>
  </si>
  <si>
    <t>ג'רסיHSBC- יין יפני</t>
  </si>
  <si>
    <t>פקדון</t>
  </si>
  <si>
    <t>פקדון דולר</t>
  </si>
  <si>
    <t>קרן הון סיכון</t>
  </si>
  <si>
    <t>KDC Media Fund L.P</t>
  </si>
  <si>
    <t>KDC Media Fund L.P - Stardom Ventures</t>
  </si>
  <si>
    <t>קרן הון פרטי</t>
  </si>
  <si>
    <t xml:space="preserve">הפניקס ווליו פידר פאנדס </t>
  </si>
  <si>
    <t>Coller Capital</t>
  </si>
  <si>
    <t>פידר, שותפות מוגבלת ישראלית</t>
  </si>
  <si>
    <t>ISF - III</t>
  </si>
  <si>
    <t>קרן חוב</t>
  </si>
  <si>
    <t>קרן המגן של הראל</t>
  </si>
  <si>
    <t>קרן המגן - מסלול דולרי</t>
  </si>
  <si>
    <t>Impact Alternative Funds LP</t>
  </si>
  <si>
    <t>אימפקט חוב</t>
  </si>
  <si>
    <t>Pollen Street Capital Ltd</t>
  </si>
  <si>
    <t>Pollen Street Credit Fund III-USD</t>
  </si>
  <si>
    <t>Liquidity Capital II, L.P</t>
  </si>
  <si>
    <t>Viola Credit ALF III</t>
  </si>
  <si>
    <t>קרן נדלן</t>
  </si>
  <si>
    <t>אלקטרה USA 2</t>
  </si>
  <si>
    <t>תיק השקעות מיועץ</t>
  </si>
  <si>
    <t>תיק השקעות</t>
  </si>
  <si>
    <t>תיק השקעות מנוהל</t>
  </si>
  <si>
    <t>אי.בי.אי</t>
  </si>
  <si>
    <t>תיק מנוהל אי בי אי</t>
  </si>
  <si>
    <t>ילין לפידות</t>
  </si>
  <si>
    <t>תיק מנוהל ילין</t>
  </si>
  <si>
    <t>vontobel</t>
  </si>
  <si>
    <t>שוויץ Vontobel</t>
  </si>
  <si>
    <t>קרן השתלמות</t>
  </si>
  <si>
    <t>מגדל השתלמות כללי</t>
  </si>
  <si>
    <t>כללי</t>
  </si>
  <si>
    <t>Faro-Point FRG-X</t>
  </si>
  <si>
    <t>ריאליטי גרמניה - רכישת פורטפוליו של סופרמרקטים</t>
  </si>
  <si>
    <t>קאליבר- Caliber</t>
  </si>
  <si>
    <t>אלקטרה בי. טי. אר 1 - Electra BTR</t>
  </si>
  <si>
    <t>מגורים Multi-Family בפילדלפיה - גלפנד</t>
  </si>
  <si>
    <t>מרילנד, Gatewater Landing, גלפנד</t>
  </si>
  <si>
    <t>עסקת הרטפורד קונטיקט - התחדשות עירונית</t>
  </si>
  <si>
    <t>דיור מוגן באטלנטה בוליגו</t>
  </si>
  <si>
    <t>Serviced Apartments, Vienna</t>
  </si>
  <si>
    <t>דיור מוגן באטלנטה בוליגו 2</t>
  </si>
  <si>
    <t>מגורים Multi-Family ו Single-Family בניו הייבן - נץ</t>
  </si>
  <si>
    <t>בית פרטי - אנגליה</t>
  </si>
  <si>
    <t>כן</t>
  </si>
  <si>
    <t>דירה - אנגליה - לונדון</t>
  </si>
  <si>
    <t>לא</t>
  </si>
  <si>
    <t>דירה - תל אביב</t>
  </si>
  <si>
    <t>דירה - קפריסין - דירת נופש</t>
  </si>
  <si>
    <t>נכסים פיננסיים</t>
  </si>
  <si>
    <t>נכסים פנסיוניים</t>
  </si>
  <si>
    <t>תיאור הנכס</t>
  </si>
  <si>
    <t>שערוך אחרון</t>
  </si>
  <si>
    <t>נדל"ן TS</t>
  </si>
  <si>
    <t>נדל"ן ללא מגורים</t>
  </si>
  <si>
    <t>סה"כ</t>
  </si>
  <si>
    <t>קטגוריה</t>
  </si>
  <si>
    <t>משקל באלוקציה (%)</t>
  </si>
  <si>
    <t>מזומן</t>
  </si>
  <si>
    <t>שוק ההון</t>
  </si>
  <si>
    <t>עסקאות נדל"ן T.S</t>
  </si>
  <si>
    <t>נכסים אלטרנטיביים</t>
  </si>
  <si>
    <r>
      <t>יש לשים לב - לצורך חישוב האלוקציה, לא נלקח בחשבון ערכם של הנכסים הבאים:</t>
    </r>
    <r>
      <rPr>
        <sz val="8"/>
        <color theme="1"/>
        <rFont val="OE August Pro Light"/>
      </rPr>
      <t xml:space="preserve">
1. בית המשפחה באנגליה.
2. האחזקה/השקעה בחברות PCI Booking LTD ו- Betegy Zoo Via Prodigy.
3. ההלוואה שניתנה לחברת PCI Booking.</t>
    </r>
  </si>
  <si>
    <t>סכום צבור (₪)</t>
  </si>
  <si>
    <t>שערוך אחרון (₪)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</si>
</sst>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7.5"/>
      <color rgb="FF0070C0"/>
      <name val="Arial"/>
      <family val="2"/>
    </font>
    <font>
      <sz val="7.5"/>
      <color theme="1"/>
      <name val="Arial"/>
      <family val="2"/>
    </font>
    <font>
      <sz val="8"/>
      <color theme="1"/>
      <name val="OE August Pro Light"/>
    </font>
    <font>
      <b/>
      <sz val="8"/>
      <color rgb="FF0070C0"/>
      <name val="OE August Pro Light"/>
    </font>
    <font>
      <sz val="8"/>
      <color theme="1"/>
      <name val="OE August Pro Medium"/>
    </font>
    <font>
      <b/>
      <sz val="8"/>
      <name val="OE August Pro Medium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3" fontId="3" fillId="0" borderId="4" xfId="0" applyNumberFormat="1" applyFont="1" applyBorder="1" applyAlignment="1">
      <alignment horizontal="center" vertical="center" wrapText="1" readingOrder="2"/>
    </xf>
    <xf numFmtId="10" fontId="3" fillId="0" borderId="4" xfId="0" applyNumberFormat="1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3" fontId="3" fillId="0" borderId="2" xfId="0" applyNumberFormat="1" applyFont="1" applyBorder="1" applyAlignment="1">
      <alignment horizontal="center" vertical="center" wrapText="1" readingOrder="2"/>
    </xf>
    <xf numFmtId="14" fontId="3" fillId="0" borderId="4" xfId="0" applyNumberFormat="1" applyFont="1" applyBorder="1" applyAlignment="1">
      <alignment horizontal="center" vertical="center" wrapText="1" readingOrder="2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4" fillId="0" borderId="3" xfId="0" applyFont="1" applyBorder="1" applyAlignment="1">
      <alignment horizontal="center" vertical="center" wrapText="1" readingOrder="2"/>
    </xf>
    <xf numFmtId="0" fontId="4" fillId="0" borderId="4" xfId="0" applyFont="1" applyBorder="1" applyAlignment="1">
      <alignment horizontal="center" vertical="center" wrapText="1" readingOrder="2"/>
    </xf>
    <xf numFmtId="3" fontId="4" fillId="0" borderId="4" xfId="0" applyNumberFormat="1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3" fontId="4" fillId="0" borderId="2" xfId="0" applyNumberFormat="1" applyFont="1" applyBorder="1" applyAlignment="1">
      <alignment horizontal="center" vertical="center" wrapText="1" readingOrder="2"/>
    </xf>
    <xf numFmtId="0" fontId="4" fillId="0" borderId="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 wrapText="1" readingOrder="2"/>
    </xf>
    <xf numFmtId="3" fontId="4" fillId="0" borderId="6" xfId="0" applyNumberFormat="1" applyFont="1" applyBorder="1" applyAlignment="1">
      <alignment horizontal="center" vertical="center" wrapText="1" readingOrder="2"/>
    </xf>
    <xf numFmtId="0" fontId="4" fillId="2" borderId="6" xfId="0" applyFont="1" applyFill="1" applyBorder="1" applyAlignment="1">
      <alignment horizontal="center" vertical="center" wrapText="1" readingOrder="2"/>
    </xf>
    <xf numFmtId="0" fontId="7" fillId="3" borderId="6" xfId="0" applyFont="1" applyFill="1" applyBorder="1" applyAlignment="1">
      <alignment horizontal="center" vertical="center" wrapText="1" readingOrder="2"/>
    </xf>
    <xf numFmtId="0" fontId="6" fillId="3" borderId="6" xfId="0" applyFont="1" applyFill="1" applyBorder="1" applyAlignment="1">
      <alignment horizontal="center" vertical="center" wrapText="1" readingOrder="2"/>
    </xf>
    <xf numFmtId="3" fontId="6" fillId="3" borderId="6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 readingOrder="2"/>
    </xf>
    <xf numFmtId="0" fontId="4" fillId="0" borderId="7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 readingOrder="2"/>
    </xf>
    <xf numFmtId="0" fontId="7" fillId="5" borderId="17" xfId="0" applyFont="1" applyFill="1" applyBorder="1" applyAlignment="1">
      <alignment horizontal="center" vertical="center" wrapText="1" readingOrder="2"/>
    </xf>
    <xf numFmtId="0" fontId="7" fillId="5" borderId="18" xfId="0" applyFont="1" applyFill="1" applyBorder="1" applyAlignment="1">
      <alignment horizontal="center" vertical="center" wrapText="1" readingOrder="2"/>
    </xf>
    <xf numFmtId="0" fontId="4" fillId="0" borderId="19" xfId="0" applyFont="1" applyBorder="1" applyAlignment="1">
      <alignment horizontal="center" vertical="center"/>
    </xf>
    <xf numFmtId="9" fontId="4" fillId="0" borderId="20" xfId="1" applyFont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3" fontId="6" fillId="5" borderId="22" xfId="0" applyNumberFormat="1" applyFont="1" applyFill="1" applyBorder="1" applyAlignment="1">
      <alignment horizontal="center" vertical="center"/>
    </xf>
    <xf numFmtId="9" fontId="6" fillId="5" borderId="23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51"/>
  <sheetViews>
    <sheetView rightToLeft="1" tabSelected="1" topLeftCell="F1" zoomScaleNormal="100" workbookViewId="0">
      <selection activeCell="H21" sqref="H21"/>
    </sheetView>
  </sheetViews>
  <sheetFormatPr defaultColWidth="12.09765625" defaultRowHeight="12" x14ac:dyDescent="0.25"/>
  <cols>
    <col min="1" max="5" width="0" style="13" hidden="1" customWidth="1"/>
    <col min="6" max="6" width="3.5" style="13" customWidth="1"/>
    <col min="7" max="10" width="12.09765625" style="13"/>
    <col min="11" max="11" width="3.59765625" style="13" customWidth="1"/>
    <col min="12" max="13" width="12.09765625" style="13"/>
    <col min="14" max="14" width="15.09765625" style="13" customWidth="1"/>
    <col min="15" max="15" width="12.09765625" style="13"/>
    <col min="16" max="16" width="3.5" style="13" customWidth="1"/>
    <col min="17" max="20" width="12.09765625" style="13"/>
    <col min="21" max="21" width="3.09765625" style="13" customWidth="1"/>
    <col min="22" max="23" width="12.09765625" style="13"/>
    <col min="24" max="24" width="2.8984375" style="13" customWidth="1"/>
    <col min="25" max="16384" width="12.09765625" style="13"/>
  </cols>
  <sheetData>
    <row r="2" spans="2:26" ht="12.6" thickBot="1" x14ac:dyDescent="0.3">
      <c r="B2" s="12" t="s">
        <v>68</v>
      </c>
      <c r="C2" s="12"/>
      <c r="D2" s="12"/>
      <c r="E2" s="12"/>
      <c r="G2" s="30" t="s">
        <v>77</v>
      </c>
      <c r="H2" s="30"/>
      <c r="I2" s="30"/>
      <c r="J2" s="30"/>
      <c r="Q2" s="22"/>
      <c r="R2" s="22"/>
      <c r="S2" s="22"/>
      <c r="T2" s="22"/>
    </row>
    <row r="3" spans="2:26" ht="12.6" thickBot="1" x14ac:dyDescent="0.3">
      <c r="B3" s="14" t="s">
        <v>0</v>
      </c>
      <c r="C3" s="15" t="s">
        <v>1</v>
      </c>
      <c r="D3" s="15" t="s">
        <v>2</v>
      </c>
      <c r="E3" s="15" t="s">
        <v>4</v>
      </c>
      <c r="G3" s="26" t="s">
        <v>0</v>
      </c>
      <c r="H3" s="26" t="s">
        <v>1</v>
      </c>
      <c r="I3" s="26" t="s">
        <v>2</v>
      </c>
      <c r="J3" s="26" t="s">
        <v>82</v>
      </c>
      <c r="L3" s="26" t="s">
        <v>0</v>
      </c>
      <c r="M3" s="26" t="s">
        <v>1</v>
      </c>
      <c r="N3" s="26" t="s">
        <v>2</v>
      </c>
      <c r="O3" s="26" t="s">
        <v>82</v>
      </c>
      <c r="Q3" s="26" t="s">
        <v>0</v>
      </c>
      <c r="R3" s="26" t="s">
        <v>1</v>
      </c>
      <c r="S3" s="26" t="s">
        <v>2</v>
      </c>
      <c r="T3" s="26" t="s">
        <v>82</v>
      </c>
      <c r="V3" s="26" t="s">
        <v>70</v>
      </c>
      <c r="W3" s="26" t="s">
        <v>83</v>
      </c>
      <c r="Y3" s="26" t="s">
        <v>70</v>
      </c>
      <c r="Z3" s="26" t="s">
        <v>83</v>
      </c>
    </row>
    <row r="4" spans="2:26" ht="24.6" thickBot="1" x14ac:dyDescent="0.3">
      <c r="B4" s="16" t="s">
        <v>5</v>
      </c>
      <c r="C4" s="17" t="s">
        <v>6</v>
      </c>
      <c r="D4" s="17" t="s">
        <v>5</v>
      </c>
      <c r="E4" s="18">
        <v>22272</v>
      </c>
      <c r="G4" s="23" t="s">
        <v>5</v>
      </c>
      <c r="H4" s="23" t="s">
        <v>6</v>
      </c>
      <c r="I4" s="23" t="s">
        <v>5</v>
      </c>
      <c r="J4" s="24">
        <v>22272</v>
      </c>
      <c r="L4" s="23" t="s">
        <v>7</v>
      </c>
      <c r="M4" s="23" t="s">
        <v>8</v>
      </c>
      <c r="N4" s="23" t="s">
        <v>8</v>
      </c>
      <c r="O4" s="24">
        <v>2000000</v>
      </c>
      <c r="Q4" s="23" t="s">
        <v>39</v>
      </c>
      <c r="R4" s="23" t="s">
        <v>6</v>
      </c>
      <c r="S4" s="23" t="s">
        <v>40</v>
      </c>
      <c r="T4" s="24">
        <v>20436</v>
      </c>
      <c r="V4" s="23" t="s">
        <v>51</v>
      </c>
      <c r="W4" s="24">
        <v>2983920</v>
      </c>
      <c r="Y4" s="23" t="s">
        <v>64</v>
      </c>
      <c r="Z4" s="24">
        <v>4222170</v>
      </c>
    </row>
    <row r="5" spans="2:26" ht="36.6" thickBot="1" x14ac:dyDescent="0.3">
      <c r="B5" s="16" t="s">
        <v>7</v>
      </c>
      <c r="C5" s="17" t="s">
        <v>8</v>
      </c>
      <c r="D5" s="17" t="s">
        <v>8</v>
      </c>
      <c r="E5" s="18">
        <v>2000000</v>
      </c>
      <c r="G5" s="23" t="s">
        <v>9</v>
      </c>
      <c r="H5" s="25"/>
      <c r="I5" s="23" t="s">
        <v>10</v>
      </c>
      <c r="J5" s="24">
        <v>5000819</v>
      </c>
      <c r="L5" s="23" t="s">
        <v>20</v>
      </c>
      <c r="M5" s="23" t="s">
        <v>21</v>
      </c>
      <c r="N5" s="23" t="s">
        <v>22</v>
      </c>
      <c r="O5" s="24">
        <v>677813</v>
      </c>
      <c r="Q5" s="23" t="s">
        <v>41</v>
      </c>
      <c r="R5" s="23" t="s">
        <v>42</v>
      </c>
      <c r="S5" s="23" t="s">
        <v>43</v>
      </c>
      <c r="T5" s="24">
        <v>15821553</v>
      </c>
      <c r="V5" s="23" t="s">
        <v>52</v>
      </c>
      <c r="W5" s="24">
        <v>2327159</v>
      </c>
      <c r="Y5" s="23" t="s">
        <v>66</v>
      </c>
      <c r="Z5" s="24">
        <v>4200000</v>
      </c>
    </row>
    <row r="6" spans="2:26" ht="24.6" thickBot="1" x14ac:dyDescent="0.3">
      <c r="B6" s="16" t="s">
        <v>9</v>
      </c>
      <c r="C6" s="17"/>
      <c r="D6" s="17" t="s">
        <v>10</v>
      </c>
      <c r="E6" s="18">
        <v>5000819</v>
      </c>
      <c r="G6" s="23" t="s">
        <v>9</v>
      </c>
      <c r="H6" s="25"/>
      <c r="I6" s="23" t="s">
        <v>11</v>
      </c>
      <c r="J6" s="24">
        <v>1447877</v>
      </c>
      <c r="L6" s="23" t="s">
        <v>23</v>
      </c>
      <c r="M6" s="23" t="s">
        <v>24</v>
      </c>
      <c r="N6" s="23" t="s">
        <v>25</v>
      </c>
      <c r="O6" s="24">
        <v>6206351</v>
      </c>
      <c r="Q6" s="23" t="s">
        <v>41</v>
      </c>
      <c r="R6" s="23" t="s">
        <v>44</v>
      </c>
      <c r="S6" s="23" t="s">
        <v>45</v>
      </c>
      <c r="T6" s="24">
        <v>11421779</v>
      </c>
      <c r="V6" s="23" t="s">
        <v>53</v>
      </c>
      <c r="W6" s="24">
        <v>1831500</v>
      </c>
      <c r="Y6" s="23" t="s">
        <v>67</v>
      </c>
      <c r="Z6" s="24">
        <v>1902624</v>
      </c>
    </row>
    <row r="7" spans="2:26" ht="24.6" thickBot="1" x14ac:dyDescent="0.3">
      <c r="B7" s="16" t="s">
        <v>9</v>
      </c>
      <c r="C7" s="17"/>
      <c r="D7" s="17" t="s">
        <v>11</v>
      </c>
      <c r="E7" s="18">
        <v>1447877</v>
      </c>
      <c r="G7" s="23" t="s">
        <v>9</v>
      </c>
      <c r="H7" s="25"/>
      <c r="I7" s="23" t="s">
        <v>12</v>
      </c>
      <c r="J7" s="24">
        <v>985402</v>
      </c>
      <c r="L7" s="23" t="s">
        <v>23</v>
      </c>
      <c r="M7" s="23" t="s">
        <v>26</v>
      </c>
      <c r="N7" s="23" t="s">
        <v>27</v>
      </c>
      <c r="O7" s="24">
        <v>174619</v>
      </c>
      <c r="Q7" s="23" t="s">
        <v>41</v>
      </c>
      <c r="R7" s="23" t="s">
        <v>46</v>
      </c>
      <c r="S7" s="23" t="s">
        <v>47</v>
      </c>
      <c r="T7" s="24">
        <v>6357127</v>
      </c>
      <c r="V7" s="23" t="s">
        <v>54</v>
      </c>
      <c r="W7" s="24">
        <v>1831500</v>
      </c>
      <c r="Y7" s="29" t="s">
        <v>74</v>
      </c>
      <c r="Z7" s="28">
        <f>SUM(Z4:Z6)</f>
        <v>10324794</v>
      </c>
    </row>
    <row r="8" spans="2:26" ht="36.6" thickBot="1" x14ac:dyDescent="0.3">
      <c r="B8" s="16" t="s">
        <v>9</v>
      </c>
      <c r="C8" s="17"/>
      <c r="D8" s="17" t="s">
        <v>12</v>
      </c>
      <c r="E8" s="18">
        <v>985402</v>
      </c>
      <c r="G8" s="23" t="s">
        <v>9</v>
      </c>
      <c r="H8" s="23" t="s">
        <v>6</v>
      </c>
      <c r="I8" s="23" t="s">
        <v>13</v>
      </c>
      <c r="J8" s="24">
        <v>601337</v>
      </c>
      <c r="L8" s="23" t="s">
        <v>28</v>
      </c>
      <c r="M8" s="23" t="s">
        <v>29</v>
      </c>
      <c r="N8" s="23" t="s">
        <v>30</v>
      </c>
      <c r="O8" s="24">
        <v>3781783</v>
      </c>
      <c r="Q8" s="27" t="s">
        <v>74</v>
      </c>
      <c r="R8" s="27"/>
      <c r="S8" s="27"/>
      <c r="T8" s="28">
        <f>SUM(T4:T7)</f>
        <v>33620895</v>
      </c>
      <c r="V8" s="23" t="s">
        <v>55</v>
      </c>
      <c r="W8" s="24">
        <v>1831500</v>
      </c>
    </row>
    <row r="9" spans="2:26" ht="24.6" thickBot="1" x14ac:dyDescent="0.3">
      <c r="B9" s="16" t="s">
        <v>9</v>
      </c>
      <c r="C9" s="17" t="s">
        <v>6</v>
      </c>
      <c r="D9" s="17" t="s">
        <v>13</v>
      </c>
      <c r="E9" s="18">
        <v>601337</v>
      </c>
      <c r="G9" s="23" t="s">
        <v>9</v>
      </c>
      <c r="H9" s="25"/>
      <c r="I9" s="23" t="s">
        <v>14</v>
      </c>
      <c r="J9" s="24">
        <v>43471</v>
      </c>
      <c r="L9" s="23" t="s">
        <v>28</v>
      </c>
      <c r="M9" s="23" t="s">
        <v>31</v>
      </c>
      <c r="N9" s="23" t="s">
        <v>32</v>
      </c>
      <c r="O9" s="24">
        <v>3759297</v>
      </c>
      <c r="V9" s="23" t="s">
        <v>56</v>
      </c>
      <c r="W9" s="24">
        <v>1831500</v>
      </c>
    </row>
    <row r="10" spans="2:26" ht="36.6" thickBot="1" x14ac:dyDescent="0.3">
      <c r="B10" s="16" t="s">
        <v>9</v>
      </c>
      <c r="C10" s="17"/>
      <c r="D10" s="17" t="s">
        <v>14</v>
      </c>
      <c r="E10" s="18">
        <v>43471</v>
      </c>
      <c r="G10" s="23" t="s">
        <v>9</v>
      </c>
      <c r="H10" s="23" t="s">
        <v>6</v>
      </c>
      <c r="I10" s="23" t="s">
        <v>15</v>
      </c>
      <c r="J10" s="23">
        <v>234</v>
      </c>
      <c r="L10" s="23" t="s">
        <v>28</v>
      </c>
      <c r="M10" s="23" t="s">
        <v>33</v>
      </c>
      <c r="N10" s="23" t="s">
        <v>34</v>
      </c>
      <c r="O10" s="24">
        <v>1877496</v>
      </c>
      <c r="V10" s="23" t="s">
        <v>57</v>
      </c>
      <c r="W10" s="24">
        <v>1739925</v>
      </c>
    </row>
    <row r="11" spans="2:26" ht="24.6" thickBot="1" x14ac:dyDescent="0.3">
      <c r="B11" s="16" t="s">
        <v>9</v>
      </c>
      <c r="C11" s="17" t="s">
        <v>6</v>
      </c>
      <c r="D11" s="17" t="s">
        <v>15</v>
      </c>
      <c r="E11" s="17">
        <v>234</v>
      </c>
      <c r="G11" s="23" t="s">
        <v>18</v>
      </c>
      <c r="H11" s="23" t="s">
        <v>6</v>
      </c>
      <c r="I11" s="23" t="s">
        <v>19</v>
      </c>
      <c r="J11" s="24">
        <v>3706956</v>
      </c>
      <c r="L11" s="23" t="s">
        <v>28</v>
      </c>
      <c r="M11" s="23" t="s">
        <v>35</v>
      </c>
      <c r="N11" s="23" t="s">
        <v>35</v>
      </c>
      <c r="O11" s="24">
        <v>983387</v>
      </c>
      <c r="V11" s="23" t="s">
        <v>58</v>
      </c>
      <c r="W11" s="24">
        <v>1703566</v>
      </c>
    </row>
    <row r="12" spans="2:26" ht="24.6" thickBot="1" x14ac:dyDescent="0.3">
      <c r="B12" s="16" t="s">
        <v>9</v>
      </c>
      <c r="C12" s="17"/>
      <c r="D12" s="17" t="s">
        <v>16</v>
      </c>
      <c r="E12" s="17">
        <v>0</v>
      </c>
      <c r="G12" s="27" t="s">
        <v>74</v>
      </c>
      <c r="H12" s="27"/>
      <c r="I12" s="27"/>
      <c r="J12" s="28">
        <f>SUM(J4:J11)</f>
        <v>11808368</v>
      </c>
      <c r="L12" s="23" t="s">
        <v>28</v>
      </c>
      <c r="M12" s="23" t="s">
        <v>36</v>
      </c>
      <c r="N12" s="23" t="s">
        <v>36</v>
      </c>
      <c r="O12" s="24">
        <v>90045</v>
      </c>
      <c r="V12" s="23" t="s">
        <v>59</v>
      </c>
      <c r="W12" s="24">
        <v>1562605</v>
      </c>
    </row>
    <row r="13" spans="2:26" ht="24.6" thickBot="1" x14ac:dyDescent="0.3">
      <c r="B13" s="16" t="s">
        <v>9</v>
      </c>
      <c r="C13" s="17"/>
      <c r="D13" s="17" t="s">
        <v>17</v>
      </c>
      <c r="E13" s="17">
        <v>0</v>
      </c>
      <c r="L13" s="27" t="s">
        <v>74</v>
      </c>
      <c r="M13" s="27"/>
      <c r="N13" s="27"/>
      <c r="O13" s="28">
        <f>SUM(O4:O12)</f>
        <v>19550791</v>
      </c>
      <c r="V13" s="23" t="s">
        <v>60</v>
      </c>
      <c r="W13" s="24">
        <v>1088885</v>
      </c>
    </row>
    <row r="14" spans="2:26" ht="48.6" thickBot="1" x14ac:dyDescent="0.3">
      <c r="B14" s="16" t="s">
        <v>18</v>
      </c>
      <c r="C14" s="17" t="s">
        <v>6</v>
      </c>
      <c r="D14" s="17" t="s">
        <v>19</v>
      </c>
      <c r="E14" s="18">
        <v>3706956</v>
      </c>
      <c r="V14" s="23" t="s">
        <v>61</v>
      </c>
      <c r="W14" s="24">
        <v>941362</v>
      </c>
    </row>
    <row r="15" spans="2:26" ht="36.6" customHeight="1" thickBot="1" x14ac:dyDescent="0.3">
      <c r="B15" s="16" t="s">
        <v>20</v>
      </c>
      <c r="C15" s="17" t="s">
        <v>21</v>
      </c>
      <c r="D15" s="17" t="s">
        <v>22</v>
      </c>
      <c r="E15" s="18">
        <v>677813</v>
      </c>
      <c r="L15" s="41" t="s">
        <v>75</v>
      </c>
      <c r="M15" s="42" t="s">
        <v>82</v>
      </c>
      <c r="N15" s="43" t="s">
        <v>76</v>
      </c>
      <c r="P15" s="32" t="s">
        <v>81</v>
      </c>
      <c r="Q15" s="33"/>
      <c r="R15" s="33"/>
      <c r="S15" s="33"/>
      <c r="T15" s="34"/>
      <c r="V15" s="23" t="s">
        <v>38</v>
      </c>
      <c r="W15" s="24">
        <v>1956357</v>
      </c>
    </row>
    <row r="16" spans="2:26" ht="24.6" thickBot="1" x14ac:dyDescent="0.3">
      <c r="B16" s="16" t="s">
        <v>23</v>
      </c>
      <c r="C16" s="17" t="s">
        <v>24</v>
      </c>
      <c r="D16" s="17" t="s">
        <v>25</v>
      </c>
      <c r="E16" s="18">
        <v>6206351</v>
      </c>
      <c r="L16" s="44" t="s">
        <v>78</v>
      </c>
      <c r="M16" s="31">
        <f>T8</f>
        <v>33620895</v>
      </c>
      <c r="N16" s="45">
        <f>M16/$M$21</f>
        <v>0.34684091784868581</v>
      </c>
      <c r="P16" s="35"/>
      <c r="Q16" s="36"/>
      <c r="R16" s="36"/>
      <c r="S16" s="36"/>
      <c r="T16" s="37"/>
      <c r="V16" s="29" t="s">
        <v>74</v>
      </c>
      <c r="W16" s="28">
        <f>SUM(W4:W15)</f>
        <v>21629779</v>
      </c>
    </row>
    <row r="17" spans="2:20" ht="24.6" thickBot="1" x14ac:dyDescent="0.3">
      <c r="B17" s="16" t="s">
        <v>23</v>
      </c>
      <c r="C17" s="17" t="s">
        <v>26</v>
      </c>
      <c r="D17" s="17" t="s">
        <v>27</v>
      </c>
      <c r="E17" s="18">
        <v>174619</v>
      </c>
      <c r="L17" s="44" t="s">
        <v>73</v>
      </c>
      <c r="M17" s="31">
        <f>Z7</f>
        <v>10324794</v>
      </c>
      <c r="N17" s="45">
        <f t="shared" ref="N17:N21" si="0">M17/$M$21</f>
        <v>0.10651295950207762</v>
      </c>
      <c r="P17" s="38"/>
      <c r="Q17" s="39"/>
      <c r="R17" s="39"/>
      <c r="S17" s="39"/>
      <c r="T17" s="40"/>
    </row>
    <row r="18" spans="2:20" ht="24.6" thickBot="1" x14ac:dyDescent="0.3">
      <c r="B18" s="16" t="s">
        <v>28</v>
      </c>
      <c r="C18" s="17" t="s">
        <v>29</v>
      </c>
      <c r="D18" s="17" t="s">
        <v>30</v>
      </c>
      <c r="E18" s="18">
        <v>3781783</v>
      </c>
      <c r="L18" s="44" t="s">
        <v>79</v>
      </c>
      <c r="M18" s="31">
        <f>W16</f>
        <v>21629779</v>
      </c>
      <c r="N18" s="45">
        <f t="shared" si="0"/>
        <v>0.22313779574351691</v>
      </c>
    </row>
    <row r="19" spans="2:20" ht="24.6" thickBot="1" x14ac:dyDescent="0.3">
      <c r="B19" s="16" t="s">
        <v>28</v>
      </c>
      <c r="C19" s="17" t="s">
        <v>31</v>
      </c>
      <c r="D19" s="17" t="s">
        <v>32</v>
      </c>
      <c r="E19" s="18">
        <v>3759297</v>
      </c>
      <c r="L19" s="44" t="s">
        <v>80</v>
      </c>
      <c r="M19" s="31">
        <f>O13</f>
        <v>19550791</v>
      </c>
      <c r="N19" s="45">
        <f t="shared" si="0"/>
        <v>0.20169047537573956</v>
      </c>
    </row>
    <row r="20" spans="2:20" ht="24.6" thickBot="1" x14ac:dyDescent="0.3">
      <c r="B20" s="16" t="s">
        <v>28</v>
      </c>
      <c r="C20" s="17" t="s">
        <v>33</v>
      </c>
      <c r="D20" s="17" t="s">
        <v>34</v>
      </c>
      <c r="E20" s="18">
        <v>1877496</v>
      </c>
      <c r="L20" s="44" t="s">
        <v>77</v>
      </c>
      <c r="M20" s="31">
        <f>J12</f>
        <v>11808368</v>
      </c>
      <c r="N20" s="45">
        <f t="shared" si="0"/>
        <v>0.12181785152998009</v>
      </c>
    </row>
    <row r="21" spans="2:20" ht="24.6" thickBot="1" x14ac:dyDescent="0.3">
      <c r="B21" s="16" t="s">
        <v>28</v>
      </c>
      <c r="C21" s="17" t="s">
        <v>35</v>
      </c>
      <c r="D21" s="17" t="s">
        <v>35</v>
      </c>
      <c r="E21" s="18">
        <v>983387</v>
      </c>
      <c r="L21" s="46" t="s">
        <v>74</v>
      </c>
      <c r="M21" s="47">
        <f>SUM(M16:M20)</f>
        <v>96934627</v>
      </c>
      <c r="N21" s="48">
        <f t="shared" si="0"/>
        <v>1</v>
      </c>
    </row>
    <row r="22" spans="2:20" ht="12.6" thickBot="1" x14ac:dyDescent="0.3">
      <c r="B22" s="16" t="s">
        <v>28</v>
      </c>
      <c r="C22" s="17" t="s">
        <v>36</v>
      </c>
      <c r="D22" s="17" t="s">
        <v>36</v>
      </c>
      <c r="E22" s="18">
        <v>90045</v>
      </c>
    </row>
    <row r="23" spans="2:20" ht="12.6" thickBot="1" x14ac:dyDescent="0.3">
      <c r="B23" s="16" t="s">
        <v>37</v>
      </c>
      <c r="C23" s="17" t="s">
        <v>38</v>
      </c>
      <c r="D23" s="17" t="s">
        <v>38</v>
      </c>
      <c r="E23" s="18">
        <v>1956357</v>
      </c>
    </row>
    <row r="24" spans="2:20" ht="12.6" thickBot="1" x14ac:dyDescent="0.3">
      <c r="B24" s="16" t="s">
        <v>39</v>
      </c>
      <c r="C24" s="17" t="s">
        <v>6</v>
      </c>
      <c r="D24" s="17" t="s">
        <v>40</v>
      </c>
      <c r="E24" s="18">
        <v>20436</v>
      </c>
    </row>
    <row r="25" spans="2:20" ht="12.6" thickBot="1" x14ac:dyDescent="0.3">
      <c r="B25" s="16" t="s">
        <v>41</v>
      </c>
      <c r="C25" s="17" t="s">
        <v>42</v>
      </c>
      <c r="D25" s="17" t="s">
        <v>43</v>
      </c>
      <c r="E25" s="18">
        <v>15821553</v>
      </c>
    </row>
    <row r="26" spans="2:20" ht="12.6" thickBot="1" x14ac:dyDescent="0.3">
      <c r="B26" s="16" t="s">
        <v>41</v>
      </c>
      <c r="C26" s="17" t="s">
        <v>44</v>
      </c>
      <c r="D26" s="17" t="s">
        <v>45</v>
      </c>
      <c r="E26" s="18">
        <v>11421779</v>
      </c>
    </row>
    <row r="27" spans="2:20" ht="12.6" thickBot="1" x14ac:dyDescent="0.3">
      <c r="B27" s="16" t="s">
        <v>41</v>
      </c>
      <c r="C27" s="17" t="s">
        <v>46</v>
      </c>
      <c r="D27" s="17" t="s">
        <v>47</v>
      </c>
      <c r="E27" s="18">
        <v>6357127</v>
      </c>
    </row>
    <row r="29" spans="2:20" ht="12.6" thickBot="1" x14ac:dyDescent="0.3">
      <c r="B29" s="12" t="s">
        <v>69</v>
      </c>
      <c r="C29" s="12"/>
      <c r="D29" s="12"/>
      <c r="E29" s="12"/>
    </row>
    <row r="30" spans="2:20" ht="12.6" thickBot="1" x14ac:dyDescent="0.3">
      <c r="B30" s="14" t="s">
        <v>0</v>
      </c>
      <c r="C30" s="15" t="s">
        <v>1</v>
      </c>
      <c r="D30" s="15" t="s">
        <v>3</v>
      </c>
      <c r="E30" s="15" t="s">
        <v>4</v>
      </c>
    </row>
    <row r="31" spans="2:20" ht="24.6" thickBot="1" x14ac:dyDescent="0.3">
      <c r="B31" s="19" t="s">
        <v>48</v>
      </c>
      <c r="C31" s="21" t="s">
        <v>49</v>
      </c>
      <c r="D31" s="21" t="s">
        <v>50</v>
      </c>
      <c r="E31" s="20">
        <v>26571</v>
      </c>
    </row>
    <row r="33" spans="2:3" ht="12.6" thickBot="1" x14ac:dyDescent="0.3">
      <c r="B33" s="12" t="s">
        <v>72</v>
      </c>
      <c r="C33" s="12"/>
    </row>
    <row r="34" spans="2:3" ht="12.6" thickBot="1" x14ac:dyDescent="0.3">
      <c r="B34" s="14" t="s">
        <v>70</v>
      </c>
      <c r="C34" s="15" t="s">
        <v>71</v>
      </c>
    </row>
    <row r="35" spans="2:3" ht="12.6" thickBot="1" x14ac:dyDescent="0.3">
      <c r="B35" s="19" t="s">
        <v>51</v>
      </c>
      <c r="C35" s="20">
        <v>2983920</v>
      </c>
    </row>
    <row r="36" spans="2:3" ht="36.6" thickBot="1" x14ac:dyDescent="0.3">
      <c r="B36" s="16" t="s">
        <v>52</v>
      </c>
      <c r="C36" s="18">
        <v>2327159</v>
      </c>
    </row>
    <row r="37" spans="2:3" ht="12.6" thickBot="1" x14ac:dyDescent="0.3">
      <c r="B37" s="16" t="s">
        <v>53</v>
      </c>
      <c r="C37" s="18">
        <v>1831500</v>
      </c>
    </row>
    <row r="38" spans="2:3" ht="24.6" thickBot="1" x14ac:dyDescent="0.3">
      <c r="B38" s="16" t="s">
        <v>54</v>
      </c>
      <c r="C38" s="18">
        <v>1831500</v>
      </c>
    </row>
    <row r="39" spans="2:3" ht="36.6" thickBot="1" x14ac:dyDescent="0.3">
      <c r="B39" s="16" t="s">
        <v>55</v>
      </c>
      <c r="C39" s="18">
        <v>1831500</v>
      </c>
    </row>
    <row r="40" spans="2:3" ht="24.6" thickBot="1" x14ac:dyDescent="0.3">
      <c r="B40" s="16" t="s">
        <v>56</v>
      </c>
      <c r="C40" s="18">
        <v>1831500</v>
      </c>
    </row>
    <row r="41" spans="2:3" ht="36.6" thickBot="1" x14ac:dyDescent="0.3">
      <c r="B41" s="16" t="s">
        <v>57</v>
      </c>
      <c r="C41" s="18">
        <v>1739925</v>
      </c>
    </row>
    <row r="42" spans="2:3" ht="24.6" thickBot="1" x14ac:dyDescent="0.3">
      <c r="B42" s="16" t="s">
        <v>58</v>
      </c>
      <c r="C42" s="18">
        <v>1703566</v>
      </c>
    </row>
    <row r="43" spans="2:3" ht="24.6" thickBot="1" x14ac:dyDescent="0.3">
      <c r="B43" s="16" t="s">
        <v>59</v>
      </c>
      <c r="C43" s="18">
        <v>1562605</v>
      </c>
    </row>
    <row r="44" spans="2:3" ht="24.6" thickBot="1" x14ac:dyDescent="0.3">
      <c r="B44" s="16" t="s">
        <v>60</v>
      </c>
      <c r="C44" s="18">
        <v>1088885</v>
      </c>
    </row>
    <row r="45" spans="2:3" ht="48.6" thickBot="1" x14ac:dyDescent="0.3">
      <c r="B45" s="16" t="s">
        <v>61</v>
      </c>
      <c r="C45" s="18">
        <v>941362</v>
      </c>
    </row>
    <row r="47" spans="2:3" ht="12.6" thickBot="1" x14ac:dyDescent="0.3">
      <c r="B47" s="12" t="s">
        <v>73</v>
      </c>
      <c r="C47" s="12"/>
    </row>
    <row r="48" spans="2:3" ht="12.6" thickBot="1" x14ac:dyDescent="0.3">
      <c r="B48" s="14" t="s">
        <v>70</v>
      </c>
      <c r="C48" s="15" t="s">
        <v>71</v>
      </c>
    </row>
    <row r="49" spans="2:3" ht="24.6" thickBot="1" x14ac:dyDescent="0.3">
      <c r="B49" s="16" t="s">
        <v>64</v>
      </c>
      <c r="C49" s="18">
        <v>4222170</v>
      </c>
    </row>
    <row r="50" spans="2:3" ht="12.6" thickBot="1" x14ac:dyDescent="0.3">
      <c r="B50" s="16" t="s">
        <v>66</v>
      </c>
      <c r="C50" s="18">
        <v>4200000</v>
      </c>
    </row>
    <row r="51" spans="2:3" ht="24.6" thickBot="1" x14ac:dyDescent="0.3">
      <c r="B51" s="16" t="s">
        <v>67</v>
      </c>
      <c r="C51" s="18">
        <v>1902624</v>
      </c>
    </row>
  </sheetData>
  <mergeCells count="9">
    <mergeCell ref="Q8:S8"/>
    <mergeCell ref="G2:J2"/>
    <mergeCell ref="P15:T17"/>
    <mergeCell ref="B2:E2"/>
    <mergeCell ref="B29:E29"/>
    <mergeCell ref="B33:C33"/>
    <mergeCell ref="B47:C47"/>
    <mergeCell ref="G12:I12"/>
    <mergeCell ref="L13:N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0"/>
  <sheetViews>
    <sheetView rightToLeft="1" topLeftCell="A37" workbookViewId="0">
      <selection activeCell="A46" sqref="A46:XFD46"/>
    </sheetView>
  </sheetViews>
  <sheetFormatPr defaultRowHeight="13.8" x14ac:dyDescent="0.25"/>
  <sheetData>
    <row r="1" spans="2:5" ht="14.4" thickBot="1" x14ac:dyDescent="0.3">
      <c r="B1" s="11" t="s">
        <v>68</v>
      </c>
      <c r="C1" s="11"/>
      <c r="D1" s="11"/>
      <c r="E1" s="11"/>
    </row>
    <row r="2" spans="2:5" ht="14.4" thickBot="1" x14ac:dyDescent="0.3">
      <c r="B2" s="1" t="s">
        <v>0</v>
      </c>
      <c r="C2" s="2" t="s">
        <v>1</v>
      </c>
      <c r="D2" s="2" t="s">
        <v>2</v>
      </c>
      <c r="E2" s="2" t="s">
        <v>4</v>
      </c>
    </row>
    <row r="3" spans="2:5" ht="14.4" thickBot="1" x14ac:dyDescent="0.3">
      <c r="B3" s="3" t="s">
        <v>5</v>
      </c>
      <c r="C3" s="4" t="s">
        <v>6</v>
      </c>
      <c r="D3" s="4" t="s">
        <v>5</v>
      </c>
      <c r="E3" s="5">
        <v>22272</v>
      </c>
    </row>
    <row r="4" spans="2:5" ht="14.4" thickBot="1" x14ac:dyDescent="0.3">
      <c r="B4" s="3" t="s">
        <v>7</v>
      </c>
      <c r="C4" s="4" t="s">
        <v>8</v>
      </c>
      <c r="D4" s="4" t="s">
        <v>8</v>
      </c>
      <c r="E4" s="5">
        <v>2000000</v>
      </c>
    </row>
    <row r="5" spans="2:5" ht="21" thickBot="1" x14ac:dyDescent="0.3">
      <c r="B5" s="3" t="s">
        <v>9</v>
      </c>
      <c r="C5" s="4"/>
      <c r="D5" s="4" t="s">
        <v>10</v>
      </c>
      <c r="E5" s="5">
        <v>5000819</v>
      </c>
    </row>
    <row r="6" spans="2:5" ht="21" thickBot="1" x14ac:dyDescent="0.3">
      <c r="B6" s="3" t="s">
        <v>9</v>
      </c>
      <c r="C6" s="4"/>
      <c r="D6" s="4" t="s">
        <v>11</v>
      </c>
      <c r="E6" s="5">
        <v>1447877</v>
      </c>
    </row>
    <row r="7" spans="2:5" ht="21" thickBot="1" x14ac:dyDescent="0.3">
      <c r="B7" s="3" t="s">
        <v>9</v>
      </c>
      <c r="C7" s="4"/>
      <c r="D7" s="4" t="s">
        <v>12</v>
      </c>
      <c r="E7" s="5">
        <v>985402</v>
      </c>
    </row>
    <row r="8" spans="2:5" ht="14.4" thickBot="1" x14ac:dyDescent="0.3">
      <c r="B8" s="3" t="s">
        <v>9</v>
      </c>
      <c r="C8" s="4" t="s">
        <v>6</v>
      </c>
      <c r="D8" s="4" t="s">
        <v>13</v>
      </c>
      <c r="E8" s="5">
        <v>601337</v>
      </c>
    </row>
    <row r="9" spans="2:5" ht="21" thickBot="1" x14ac:dyDescent="0.3">
      <c r="B9" s="3" t="s">
        <v>9</v>
      </c>
      <c r="C9" s="4"/>
      <c r="D9" s="4" t="s">
        <v>14</v>
      </c>
      <c r="E9" s="5">
        <v>43471</v>
      </c>
    </row>
    <row r="10" spans="2:5" ht="31.2" thickBot="1" x14ac:dyDescent="0.3">
      <c r="B10" s="3" t="s">
        <v>9</v>
      </c>
      <c r="C10" s="4" t="s">
        <v>6</v>
      </c>
      <c r="D10" s="4" t="s">
        <v>15</v>
      </c>
      <c r="E10" s="4">
        <v>234</v>
      </c>
    </row>
    <row r="11" spans="2:5" ht="21" thickBot="1" x14ac:dyDescent="0.3">
      <c r="B11" s="3" t="s">
        <v>9</v>
      </c>
      <c r="C11" s="4"/>
      <c r="D11" s="4" t="s">
        <v>16</v>
      </c>
      <c r="E11" s="4">
        <v>0</v>
      </c>
    </row>
    <row r="12" spans="2:5" ht="21" thickBot="1" x14ac:dyDescent="0.3">
      <c r="B12" s="3" t="s">
        <v>9</v>
      </c>
      <c r="C12" s="4"/>
      <c r="D12" s="4" t="s">
        <v>17</v>
      </c>
      <c r="E12" s="4">
        <v>0</v>
      </c>
    </row>
    <row r="13" spans="2:5" ht="14.4" thickBot="1" x14ac:dyDescent="0.3">
      <c r="B13" s="3" t="s">
        <v>18</v>
      </c>
      <c r="C13" s="4" t="s">
        <v>6</v>
      </c>
      <c r="D13" s="4" t="s">
        <v>19</v>
      </c>
      <c r="E13" s="5">
        <v>3706956</v>
      </c>
    </row>
    <row r="14" spans="2:5" ht="41.4" thickBot="1" x14ac:dyDescent="0.3">
      <c r="B14" s="3" t="s">
        <v>20</v>
      </c>
      <c r="C14" s="4" t="s">
        <v>21</v>
      </c>
      <c r="D14" s="4" t="s">
        <v>22</v>
      </c>
      <c r="E14" s="5">
        <v>677813</v>
      </c>
    </row>
    <row r="15" spans="2:5" ht="21" thickBot="1" x14ac:dyDescent="0.3">
      <c r="B15" s="3" t="s">
        <v>23</v>
      </c>
      <c r="C15" s="4" t="s">
        <v>24</v>
      </c>
      <c r="D15" s="4" t="s">
        <v>25</v>
      </c>
      <c r="E15" s="5">
        <v>6206351</v>
      </c>
    </row>
    <row r="16" spans="2:5" ht="31.2" thickBot="1" x14ac:dyDescent="0.3">
      <c r="B16" s="3" t="s">
        <v>23</v>
      </c>
      <c r="C16" s="4" t="s">
        <v>26</v>
      </c>
      <c r="D16" s="4" t="s">
        <v>27</v>
      </c>
      <c r="E16" s="5">
        <v>174619</v>
      </c>
    </row>
    <row r="17" spans="2:5" ht="21" thickBot="1" x14ac:dyDescent="0.3">
      <c r="B17" s="3" t="s">
        <v>28</v>
      </c>
      <c r="C17" s="4" t="s">
        <v>29</v>
      </c>
      <c r="D17" s="4" t="s">
        <v>30</v>
      </c>
      <c r="E17" s="5">
        <v>3781783</v>
      </c>
    </row>
    <row r="18" spans="2:5" ht="31.2" thickBot="1" x14ac:dyDescent="0.3">
      <c r="B18" s="3" t="s">
        <v>28</v>
      </c>
      <c r="C18" s="4" t="s">
        <v>31</v>
      </c>
      <c r="D18" s="4" t="s">
        <v>32</v>
      </c>
      <c r="E18" s="5">
        <v>3759297</v>
      </c>
    </row>
    <row r="19" spans="2:5" ht="31.2" thickBot="1" x14ac:dyDescent="0.3">
      <c r="B19" s="3" t="s">
        <v>28</v>
      </c>
      <c r="C19" s="4" t="s">
        <v>33</v>
      </c>
      <c r="D19" s="4" t="s">
        <v>34</v>
      </c>
      <c r="E19" s="5">
        <v>1877496</v>
      </c>
    </row>
    <row r="20" spans="2:5" ht="21" thickBot="1" x14ac:dyDescent="0.3">
      <c r="B20" s="3" t="s">
        <v>28</v>
      </c>
      <c r="C20" s="4" t="s">
        <v>35</v>
      </c>
      <c r="D20" s="4" t="s">
        <v>35</v>
      </c>
      <c r="E20" s="5">
        <v>983387</v>
      </c>
    </row>
    <row r="21" spans="2:5" ht="21" thickBot="1" x14ac:dyDescent="0.3">
      <c r="B21" s="3" t="s">
        <v>28</v>
      </c>
      <c r="C21" s="4" t="s">
        <v>36</v>
      </c>
      <c r="D21" s="4" t="s">
        <v>36</v>
      </c>
      <c r="E21" s="5">
        <v>90045</v>
      </c>
    </row>
    <row r="22" spans="2:5" ht="21" thickBot="1" x14ac:dyDescent="0.3">
      <c r="B22" s="3" t="s">
        <v>37</v>
      </c>
      <c r="C22" s="4" t="s">
        <v>38</v>
      </c>
      <c r="D22" s="4" t="s">
        <v>38</v>
      </c>
      <c r="E22" s="5">
        <v>1956357</v>
      </c>
    </row>
    <row r="23" spans="2:5" ht="21" thickBot="1" x14ac:dyDescent="0.3">
      <c r="B23" s="3" t="s">
        <v>39</v>
      </c>
      <c r="C23" s="4" t="s">
        <v>6</v>
      </c>
      <c r="D23" s="4" t="s">
        <v>40</v>
      </c>
      <c r="E23" s="5">
        <v>20436</v>
      </c>
    </row>
    <row r="24" spans="2:5" ht="21" thickBot="1" x14ac:dyDescent="0.3">
      <c r="B24" s="3" t="s">
        <v>41</v>
      </c>
      <c r="C24" s="4" t="s">
        <v>42</v>
      </c>
      <c r="D24" s="4" t="s">
        <v>43</v>
      </c>
      <c r="E24" s="5">
        <v>15821553</v>
      </c>
    </row>
    <row r="25" spans="2:5" ht="21" thickBot="1" x14ac:dyDescent="0.3">
      <c r="B25" s="3" t="s">
        <v>41</v>
      </c>
      <c r="C25" s="4" t="s">
        <v>44</v>
      </c>
      <c r="D25" s="4" t="s">
        <v>45</v>
      </c>
      <c r="E25" s="5">
        <v>11421779</v>
      </c>
    </row>
    <row r="26" spans="2:5" ht="21" thickBot="1" x14ac:dyDescent="0.3">
      <c r="B26" s="3" t="s">
        <v>41</v>
      </c>
      <c r="C26" s="4" t="s">
        <v>46</v>
      </c>
      <c r="D26" s="4" t="s">
        <v>47</v>
      </c>
      <c r="E26" s="5">
        <v>6357127</v>
      </c>
    </row>
    <row r="28" spans="2:5" ht="14.4" thickBot="1" x14ac:dyDescent="0.3">
      <c r="B28" s="11" t="s">
        <v>69</v>
      </c>
      <c r="C28" s="11"/>
      <c r="D28" s="11"/>
      <c r="E28" s="11"/>
    </row>
    <row r="29" spans="2:5" ht="21" thickBot="1" x14ac:dyDescent="0.3">
      <c r="B29" s="1" t="s">
        <v>0</v>
      </c>
      <c r="C29" s="2" t="s">
        <v>1</v>
      </c>
      <c r="D29" s="2" t="s">
        <v>3</v>
      </c>
      <c r="E29" s="2" t="s">
        <v>4</v>
      </c>
    </row>
    <row r="30" spans="2:5" ht="21" thickBot="1" x14ac:dyDescent="0.3">
      <c r="B30" s="7" t="s">
        <v>48</v>
      </c>
      <c r="C30" s="8" t="s">
        <v>49</v>
      </c>
      <c r="D30" s="8" t="s">
        <v>50</v>
      </c>
      <c r="E30" s="9">
        <v>26571</v>
      </c>
    </row>
    <row r="32" spans="2:5" ht="14.4" thickBot="1" x14ac:dyDescent="0.3">
      <c r="B32" s="11" t="s">
        <v>72</v>
      </c>
      <c r="C32" s="11"/>
    </row>
    <row r="33" spans="2:9" ht="14.4" thickBot="1" x14ac:dyDescent="0.3">
      <c r="B33" s="1" t="s">
        <v>70</v>
      </c>
      <c r="C33" s="2" t="s">
        <v>71</v>
      </c>
    </row>
    <row r="34" spans="2:9" ht="21" thickBot="1" x14ac:dyDescent="0.3">
      <c r="B34" s="7" t="s">
        <v>51</v>
      </c>
      <c r="C34" s="9">
        <v>2983920</v>
      </c>
    </row>
    <row r="35" spans="2:9" ht="41.4" thickBot="1" x14ac:dyDescent="0.3">
      <c r="B35" s="3" t="s">
        <v>52</v>
      </c>
      <c r="C35" s="5">
        <v>2327159</v>
      </c>
    </row>
    <row r="36" spans="2:9" ht="21" thickBot="1" x14ac:dyDescent="0.3">
      <c r="B36" s="3" t="s">
        <v>53</v>
      </c>
      <c r="C36" s="5">
        <v>1831500</v>
      </c>
    </row>
    <row r="37" spans="2:9" ht="31.2" thickBot="1" x14ac:dyDescent="0.3">
      <c r="B37" s="3" t="s">
        <v>54</v>
      </c>
      <c r="C37" s="5">
        <v>1831500</v>
      </c>
    </row>
    <row r="38" spans="2:9" ht="41.4" thickBot="1" x14ac:dyDescent="0.3">
      <c r="B38" s="3" t="s">
        <v>55</v>
      </c>
      <c r="C38" s="5">
        <v>1831500</v>
      </c>
    </row>
    <row r="39" spans="2:9" ht="41.4" thickBot="1" x14ac:dyDescent="0.3">
      <c r="B39" s="3" t="s">
        <v>56</v>
      </c>
      <c r="C39" s="5">
        <v>1831500</v>
      </c>
    </row>
    <row r="40" spans="2:9" ht="51.6" thickBot="1" x14ac:dyDescent="0.3">
      <c r="B40" s="3" t="s">
        <v>57</v>
      </c>
      <c r="C40" s="5">
        <v>1739925</v>
      </c>
    </row>
    <row r="41" spans="2:9" ht="21" thickBot="1" x14ac:dyDescent="0.3">
      <c r="B41" s="3" t="s">
        <v>58</v>
      </c>
      <c r="C41" s="5">
        <v>1703566</v>
      </c>
    </row>
    <row r="42" spans="2:9" ht="31.2" thickBot="1" x14ac:dyDescent="0.3">
      <c r="B42" s="3" t="s">
        <v>59</v>
      </c>
      <c r="C42" s="5">
        <v>1562605</v>
      </c>
    </row>
    <row r="43" spans="2:9" ht="31.2" thickBot="1" x14ac:dyDescent="0.3">
      <c r="B43" s="3" t="s">
        <v>60</v>
      </c>
      <c r="C43" s="5">
        <v>1088885</v>
      </c>
    </row>
    <row r="44" spans="2:9" ht="51.6" thickBot="1" x14ac:dyDescent="0.3">
      <c r="B44" s="3" t="s">
        <v>61</v>
      </c>
      <c r="C44" s="5">
        <v>941362</v>
      </c>
    </row>
    <row r="47" spans="2:9" ht="21" thickBot="1" x14ac:dyDescent="0.3">
      <c r="B47" s="3" t="s">
        <v>64</v>
      </c>
      <c r="C47" s="5">
        <v>4222170</v>
      </c>
      <c r="D47" s="10">
        <v>43496</v>
      </c>
      <c r="E47" s="5">
        <v>144186</v>
      </c>
      <c r="F47" s="4"/>
      <c r="G47" s="4" t="s">
        <v>65</v>
      </c>
      <c r="H47" s="5">
        <v>144186</v>
      </c>
      <c r="I47" s="6">
        <v>3.4099999999999998E-2</v>
      </c>
    </row>
    <row r="48" spans="2:9" ht="14.4" thickBot="1" x14ac:dyDescent="0.3">
      <c r="B48" s="3" t="s">
        <v>66</v>
      </c>
      <c r="C48" s="5">
        <v>4200000</v>
      </c>
      <c r="D48" s="10">
        <v>43496</v>
      </c>
      <c r="E48" s="5">
        <v>84000</v>
      </c>
      <c r="F48" s="4"/>
      <c r="G48" s="4" t="s">
        <v>65</v>
      </c>
      <c r="H48" s="5">
        <v>84000</v>
      </c>
      <c r="I48" s="6">
        <v>0.02</v>
      </c>
    </row>
    <row r="49" spans="2:9" ht="21" thickBot="1" x14ac:dyDescent="0.3">
      <c r="B49" s="3" t="s">
        <v>67</v>
      </c>
      <c r="C49" s="5">
        <v>1902624</v>
      </c>
      <c r="D49" s="10">
        <v>45000</v>
      </c>
      <c r="E49" s="4"/>
      <c r="F49" s="4"/>
      <c r="G49" s="4" t="s">
        <v>65</v>
      </c>
      <c r="H49" s="4"/>
      <c r="I49" s="4"/>
    </row>
    <row r="50" spans="2:9" ht="21" thickBot="1" x14ac:dyDescent="0.3">
      <c r="B50" s="3" t="s">
        <v>62</v>
      </c>
      <c r="C50" s="5">
        <v>10320860</v>
      </c>
      <c r="D50" s="10">
        <v>43496</v>
      </c>
      <c r="E50" s="4"/>
      <c r="F50" s="4"/>
      <c r="G50" s="4" t="s">
        <v>63</v>
      </c>
      <c r="H50" s="4"/>
      <c r="I50" s="4"/>
    </row>
  </sheetData>
  <mergeCells count="3">
    <mergeCell ref="B1:E1"/>
    <mergeCell ref="B28:E28"/>
    <mergeCell ref="B32:C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נתונים גולמיים לאלוקציה</vt:lpstr>
      <vt:lpstr>גיליון1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2024-07-14T07:09:44Z</dcterms:created>
  <dcterms:modified xsi:type="dcterms:W3CDTF">2024-07-14T08:00:09Z</dcterms:modified>
</cp:coreProperties>
</file>