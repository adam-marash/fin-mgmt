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iquidity\Funds\Liquidity Capital II\Investors\First Closing\Tamar Marash\"/>
    </mc:Choice>
  </mc:AlternateContent>
  <xr:revisionPtr revIDLastSave="0" documentId="8_{7CFFD3DF-8215-46F9-B91E-87EB189B5555}" xr6:coauthVersionLast="47" xr6:coauthVersionMax="47" xr10:uidLastSave="{00000000-0000-0000-0000-000000000000}"/>
  <bookViews>
    <workbookView xWindow="-110" yWindow="-110" windowWidth="19420" windowHeight="10420" xr2:uid="{095C6459-FA18-4B56-B378-3872DDE9BED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B6" i="1"/>
  <c r="C6" i="1"/>
  <c r="I6" i="1"/>
  <c r="G6" i="1"/>
  <c r="H6" i="1" s="1"/>
  <c r="F6" i="1"/>
  <c r="E6" i="1"/>
</calcChain>
</file>

<file path=xl/sharedStrings.xml><?xml version="1.0" encoding="utf-8"?>
<sst xmlns="http://schemas.openxmlformats.org/spreadsheetml/2006/main" count="11" uniqueCount="11">
  <si>
    <t>Investors' ID</t>
  </si>
  <si>
    <t>LP</t>
  </si>
  <si>
    <t>Commitment  Amount</t>
  </si>
  <si>
    <t>Total Distribution</t>
  </si>
  <si>
    <t>Interest distributed March 2022</t>
  </si>
  <si>
    <t>Principal distributed March 2022</t>
  </si>
  <si>
    <t>Taxed  Interest (*)</t>
  </si>
  <si>
    <t xml:space="preserve">Actual Tax Payment </t>
  </si>
  <si>
    <t>Net Distribution</t>
  </si>
  <si>
    <t>*The actual tax deduction is lower due to currency fluctuations</t>
  </si>
  <si>
    <t>8160-01-139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</si>
</sst>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₪&quot;* #,##0.00_-;\-&quot;₪&quot;* #,##0.00_-;_-&quot;₪&quot;* &quot;-&quot;??_-;_-@_-"/>
    <numFmt numFmtId="164" formatCode="&quot;$&quot;#,##0"/>
    <numFmt numFmtId="165" formatCode="_-[$$-409]* #,##0_ ;_-[$$-409]* \-#,##0\ ;_-[$$-409]* &quot;-&quot;??_ ;_-@_ "/>
    <numFmt numFmtId="166" formatCode="0.000%"/>
    <numFmt numFmtId="167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/>
    <xf numFmtId="165" fontId="0" fillId="0" borderId="1" xfId="0" applyNumberFormat="1" applyBorder="1"/>
    <xf numFmtId="0" fontId="0" fillId="2" borderId="0" xfId="0" applyFill="1"/>
    <xf numFmtId="0" fontId="6" fillId="2" borderId="0" xfId="0" applyFont="1" applyFill="1"/>
    <xf numFmtId="10" fontId="7" fillId="2" borderId="0" xfId="0" applyNumberFormat="1" applyFont="1" applyFill="1"/>
    <xf numFmtId="0" fontId="2" fillId="2" borderId="0" xfId="0" applyFont="1" applyFill="1"/>
    <xf numFmtId="10" fontId="8" fillId="2" borderId="0" xfId="0" applyNumberFormat="1" applyFont="1" applyFill="1"/>
    <xf numFmtId="0" fontId="9" fillId="2" borderId="0" xfId="0" applyFont="1" applyFill="1" applyAlignment="1">
      <alignment horizontal="left" wrapText="1"/>
    </xf>
    <xf numFmtId="3" fontId="9" fillId="2" borderId="0" xfId="0" applyNumberFormat="1" applyFont="1" applyFill="1" applyAlignment="1">
      <alignment horizontal="center" wrapText="1"/>
    </xf>
    <xf numFmtId="166" fontId="9" fillId="2" borderId="0" xfId="2" applyNumberFormat="1" applyFont="1" applyFill="1" applyBorder="1" applyAlignment="1">
      <alignment horizontal="center" wrapText="1"/>
    </xf>
    <xf numFmtId="14" fontId="0" fillId="2" borderId="0" xfId="0" applyNumberFormat="1" applyFill="1"/>
    <xf numFmtId="3" fontId="10" fillId="2" borderId="0" xfId="0" applyNumberFormat="1" applyFont="1" applyFill="1" applyAlignment="1">
      <alignment horizontal="center" wrapText="1"/>
    </xf>
    <xf numFmtId="9" fontId="0" fillId="2" borderId="0" xfId="2" applyFont="1" applyFill="1" applyBorder="1"/>
    <xf numFmtId="10" fontId="0" fillId="2" borderId="0" xfId="2" applyNumberFormat="1" applyFont="1" applyFill="1" applyBorder="1"/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9" fontId="3" fillId="2" borderId="0" xfId="2" applyFont="1" applyFill="1" applyBorder="1" applyAlignment="1">
      <alignment horizontal="center" vertical="center" wrapText="1"/>
    </xf>
    <xf numFmtId="0" fontId="5" fillId="3" borderId="0" xfId="0" applyFont="1" applyFill="1"/>
    <xf numFmtId="167" fontId="0" fillId="2" borderId="0" xfId="0" applyNumberFormat="1" applyFill="1"/>
    <xf numFmtId="167" fontId="3" fillId="2" borderId="0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250032</xdr:colOff>
      <xdr:row>0</xdr:row>
      <xdr:rowOff>71436</xdr:rowOff>
    </xdr:from>
    <xdr:to>
      <xdr:col>5</xdr:col>
      <xdr:colOff>189864</xdr:colOff>
      <xdr:row>3</xdr:row>
      <xdr:rowOff>124350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D56F2-0548-4698-B1D8-2C2E9C025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6682" y="68261"/>
          <a:ext cx="3273582" cy="5958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Liquidity%20Inc/Funds/Liquidity%20Capital%20II/Investors/Distribution/4th%20Distribution%20-%20March%202022/Liquidity-%20March%202022%20-%20Dis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ors List"/>
      <sheetName val="Amount to distribute"/>
      <sheetName val="Distribution"/>
      <sheetName val="Profit Allocation"/>
      <sheetName val="Investors ID"/>
      <sheetName val="Personal ID"/>
    </sheetNames>
    <sheetDataSet>
      <sheetData sheetId="0"/>
      <sheetData sheetId="1"/>
      <sheetData sheetId="2">
        <row r="1">
          <cell r="K1" t="str">
            <v>March Distribution</v>
          </cell>
          <cell r="N1" t="str">
            <v>2020 Tax</v>
          </cell>
        </row>
        <row r="2">
          <cell r="A2" t="str">
            <v>Investors' ID</v>
          </cell>
          <cell r="B2" t="str">
            <v>LP</v>
          </cell>
          <cell r="C2" t="str">
            <v>Investors' Personal  ID/RN (Text)</v>
          </cell>
          <cell r="D2" t="str">
            <v>Investors' Personal  ID/RN</v>
          </cell>
          <cell r="E2" t="str">
            <v>Company Name (optional)</v>
          </cell>
          <cell r="F2" t="str">
            <v>Hebrew Name</v>
          </cell>
          <cell r="G2" t="str">
            <v>Closing</v>
          </cell>
          <cell r="H2" t="str">
            <v>IRA</v>
          </cell>
          <cell r="I2" t="str">
            <v>Commitment  Amount</v>
          </cell>
          <cell r="J2" t="str">
            <v>Ratio From all Investors</v>
          </cell>
          <cell r="K2" t="str">
            <v xml:space="preserve">Distribution Amount Interest </v>
          </cell>
          <cell r="L2" t="str">
            <v xml:space="preserve"> Principal Distribution</v>
          </cell>
          <cell r="M2" t="str">
            <v>Total Distribution</v>
          </cell>
          <cell r="N2" t="str">
            <v>Tax (25%)</v>
          </cell>
          <cell r="O2" t="str">
            <v xml:space="preserve">WHT Allocation </v>
          </cell>
          <cell r="P2" t="str">
            <v>WHT</v>
          </cell>
          <cell r="Q2" t="str">
            <v>Tax Payment</v>
          </cell>
          <cell r="R2" t="str">
            <v>Tax Payment, net</v>
          </cell>
          <cell r="S2" t="str">
            <v>WHT Exemption</v>
          </cell>
          <cell r="T2" t="str">
            <v>Tax Refund (IRA and exempted Investors will receive from the tax authorities)</v>
          </cell>
          <cell r="U2" t="str">
            <v>Net Distribution</v>
          </cell>
          <cell r="V2" t="str">
            <v>Payment 1 - April 2019</v>
          </cell>
          <cell r="W2" t="str">
            <v>Payment 2 -
 August 2019</v>
          </cell>
          <cell r="X2" t="str">
            <v>Payment 3 -
 January 2020</v>
          </cell>
          <cell r="Y2" t="str">
            <v>Payment 4 -"CatchUp"
March 1st 2020</v>
          </cell>
          <cell r="Z2" t="str">
            <v>Payment 5 -"4th Call"
March 12th 2020</v>
          </cell>
          <cell r="AA2" t="str">
            <v xml:space="preserve">% From Capital Call represents Yearly % </v>
          </cell>
          <cell r="AB2" t="str">
            <v>A- Distribution</v>
          </cell>
          <cell r="AC2" t="str">
            <v xml:space="preserve">B- Distribution Tax Withholding </v>
          </cell>
          <cell r="AD2" t="str">
            <v>C- Net Payment</v>
          </cell>
          <cell r="AE2" t="str">
            <v>D-  2020 Tax Withholding for the LP benefit</v>
          </cell>
          <cell r="AQ2" t="str">
            <v xml:space="preserve"> Interest </v>
          </cell>
          <cell r="AR2" t="str">
            <v xml:space="preserve"> Principal </v>
          </cell>
          <cell r="AS2" t="str">
            <v xml:space="preserve">INTEREST % </v>
          </cell>
        </row>
        <row r="3">
          <cell r="A3" t="str">
            <v>8160-01-100</v>
          </cell>
          <cell r="B3" t="str">
            <v>Orna Hazan</v>
          </cell>
          <cell r="C3" t="str">
            <v>052595188</v>
          </cell>
          <cell r="D3" t="e">
            <v>#REF!</v>
          </cell>
          <cell r="F3" t="str">
            <v>אורנה אריאן תירוש חזן</v>
          </cell>
          <cell r="G3" t="str">
            <v>I</v>
          </cell>
          <cell r="I3">
            <v>350000</v>
          </cell>
          <cell r="J3">
            <v>4.7864987694185178E-3</v>
          </cell>
          <cell r="K3">
            <v>6547.3193904876189</v>
          </cell>
          <cell r="L3">
            <v>65250.162150790144</v>
          </cell>
          <cell r="M3">
            <v>71797.481541277768</v>
          </cell>
          <cell r="N3">
            <v>1636.8298476219047</v>
          </cell>
          <cell r="O3">
            <v>0</v>
          </cell>
          <cell r="P3">
            <v>0</v>
          </cell>
          <cell r="Q3">
            <v>1636.8298476219047</v>
          </cell>
          <cell r="R3">
            <v>1636.8298476219047</v>
          </cell>
          <cell r="S3" t="str">
            <v>X</v>
          </cell>
          <cell r="U3">
            <v>70161</v>
          </cell>
          <cell r="V3" t="str">
            <v>#REF!</v>
          </cell>
          <cell r="W3" t="str">
            <v>#REF!</v>
          </cell>
          <cell r="X3" t="str">
            <v>#REF!</v>
          </cell>
          <cell r="Y3" t="str">
            <v>#REF!</v>
          </cell>
          <cell r="Z3" t="str">
            <v>#REF!</v>
          </cell>
          <cell r="AA3" t="e">
            <v>#REF!</v>
          </cell>
          <cell r="AB3">
            <v>71797.481541277768</v>
          </cell>
          <cell r="AC3">
            <v>1636.8298476219047</v>
          </cell>
          <cell r="AD3">
            <v>70161</v>
          </cell>
          <cell r="AL3">
            <v>147.3381</v>
          </cell>
          <cell r="AM3">
            <v>147.3381</v>
          </cell>
          <cell r="AN3">
            <v>35</v>
          </cell>
          <cell r="AP3">
            <v>9.1191490981803278E-2</v>
          </cell>
          <cell r="AQ3">
            <v>27436.210946306943</v>
          </cell>
          <cell r="AR3">
            <v>44361.270594970825</v>
          </cell>
          <cell r="AS3">
            <v>0.38213333333333332</v>
          </cell>
        </row>
        <row r="4">
          <cell r="A4" t="str">
            <v>8160-01-101</v>
          </cell>
          <cell r="B4" t="str">
            <v>Arik Aberjel</v>
          </cell>
          <cell r="C4" t="str">
            <v>032358285</v>
          </cell>
          <cell r="D4" t="e">
            <v>#REF!</v>
          </cell>
          <cell r="F4" t="str">
            <v>אריה אברגל</v>
          </cell>
          <cell r="G4" t="str">
            <v>I</v>
          </cell>
          <cell r="I4">
            <v>250000</v>
          </cell>
          <cell r="J4">
            <v>3.4189276924417983E-3</v>
          </cell>
          <cell r="K4">
            <v>4676.6567074911563</v>
          </cell>
          <cell r="L4">
            <v>46607.258679135819</v>
          </cell>
          <cell r="M4">
            <v>51283.915386626977</v>
          </cell>
          <cell r="N4">
            <v>1169.1641768727891</v>
          </cell>
          <cell r="O4">
            <v>0</v>
          </cell>
          <cell r="P4">
            <v>0</v>
          </cell>
          <cell r="Q4">
            <v>1169.1641768727891</v>
          </cell>
          <cell r="R4">
            <v>1169.1641768727891</v>
          </cell>
          <cell r="S4" t="str">
            <v>X</v>
          </cell>
          <cell r="U4">
            <v>50115</v>
          </cell>
          <cell r="V4" t="str">
            <v>#REF!</v>
          </cell>
          <cell r="W4" t="str">
            <v>#REF!</v>
          </cell>
          <cell r="X4" t="str">
            <v>#REF!</v>
          </cell>
          <cell r="Y4" t="str">
            <v>#REF!</v>
          </cell>
          <cell r="Z4" t="str">
            <v>#REF!</v>
          </cell>
          <cell r="AA4" t="e">
            <v>#REF!</v>
          </cell>
          <cell r="AB4">
            <v>51283.915386626977</v>
          </cell>
          <cell r="AC4">
            <v>1169.1641768727891</v>
          </cell>
          <cell r="AD4">
            <v>50115</v>
          </cell>
          <cell r="AL4">
            <v>105.24149999999999</v>
          </cell>
          <cell r="AM4">
            <v>105.24149999999999</v>
          </cell>
          <cell r="AN4">
            <v>35</v>
          </cell>
          <cell r="AQ4">
            <v>19597.293533076387</v>
          </cell>
          <cell r="AR4">
            <v>31686.62185355059</v>
          </cell>
          <cell r="AS4">
            <v>0.38213333333333327</v>
          </cell>
        </row>
        <row r="5">
          <cell r="A5" t="str">
            <v>8160-01-103</v>
          </cell>
          <cell r="B5" t="str">
            <v>Boaz Goldman</v>
          </cell>
          <cell r="C5" t="str">
            <v>023860315</v>
          </cell>
          <cell r="D5" t="e">
            <v>#REF!</v>
          </cell>
          <cell r="F5" t="str">
            <v>בועז גולדמן</v>
          </cell>
          <cell r="G5" t="str">
            <v>I</v>
          </cell>
          <cell r="I5">
            <v>250000</v>
          </cell>
          <cell r="J5">
            <v>3.4189276924417983E-3</v>
          </cell>
          <cell r="K5">
            <v>4676.6567074911563</v>
          </cell>
          <cell r="L5">
            <v>46607.258679135819</v>
          </cell>
          <cell r="M5">
            <v>51283.915386626977</v>
          </cell>
          <cell r="N5">
            <v>1169.1641768727891</v>
          </cell>
          <cell r="O5">
            <v>0</v>
          </cell>
          <cell r="P5">
            <v>0</v>
          </cell>
          <cell r="Q5">
            <v>1169.1641768727891</v>
          </cell>
          <cell r="R5">
            <v>1169.1641768727891</v>
          </cell>
          <cell r="S5" t="str">
            <v>X</v>
          </cell>
          <cell r="U5">
            <v>50115</v>
          </cell>
          <cell r="V5" t="str">
            <v>#REF!</v>
          </cell>
          <cell r="W5" t="str">
            <v>#REF!</v>
          </cell>
          <cell r="X5" t="str">
            <v>#REF!</v>
          </cell>
          <cell r="Y5" t="str">
            <v>#REF!</v>
          </cell>
          <cell r="Z5" t="str">
            <v>#REF!</v>
          </cell>
          <cell r="AA5" t="e">
            <v>#REF!</v>
          </cell>
          <cell r="AB5">
            <v>51283.915386626977</v>
          </cell>
          <cell r="AC5">
            <v>1169.1641768727891</v>
          </cell>
          <cell r="AD5">
            <v>50115</v>
          </cell>
          <cell r="AJ5" t="str">
            <v>Index חריגים</v>
          </cell>
          <cell r="AL5">
            <v>105.24149999999999</v>
          </cell>
          <cell r="AM5">
            <v>105.24149999999999</v>
          </cell>
          <cell r="AN5">
            <v>35</v>
          </cell>
          <cell r="AQ5">
            <v>19597.293533076387</v>
          </cell>
          <cell r="AR5">
            <v>31686.62185355059</v>
          </cell>
          <cell r="AS5">
            <v>0.38213333333333327</v>
          </cell>
        </row>
        <row r="6">
          <cell r="A6" t="str">
            <v>8160-01-104</v>
          </cell>
          <cell r="B6" t="str">
            <v>BPF Investments LLC</v>
          </cell>
          <cell r="C6" t="str">
            <v>46-4986191</v>
          </cell>
          <cell r="D6" t="e">
            <v>#REF!</v>
          </cell>
          <cell r="E6" t="str">
            <v>BPF Investments LLC</v>
          </cell>
          <cell r="G6" t="str">
            <v>I</v>
          </cell>
          <cell r="I6">
            <v>1000000</v>
          </cell>
          <cell r="J6">
            <v>1.3675710769767193E-2</v>
          </cell>
          <cell r="K6">
            <v>18706.626829964625</v>
          </cell>
          <cell r="L6">
            <v>186429.03471654328</v>
          </cell>
          <cell r="M6">
            <v>205135.66154650791</v>
          </cell>
          <cell r="N6">
            <v>4676.6567074911563</v>
          </cell>
          <cell r="O6">
            <v>0</v>
          </cell>
          <cell r="P6">
            <v>0</v>
          </cell>
          <cell r="Q6">
            <v>4676.6567074911563</v>
          </cell>
          <cell r="R6">
            <v>4676.6567074911563</v>
          </cell>
          <cell r="S6" t="str">
            <v>X</v>
          </cell>
          <cell r="U6">
            <v>200459</v>
          </cell>
          <cell r="V6" t="str">
            <v>#REF!</v>
          </cell>
          <cell r="W6" t="str">
            <v>#REF!</v>
          </cell>
          <cell r="X6" t="str">
            <v>#REF!</v>
          </cell>
          <cell r="Y6" t="str">
            <v>#REF!</v>
          </cell>
          <cell r="Z6" t="str">
            <v>#REF!</v>
          </cell>
          <cell r="AA6" t="e">
            <v>#REF!</v>
          </cell>
          <cell r="AB6">
            <v>205135.66154650791</v>
          </cell>
          <cell r="AC6">
            <v>4676.6567074911563</v>
          </cell>
          <cell r="AD6">
            <v>200459</v>
          </cell>
          <cell r="AJ6" t="str">
            <v>טרם העביר קריאה אחרונה ובסכנת דיפולטינג / הקטנה  והעביר קריאות קודמות</v>
          </cell>
          <cell r="AL6">
            <v>420.96389999999997</v>
          </cell>
          <cell r="AM6">
            <v>420.96389999999997</v>
          </cell>
          <cell r="AN6">
            <v>35</v>
          </cell>
          <cell r="AQ6">
            <v>78389.174132305547</v>
          </cell>
          <cell r="AR6">
            <v>126746.48741420236</v>
          </cell>
          <cell r="AS6">
            <v>0.38213333333333327</v>
          </cell>
        </row>
        <row r="7">
          <cell r="A7" t="str">
            <v>8160-01-105</v>
          </cell>
          <cell r="B7" t="str">
            <v>Daniel Itzhaki</v>
          </cell>
          <cell r="C7" t="str">
            <v>054029095</v>
          </cell>
          <cell r="D7" t="e">
            <v>#REF!</v>
          </cell>
          <cell r="F7" t="str">
            <v>דניאל יצחקי</v>
          </cell>
          <cell r="G7" t="str">
            <v>I</v>
          </cell>
          <cell r="I7">
            <v>250000</v>
          </cell>
          <cell r="J7">
            <v>3.4189276924417983E-3</v>
          </cell>
          <cell r="K7">
            <v>4676.6567074911563</v>
          </cell>
          <cell r="L7">
            <v>46607.258679135819</v>
          </cell>
          <cell r="M7">
            <v>51283.915386626977</v>
          </cell>
          <cell r="N7">
            <v>1169.1641768727891</v>
          </cell>
          <cell r="O7">
            <v>0</v>
          </cell>
          <cell r="P7">
            <v>0</v>
          </cell>
          <cell r="Q7">
            <v>1169.1641768727891</v>
          </cell>
          <cell r="R7">
            <v>1169.1641768727891</v>
          </cell>
          <cell r="S7" t="str">
            <v>X</v>
          </cell>
          <cell r="U7">
            <v>50115</v>
          </cell>
          <cell r="V7" t="str">
            <v>#REF!</v>
          </cell>
          <cell r="W7" t="str">
            <v>#REF!</v>
          </cell>
          <cell r="X7" t="str">
            <v>#REF!</v>
          </cell>
          <cell r="Y7" t="str">
            <v>#REF!</v>
          </cell>
          <cell r="Z7" t="str">
            <v>#REF!</v>
          </cell>
          <cell r="AA7" t="e">
            <v>#REF!</v>
          </cell>
          <cell r="AB7">
            <v>51283.915386626977</v>
          </cell>
          <cell r="AC7">
            <v>1169.1641768727891</v>
          </cell>
          <cell r="AD7">
            <v>50115</v>
          </cell>
          <cell r="AJ7" t="str">
            <v xml:space="preserve">טרם העביר כספים  - טכני ולא בסכנת דיפולטינג </v>
          </cell>
          <cell r="AL7">
            <v>105.24149999999999</v>
          </cell>
          <cell r="AM7">
            <v>105.24149999999999</v>
          </cell>
          <cell r="AN7">
            <v>35</v>
          </cell>
          <cell r="AQ7">
            <v>19597.293533076387</v>
          </cell>
          <cell r="AR7">
            <v>31686.62185355059</v>
          </cell>
          <cell r="AS7">
            <v>0.38213333333333327</v>
          </cell>
        </row>
        <row r="8">
          <cell r="A8" t="str">
            <v>8160-01-107</v>
          </cell>
          <cell r="B8" t="str">
            <v>Eran Tamari</v>
          </cell>
          <cell r="C8" t="str">
            <v>059742098</v>
          </cell>
          <cell r="D8" t="e">
            <v>#REF!</v>
          </cell>
          <cell r="F8" t="str">
            <v>ערן תמרי</v>
          </cell>
          <cell r="G8" t="str">
            <v>I</v>
          </cell>
          <cell r="I8">
            <v>250000</v>
          </cell>
          <cell r="J8">
            <v>3.4189276924417983E-3</v>
          </cell>
          <cell r="K8">
            <v>4676.6567074911563</v>
          </cell>
          <cell r="L8">
            <v>46607.258679135819</v>
          </cell>
          <cell r="M8">
            <v>51283.915386626977</v>
          </cell>
          <cell r="N8">
            <v>1169.1641768727891</v>
          </cell>
          <cell r="O8">
            <v>0</v>
          </cell>
          <cell r="P8">
            <v>0</v>
          </cell>
          <cell r="Q8">
            <v>1169.1641768727891</v>
          </cell>
          <cell r="R8">
            <v>1169.1641768727891</v>
          </cell>
          <cell r="S8" t="str">
            <v>X</v>
          </cell>
          <cell r="U8">
            <v>50115</v>
          </cell>
          <cell r="V8" t="str">
            <v>#REF!</v>
          </cell>
          <cell r="W8" t="str">
            <v>#REF!</v>
          </cell>
          <cell r="X8" t="str">
            <v>#REF!</v>
          </cell>
          <cell r="Y8" t="str">
            <v>#REF!</v>
          </cell>
          <cell r="Z8" t="str">
            <v>#REF!</v>
          </cell>
          <cell r="AA8" t="e">
            <v>#REF!</v>
          </cell>
          <cell r="AB8">
            <v>51283.915386626977</v>
          </cell>
          <cell r="AC8">
            <v>1169.1641768727891</v>
          </cell>
          <cell r="AD8">
            <v>50115</v>
          </cell>
          <cell r="AJ8" t="str">
            <v>טרם העביר כספים - סגירה ששית</v>
          </cell>
          <cell r="AL8">
            <v>105.24149999999999</v>
          </cell>
          <cell r="AM8">
            <v>105.24149999999999</v>
          </cell>
          <cell r="AN8">
            <v>35</v>
          </cell>
          <cell r="AQ8">
            <v>19597.293533076387</v>
          </cell>
          <cell r="AR8">
            <v>31686.62185355059</v>
          </cell>
          <cell r="AS8">
            <v>0.38213333333333327</v>
          </cell>
        </row>
        <row r="9">
          <cell r="A9" t="str">
            <v>8160-01-108</v>
          </cell>
          <cell r="B9" t="str">
            <v>Hanan Weiss</v>
          </cell>
          <cell r="C9" t="str">
            <v>041159559</v>
          </cell>
          <cell r="D9" t="e">
            <v>#REF!</v>
          </cell>
          <cell r="F9" t="str">
            <v>חנן ווייס</v>
          </cell>
          <cell r="G9" t="str">
            <v>I</v>
          </cell>
          <cell r="I9">
            <v>250000</v>
          </cell>
          <cell r="J9">
            <v>3.4189276924417983E-3</v>
          </cell>
          <cell r="K9">
            <v>4676.6567074911563</v>
          </cell>
          <cell r="L9">
            <v>46607.258679135819</v>
          </cell>
          <cell r="M9">
            <v>51283.915386626977</v>
          </cell>
          <cell r="N9">
            <v>1169.1641768727891</v>
          </cell>
          <cell r="O9">
            <v>0</v>
          </cell>
          <cell r="P9">
            <v>0</v>
          </cell>
          <cell r="Q9">
            <v>1169.1641768727891</v>
          </cell>
          <cell r="R9">
            <v>1169.1641768727891</v>
          </cell>
          <cell r="S9" t="str">
            <v>X</v>
          </cell>
          <cell r="U9">
            <v>50115</v>
          </cell>
          <cell r="V9" t="str">
            <v>#REF!</v>
          </cell>
          <cell r="W9" t="str">
            <v>#REF!</v>
          </cell>
          <cell r="X9" t="str">
            <v>#REF!</v>
          </cell>
          <cell r="Y9" t="str">
            <v>#REF!</v>
          </cell>
          <cell r="Z9" t="str">
            <v>#REF!</v>
          </cell>
          <cell r="AA9" t="e">
            <v>#REF!</v>
          </cell>
          <cell r="AB9">
            <v>51283.915386626977</v>
          </cell>
          <cell r="AC9">
            <v>1169.1641768727891</v>
          </cell>
          <cell r="AD9">
            <v>50115</v>
          </cell>
          <cell r="AJ9" t="str">
            <v>טרם העביר כספים - סכנת דיפולטינג</v>
          </cell>
          <cell r="AL9">
            <v>105.24149999999999</v>
          </cell>
          <cell r="AM9">
            <v>105.24149999999999</v>
          </cell>
          <cell r="AN9">
            <v>35</v>
          </cell>
          <cell r="AQ9">
            <v>19597.293533076387</v>
          </cell>
          <cell r="AR9">
            <v>31686.62185355059</v>
          </cell>
          <cell r="AS9">
            <v>0.38213333333333327</v>
          </cell>
        </row>
        <row r="10">
          <cell r="A10" t="str">
            <v>8160-01-109</v>
          </cell>
          <cell r="B10" t="str">
            <v>Inwood Investment Group Limited</v>
          </cell>
          <cell r="C10" t="str">
            <v>175 3862</v>
          </cell>
          <cell r="D10" t="e">
            <v>#REF!</v>
          </cell>
          <cell r="E10" t="str">
            <v>Inwood Investment Group Limited</v>
          </cell>
          <cell r="G10" t="str">
            <v>I</v>
          </cell>
          <cell r="I10">
            <v>775000</v>
          </cell>
          <cell r="J10">
            <v>1.0598675846569575E-2</v>
          </cell>
          <cell r="K10">
            <v>14497.635793222584</v>
          </cell>
          <cell r="L10">
            <v>144482.50190532103</v>
          </cell>
          <cell r="M10">
            <v>158980.13769854361</v>
          </cell>
          <cell r="N10">
            <v>3624.4089483056459</v>
          </cell>
          <cell r="O10">
            <v>0</v>
          </cell>
          <cell r="P10">
            <v>0</v>
          </cell>
          <cell r="Q10">
            <v>3624.4089483056459</v>
          </cell>
          <cell r="R10">
            <v>3624.4089483056459</v>
          </cell>
          <cell r="S10" t="str">
            <v>X</v>
          </cell>
          <cell r="U10">
            <v>155356</v>
          </cell>
          <cell r="V10" t="str">
            <v>#REF!</v>
          </cell>
          <cell r="W10" t="str">
            <v>#REF!</v>
          </cell>
          <cell r="X10" t="str">
            <v>#REF!</v>
          </cell>
          <cell r="Y10" t="str">
            <v>#REF!</v>
          </cell>
          <cell r="Z10" t="str">
            <v>#REF!</v>
          </cell>
          <cell r="AA10" t="e">
            <v>#REF!</v>
          </cell>
          <cell r="AB10">
            <v>158980.13769854361</v>
          </cell>
          <cell r="AC10">
            <v>3624.4089483056459</v>
          </cell>
          <cell r="AD10">
            <v>155356</v>
          </cell>
          <cell r="AL10">
            <v>326.24759999999998</v>
          </cell>
          <cell r="AM10">
            <v>326.24759999999998</v>
          </cell>
          <cell r="AN10">
            <v>35</v>
          </cell>
          <cell r="AQ10">
            <v>60751.609952536804</v>
          </cell>
          <cell r="AR10">
            <v>98228.527746006803</v>
          </cell>
          <cell r="AS10">
            <v>0.38213333333333338</v>
          </cell>
        </row>
        <row r="11">
          <cell r="A11" t="str">
            <v>8160-01-110</v>
          </cell>
          <cell r="B11" t="str">
            <v>Ira Holtzer</v>
          </cell>
          <cell r="C11" t="str">
            <v>033515081</v>
          </cell>
          <cell r="D11" t="e">
            <v>#REF!</v>
          </cell>
          <cell r="F11" t="str">
            <v>עירא הולצר</v>
          </cell>
          <cell r="G11" t="str">
            <v>I</v>
          </cell>
          <cell r="I11">
            <v>350000</v>
          </cell>
          <cell r="J11">
            <v>4.7864987694185178E-3</v>
          </cell>
          <cell r="K11">
            <v>6547.3193904876189</v>
          </cell>
          <cell r="L11">
            <v>65250.162150790144</v>
          </cell>
          <cell r="M11">
            <v>71797.481541277768</v>
          </cell>
          <cell r="N11">
            <v>1636.8298476219047</v>
          </cell>
          <cell r="O11">
            <v>0</v>
          </cell>
          <cell r="P11">
            <v>0</v>
          </cell>
          <cell r="Q11">
            <v>1636.8298476219047</v>
          </cell>
          <cell r="R11">
            <v>1636.8298476219047</v>
          </cell>
          <cell r="S11" t="str">
            <v>X</v>
          </cell>
          <cell r="U11">
            <v>70161</v>
          </cell>
          <cell r="V11" t="str">
            <v>#REF!</v>
          </cell>
          <cell r="W11" t="str">
            <v>#REF!</v>
          </cell>
          <cell r="X11" t="str">
            <v>#REF!</v>
          </cell>
          <cell r="Y11" t="str">
            <v>#REF!</v>
          </cell>
          <cell r="Z11" t="str">
            <v>#REF!</v>
          </cell>
          <cell r="AA11" t="e">
            <v>#REF!</v>
          </cell>
          <cell r="AB11">
            <v>71797.481541277768</v>
          </cell>
          <cell r="AC11">
            <v>1636.8298476219047</v>
          </cell>
          <cell r="AD11">
            <v>70161</v>
          </cell>
          <cell r="AL11">
            <v>147.3381</v>
          </cell>
          <cell r="AM11">
            <v>147.3381</v>
          </cell>
          <cell r="AN11">
            <v>35</v>
          </cell>
          <cell r="AQ11">
            <v>27436.210946306943</v>
          </cell>
          <cell r="AR11">
            <v>44361.270594970825</v>
          </cell>
          <cell r="AS11">
            <v>0.38213333333333332</v>
          </cell>
        </row>
        <row r="12">
          <cell r="A12" t="str">
            <v>8160-01-111</v>
          </cell>
          <cell r="B12" t="str">
            <v>Yuval &amp; Yael Lavon</v>
          </cell>
          <cell r="C12" t="str">
            <v>069962553</v>
          </cell>
          <cell r="D12" t="e">
            <v>#REF!</v>
          </cell>
          <cell r="F12" t="str">
            <v>יעל לבון</v>
          </cell>
          <cell r="G12" t="str">
            <v>I</v>
          </cell>
          <cell r="H12" t="str">
            <v>Kal-Gemel</v>
          </cell>
          <cell r="I12">
            <v>400000</v>
          </cell>
          <cell r="J12">
            <v>5.4702843079068777E-3</v>
          </cell>
          <cell r="K12">
            <v>7482.6507319858501</v>
          </cell>
          <cell r="L12">
            <v>74571.613886617313</v>
          </cell>
          <cell r="M12">
            <v>82054.264618603163</v>
          </cell>
          <cell r="O12">
            <v>0</v>
          </cell>
          <cell r="R12">
            <v>0</v>
          </cell>
          <cell r="S12" t="str">
            <v>IRA</v>
          </cell>
          <cell r="T12">
            <v>0</v>
          </cell>
          <cell r="U12">
            <v>82054</v>
          </cell>
          <cell r="V12" t="str">
            <v>#REF!</v>
          </cell>
          <cell r="W12" t="str">
            <v>#REF!</v>
          </cell>
          <cell r="X12" t="str">
            <v>#REF!</v>
          </cell>
          <cell r="Y12" t="str">
            <v>#REF!</v>
          </cell>
          <cell r="Z12" t="str">
            <v>#REF!</v>
          </cell>
          <cell r="AA12" t="e">
            <v>#REF!</v>
          </cell>
          <cell r="AB12">
            <v>82054.264618603163</v>
          </cell>
          <cell r="AC12">
            <v>0</v>
          </cell>
          <cell r="AD12">
            <v>82054</v>
          </cell>
          <cell r="AL12">
            <v>172.3134</v>
          </cell>
          <cell r="AM12">
            <v>172.3134</v>
          </cell>
          <cell r="AN12">
            <v>35</v>
          </cell>
          <cell r="AQ12">
            <v>31355.669652922224</v>
          </cell>
          <cell r="AR12">
            <v>50698.594965680939</v>
          </cell>
          <cell r="AS12">
            <v>0.38213333333333338</v>
          </cell>
        </row>
        <row r="13">
          <cell r="A13" t="str">
            <v>8160-01-112</v>
          </cell>
          <cell r="B13" t="str">
            <v>Yehezkel Flomin</v>
          </cell>
          <cell r="C13" t="str">
            <v>004066379</v>
          </cell>
          <cell r="D13" t="e">
            <v>#REF!</v>
          </cell>
          <cell r="F13" t="str">
            <v>יחזקאל פלומין</v>
          </cell>
          <cell r="G13" t="str">
            <v>I</v>
          </cell>
          <cell r="H13" t="str">
            <v>Kal-Gemel</v>
          </cell>
          <cell r="I13">
            <v>400000</v>
          </cell>
          <cell r="J13">
            <v>5.4702843079068777E-3</v>
          </cell>
          <cell r="K13">
            <v>7482.6507319858501</v>
          </cell>
          <cell r="L13">
            <v>74571.613886617313</v>
          </cell>
          <cell r="M13">
            <v>82054.264618603163</v>
          </cell>
          <cell r="O13">
            <v>0</v>
          </cell>
          <cell r="R13">
            <v>0</v>
          </cell>
          <cell r="S13" t="str">
            <v>IRA</v>
          </cell>
          <cell r="T13">
            <v>0</v>
          </cell>
          <cell r="U13">
            <v>82054</v>
          </cell>
          <cell r="V13" t="str">
            <v>#REF!</v>
          </cell>
          <cell r="W13" t="str">
            <v>#REF!</v>
          </cell>
          <cell r="X13" t="str">
            <v>#REF!</v>
          </cell>
          <cell r="Y13" t="str">
            <v>#REF!</v>
          </cell>
          <cell r="Z13" t="str">
            <v>#REF!</v>
          </cell>
          <cell r="AA13" t="e">
            <v>#REF!</v>
          </cell>
          <cell r="AB13">
            <v>82054.264618603163</v>
          </cell>
          <cell r="AC13">
            <v>0</v>
          </cell>
          <cell r="AD13">
            <v>82054</v>
          </cell>
          <cell r="AL13">
            <v>172.3134</v>
          </cell>
          <cell r="AM13">
            <v>172.3134</v>
          </cell>
          <cell r="AN13">
            <v>35</v>
          </cell>
          <cell r="AQ13">
            <v>31355.669652922224</v>
          </cell>
          <cell r="AR13">
            <v>50698.594965680939</v>
          </cell>
          <cell r="AS13">
            <v>0.38213333333333338</v>
          </cell>
        </row>
        <row r="14">
          <cell r="A14" t="str">
            <v>8160-01-113</v>
          </cell>
          <cell r="B14" t="str">
            <v>Kotlicki Investments Ltd</v>
          </cell>
          <cell r="C14">
            <v>514838358</v>
          </cell>
          <cell r="D14" t="e">
            <v>#REF!</v>
          </cell>
          <cell r="E14" t="str">
            <v>Kotlicki Investments Ltd</v>
          </cell>
          <cell r="F14" t="str">
            <v>קוטליצקי השקעות בע"צ</v>
          </cell>
          <cell r="G14" t="str">
            <v>I</v>
          </cell>
          <cell r="I14">
            <v>500000</v>
          </cell>
          <cell r="J14">
            <v>6.8378553848835967E-3</v>
          </cell>
          <cell r="K14">
            <v>9353.3134149823127</v>
          </cell>
          <cell r="L14">
            <v>93214.517358271638</v>
          </cell>
          <cell r="M14">
            <v>102567.83077325395</v>
          </cell>
          <cell r="O14">
            <v>0</v>
          </cell>
          <cell r="R14">
            <v>0</v>
          </cell>
          <cell r="S14" t="str">
            <v>V</v>
          </cell>
          <cell r="T14">
            <v>0</v>
          </cell>
          <cell r="U14">
            <v>102568</v>
          </cell>
          <cell r="V14" t="str">
            <v>#REF!</v>
          </cell>
          <cell r="W14" t="str">
            <v>#REF!</v>
          </cell>
          <cell r="X14" t="str">
            <v>#REF!</v>
          </cell>
          <cell r="Y14" t="str">
            <v>#REF!</v>
          </cell>
          <cell r="Z14" t="str">
            <v>#REF!</v>
          </cell>
          <cell r="AA14" t="e">
            <v>#REF!</v>
          </cell>
          <cell r="AB14">
            <v>102567.83077325395</v>
          </cell>
          <cell r="AC14">
            <v>0</v>
          </cell>
          <cell r="AD14">
            <v>102568</v>
          </cell>
          <cell r="AL14">
            <v>215.39279999999999</v>
          </cell>
          <cell r="AM14">
            <v>215.39279999999999</v>
          </cell>
          <cell r="AN14">
            <v>35</v>
          </cell>
          <cell r="AQ14">
            <v>39194.587066152773</v>
          </cell>
          <cell r="AR14">
            <v>63373.243707101181</v>
          </cell>
          <cell r="AS14">
            <v>0.38213333333333327</v>
          </cell>
        </row>
        <row r="15">
          <cell r="A15" t="str">
            <v>8160-01-114</v>
          </cell>
          <cell r="B15" t="str">
            <v>Levyor Trading LTD</v>
          </cell>
          <cell r="C15">
            <v>514706720</v>
          </cell>
          <cell r="D15" t="e">
            <v>#REF!</v>
          </cell>
          <cell r="E15" t="str">
            <v>Levyor Trading LTD</v>
          </cell>
          <cell r="F15" t="str">
            <v>לויור מסחר בע"מ</v>
          </cell>
          <cell r="G15" t="str">
            <v>I</v>
          </cell>
          <cell r="I15">
            <v>800000</v>
          </cell>
          <cell r="J15">
            <v>1.0940568615813755E-2</v>
          </cell>
          <cell r="K15">
            <v>14965.3014639717</v>
          </cell>
          <cell r="L15">
            <v>149143.22777323463</v>
          </cell>
          <cell r="M15">
            <v>164108.52923720633</v>
          </cell>
          <cell r="O15">
            <v>0</v>
          </cell>
          <cell r="R15">
            <v>0</v>
          </cell>
          <cell r="S15" t="str">
            <v>V</v>
          </cell>
          <cell r="T15">
            <v>0</v>
          </cell>
          <cell r="U15">
            <v>164109</v>
          </cell>
          <cell r="V15" t="str">
            <v>#REF!</v>
          </cell>
          <cell r="W15" t="str">
            <v>#REF!</v>
          </cell>
          <cell r="X15" t="str">
            <v>#REF!</v>
          </cell>
          <cell r="Y15" t="str">
            <v>#REF!</v>
          </cell>
          <cell r="Z15" t="str">
            <v>#REF!</v>
          </cell>
          <cell r="AA15" t="e">
            <v>#REF!</v>
          </cell>
          <cell r="AB15">
            <v>164108.52923720633</v>
          </cell>
          <cell r="AC15">
            <v>0</v>
          </cell>
          <cell r="AD15">
            <v>164109</v>
          </cell>
          <cell r="AL15">
            <v>344.62889999999999</v>
          </cell>
          <cell r="AM15">
            <v>344.62889999999999</v>
          </cell>
          <cell r="AN15">
            <v>35</v>
          </cell>
          <cell r="AQ15">
            <v>62711.339305844449</v>
          </cell>
          <cell r="AR15">
            <v>101397.18993136188</v>
          </cell>
          <cell r="AS15">
            <v>0.38213333333333338</v>
          </cell>
        </row>
        <row r="16">
          <cell r="A16" t="str">
            <v>8160-01-115</v>
          </cell>
          <cell r="B16" t="str">
            <v>M.B Sherman</v>
          </cell>
          <cell r="C16">
            <v>513136622</v>
          </cell>
          <cell r="D16" t="e">
            <v>#REF!</v>
          </cell>
          <cell r="E16" t="str">
            <v>M.B Sherman</v>
          </cell>
          <cell r="F16" t="str">
            <v>מ.ב שרמן בע"מ</v>
          </cell>
          <cell r="G16" t="str">
            <v>I</v>
          </cell>
          <cell r="I16">
            <v>250000</v>
          </cell>
          <cell r="J16">
            <v>3.4189276924417983E-3</v>
          </cell>
          <cell r="K16">
            <v>4676.6567074911563</v>
          </cell>
          <cell r="L16">
            <v>46607.258679135819</v>
          </cell>
          <cell r="M16">
            <v>51283.915386626977</v>
          </cell>
          <cell r="O16">
            <v>0</v>
          </cell>
          <cell r="R16">
            <v>0</v>
          </cell>
          <cell r="S16" t="str">
            <v>V</v>
          </cell>
          <cell r="T16">
            <v>0</v>
          </cell>
          <cell r="U16">
            <v>51284</v>
          </cell>
          <cell r="V16" t="str">
            <v>#REF!</v>
          </cell>
          <cell r="W16" t="str">
            <v>#REF!</v>
          </cell>
          <cell r="X16" t="str">
            <v>#REF!</v>
          </cell>
          <cell r="Y16" t="str">
            <v>#REF!</v>
          </cell>
          <cell r="Z16" t="str">
            <v>#REF!</v>
          </cell>
          <cell r="AA16" t="e">
            <v>#REF!</v>
          </cell>
          <cell r="AB16">
            <v>51283.915386626977</v>
          </cell>
          <cell r="AC16">
            <v>0</v>
          </cell>
          <cell r="AD16">
            <v>51284</v>
          </cell>
          <cell r="AL16">
            <v>107.6964</v>
          </cell>
          <cell r="AM16">
            <v>107.6964</v>
          </cell>
          <cell r="AN16">
            <v>35</v>
          </cell>
          <cell r="AQ16">
            <v>19597.293533076387</v>
          </cell>
          <cell r="AR16">
            <v>31686.62185355059</v>
          </cell>
          <cell r="AS16">
            <v>0.38213333333333327</v>
          </cell>
        </row>
        <row r="17">
          <cell r="A17" t="str">
            <v>8160-01-116</v>
          </cell>
          <cell r="B17" t="str">
            <v>Meitav Dash Investments Ltd</v>
          </cell>
          <cell r="C17">
            <v>520043795</v>
          </cell>
          <cell r="D17" t="e">
            <v>#REF!</v>
          </cell>
          <cell r="E17" t="str">
            <v>Meitav Dash Investments Ltd</v>
          </cell>
          <cell r="F17" t="str">
            <v>מיטב דש השקעות בע"מ</v>
          </cell>
          <cell r="G17" t="str">
            <v>I</v>
          </cell>
          <cell r="I17">
            <v>7000000</v>
          </cell>
          <cell r="J17">
            <v>9.5729975388370359E-2</v>
          </cell>
          <cell r="K17">
            <v>130946.38780975237</v>
          </cell>
          <cell r="L17">
            <v>1305003.2430158029</v>
          </cell>
          <cell r="M17">
            <v>1435949.6308255554</v>
          </cell>
          <cell r="O17">
            <v>0</v>
          </cell>
          <cell r="R17">
            <v>0</v>
          </cell>
          <cell r="S17" t="str">
            <v>V</v>
          </cell>
          <cell r="T17">
            <v>0</v>
          </cell>
          <cell r="U17">
            <v>1435950</v>
          </cell>
          <cell r="V17" t="str">
            <v>#REF!</v>
          </cell>
          <cell r="W17" t="str">
            <v>#REF!</v>
          </cell>
          <cell r="X17" t="str">
            <v>#REF!</v>
          </cell>
          <cell r="Y17" t="str">
            <v>#REF!</v>
          </cell>
          <cell r="Z17" t="str">
            <v>#REF!</v>
          </cell>
          <cell r="AA17" t="e">
            <v>#REF!</v>
          </cell>
          <cell r="AB17">
            <v>1435949.6308255554</v>
          </cell>
          <cell r="AC17">
            <v>0</v>
          </cell>
          <cell r="AD17">
            <v>1435950</v>
          </cell>
          <cell r="AL17">
            <v>3015.4949999999999</v>
          </cell>
          <cell r="AM17">
            <v>170</v>
          </cell>
          <cell r="AN17">
            <v>35</v>
          </cell>
          <cell r="AQ17">
            <v>548724.21892613894</v>
          </cell>
          <cell r="AR17">
            <v>887225.41189941647</v>
          </cell>
          <cell r="AS17">
            <v>0.38213333333333338</v>
          </cell>
        </row>
        <row r="18">
          <cell r="A18" t="str">
            <v>8160-01-117</v>
          </cell>
          <cell r="B18" t="str">
            <v>Nissim Zarfati</v>
          </cell>
          <cell r="C18" t="str">
            <v>058240565</v>
          </cell>
          <cell r="D18" t="e">
            <v>#REF!</v>
          </cell>
          <cell r="F18" t="str">
            <v>נסים צרפתי</v>
          </cell>
          <cell r="G18" t="str">
            <v>I</v>
          </cell>
          <cell r="I18">
            <v>450000</v>
          </cell>
          <cell r="J18">
            <v>6.1540698463952376E-3</v>
          </cell>
          <cell r="K18">
            <v>8417.9820734840814</v>
          </cell>
          <cell r="L18">
            <v>83893.065622444483</v>
          </cell>
          <cell r="M18">
            <v>92311.047695928559</v>
          </cell>
          <cell r="N18">
            <v>2104.4955183710204</v>
          </cell>
          <cell r="O18">
            <v>0</v>
          </cell>
          <cell r="P18">
            <v>0</v>
          </cell>
          <cell r="Q18">
            <v>2104.4955183710204</v>
          </cell>
          <cell r="R18">
            <v>2104.4955183710204</v>
          </cell>
          <cell r="S18" t="str">
            <v>X</v>
          </cell>
          <cell r="U18">
            <v>90207</v>
          </cell>
          <cell r="V18" t="str">
            <v>#REF!</v>
          </cell>
          <cell r="W18" t="str">
            <v>#REF!</v>
          </cell>
          <cell r="X18" t="str">
            <v>#REF!</v>
          </cell>
          <cell r="Y18" t="str">
            <v>#REF!</v>
          </cell>
          <cell r="Z18" t="str">
            <v>#REF!</v>
          </cell>
          <cell r="AA18" t="e">
            <v>#REF!</v>
          </cell>
          <cell r="AB18">
            <v>92311.047695928559</v>
          </cell>
          <cell r="AC18">
            <v>2104.4955183710204</v>
          </cell>
          <cell r="AD18">
            <v>90207</v>
          </cell>
          <cell r="AL18">
            <v>189.43469999999999</v>
          </cell>
          <cell r="AM18">
            <v>189.43469999999999</v>
          </cell>
          <cell r="AN18">
            <v>35</v>
          </cell>
          <cell r="AQ18">
            <v>35275.128359537499</v>
          </cell>
          <cell r="AR18">
            <v>57035.91933639106</v>
          </cell>
          <cell r="AS18">
            <v>0.38213333333333332</v>
          </cell>
        </row>
        <row r="19">
          <cell r="A19" t="str">
            <v>8160-01-118</v>
          </cell>
          <cell r="B19" t="str">
            <v>Ofer David Kinberg</v>
          </cell>
          <cell r="C19" t="str">
            <v>036125334</v>
          </cell>
          <cell r="D19" t="e">
            <v>#REF!</v>
          </cell>
          <cell r="F19" t="str">
            <v>עופר דוד קינברג</v>
          </cell>
          <cell r="G19" t="str">
            <v>I</v>
          </cell>
          <cell r="I19">
            <v>400000</v>
          </cell>
          <cell r="J19">
            <v>5.4702843079068777E-3</v>
          </cell>
          <cell r="K19">
            <v>7482.6507319858501</v>
          </cell>
          <cell r="L19">
            <v>74571.613886617313</v>
          </cell>
          <cell r="M19">
            <v>82054.264618603163</v>
          </cell>
          <cell r="N19">
            <v>1870.6626829964625</v>
          </cell>
          <cell r="O19">
            <v>0</v>
          </cell>
          <cell r="P19">
            <v>0</v>
          </cell>
          <cell r="Q19">
            <v>1870.6626829964625</v>
          </cell>
          <cell r="R19">
            <v>1870.6626829964625</v>
          </cell>
          <cell r="S19" t="str">
            <v>X</v>
          </cell>
          <cell r="U19">
            <v>80184</v>
          </cell>
          <cell r="V19" t="str">
            <v>#REF!</v>
          </cell>
          <cell r="W19" t="str">
            <v>#REF!</v>
          </cell>
          <cell r="X19" t="str">
            <v>#REF!</v>
          </cell>
          <cell r="Y19" t="str">
            <v>#REF!</v>
          </cell>
          <cell r="Z19" t="str">
            <v>#REF!</v>
          </cell>
          <cell r="AA19" t="e">
            <v>#REF!</v>
          </cell>
          <cell r="AB19">
            <v>82054.264618603163</v>
          </cell>
          <cell r="AC19">
            <v>1870.6626829964625</v>
          </cell>
          <cell r="AD19">
            <v>80184</v>
          </cell>
          <cell r="AL19">
            <v>168.38639999999998</v>
          </cell>
          <cell r="AM19">
            <v>168.38639999999998</v>
          </cell>
          <cell r="AN19">
            <v>35</v>
          </cell>
          <cell r="AQ19">
            <v>31355.669652922224</v>
          </cell>
          <cell r="AR19">
            <v>50698.594965680939</v>
          </cell>
          <cell r="AS19">
            <v>0.38213333333333338</v>
          </cell>
        </row>
        <row r="20">
          <cell r="A20" t="str">
            <v>8160-01-119</v>
          </cell>
          <cell r="B20" t="str">
            <v>Olga Ashurov</v>
          </cell>
          <cell r="C20">
            <v>305831232</v>
          </cell>
          <cell r="D20" t="e">
            <v>#REF!</v>
          </cell>
          <cell r="F20" t="str">
            <v>אולגה אושרוב</v>
          </cell>
          <cell r="G20" t="str">
            <v>I</v>
          </cell>
          <cell r="I20">
            <v>250000</v>
          </cell>
          <cell r="J20">
            <v>3.4189276924417983E-3</v>
          </cell>
          <cell r="K20">
            <v>4676.6567074911563</v>
          </cell>
          <cell r="L20">
            <v>46607.258679135819</v>
          </cell>
          <cell r="M20">
            <v>51283.915386626977</v>
          </cell>
          <cell r="N20">
            <v>1169.1641768727891</v>
          </cell>
          <cell r="O20">
            <v>0</v>
          </cell>
          <cell r="P20">
            <v>0</v>
          </cell>
          <cell r="Q20">
            <v>1169.1641768727891</v>
          </cell>
          <cell r="R20">
            <v>1169.1641768727891</v>
          </cell>
          <cell r="S20" t="str">
            <v>X</v>
          </cell>
          <cell r="U20">
            <v>50115</v>
          </cell>
          <cell r="V20" t="str">
            <v>#REF!</v>
          </cell>
          <cell r="W20" t="str">
            <v>#REF!</v>
          </cell>
          <cell r="X20" t="str">
            <v>#REF!</v>
          </cell>
          <cell r="Y20" t="str">
            <v>#REF!</v>
          </cell>
          <cell r="Z20" t="str">
            <v>#REF!</v>
          </cell>
          <cell r="AA20" t="e">
            <v>#REF!</v>
          </cell>
          <cell r="AB20">
            <v>51283.915386626977</v>
          </cell>
          <cell r="AC20">
            <v>1169.1641768727891</v>
          </cell>
          <cell r="AD20">
            <v>50115</v>
          </cell>
          <cell r="AL20">
            <v>105.24149999999999</v>
          </cell>
          <cell r="AM20">
            <v>105.24149999999999</v>
          </cell>
          <cell r="AN20">
            <v>35</v>
          </cell>
          <cell r="AQ20">
            <v>19597.293533076387</v>
          </cell>
          <cell r="AR20">
            <v>31686.62185355059</v>
          </cell>
        </row>
        <row r="21">
          <cell r="A21" t="str">
            <v>8160-01-120</v>
          </cell>
          <cell r="B21" t="str">
            <v>Orna Barkat</v>
          </cell>
          <cell r="C21" t="str">
            <v>057258675</v>
          </cell>
          <cell r="D21" t="e">
            <v>#REF!</v>
          </cell>
          <cell r="F21" t="str">
            <v>אורנה ברקת</v>
          </cell>
          <cell r="G21" t="str">
            <v>I</v>
          </cell>
          <cell r="I21">
            <v>400000</v>
          </cell>
          <cell r="J21">
            <v>5.4702843079068777E-3</v>
          </cell>
          <cell r="K21">
            <v>7482.6507319858501</v>
          </cell>
          <cell r="L21">
            <v>74571.613886617313</v>
          </cell>
          <cell r="M21">
            <v>82054.264618603163</v>
          </cell>
          <cell r="N21">
            <v>1870.6626829964625</v>
          </cell>
          <cell r="O21">
            <v>0</v>
          </cell>
          <cell r="P21">
            <v>0</v>
          </cell>
          <cell r="Q21">
            <v>1870.6626829964625</v>
          </cell>
          <cell r="R21">
            <v>1870.6626829964625</v>
          </cell>
          <cell r="S21" t="str">
            <v>X</v>
          </cell>
          <cell r="U21">
            <v>80184</v>
          </cell>
          <cell r="V21" t="str">
            <v>#REF!</v>
          </cell>
          <cell r="W21" t="str">
            <v>#REF!</v>
          </cell>
          <cell r="X21" t="str">
            <v>#REF!</v>
          </cell>
          <cell r="Y21" t="str">
            <v>#REF!</v>
          </cell>
          <cell r="Z21" t="str">
            <v>#REF!</v>
          </cell>
          <cell r="AA21" t="e">
            <v>#REF!</v>
          </cell>
          <cell r="AB21">
            <v>82054.264618603163</v>
          </cell>
          <cell r="AC21">
            <v>1870.6626829964625</v>
          </cell>
          <cell r="AD21">
            <v>80184</v>
          </cell>
          <cell r="AL21">
            <v>168.38639999999998</v>
          </cell>
          <cell r="AM21">
            <v>168.38639999999998</v>
          </cell>
          <cell r="AN21">
            <v>35</v>
          </cell>
          <cell r="AQ21">
            <v>31355.669652922224</v>
          </cell>
          <cell r="AR21">
            <v>50698.594965680939</v>
          </cell>
        </row>
        <row r="22">
          <cell r="A22" t="str">
            <v>8160-01-121</v>
          </cell>
          <cell r="B22" t="str">
            <v>Plata Trading Co. Inc</v>
          </cell>
          <cell r="C22">
            <v>2601848</v>
          </cell>
          <cell r="D22" t="e">
            <v>#REF!</v>
          </cell>
          <cell r="E22" t="str">
            <v>Plata Trading Co. Inc</v>
          </cell>
          <cell r="G22" t="str">
            <v>I</v>
          </cell>
          <cell r="I22">
            <v>300000</v>
          </cell>
          <cell r="J22">
            <v>4.1027132309301578E-3</v>
          </cell>
          <cell r="K22">
            <v>5611.9880489893867</v>
          </cell>
          <cell r="L22">
            <v>55928.710414962974</v>
          </cell>
          <cell r="M22">
            <v>61540.698463952358</v>
          </cell>
          <cell r="N22">
            <v>1402.9970122473467</v>
          </cell>
          <cell r="O22">
            <v>0</v>
          </cell>
          <cell r="P22">
            <v>0</v>
          </cell>
          <cell r="Q22">
            <v>1402.9970122473467</v>
          </cell>
          <cell r="R22">
            <v>1402.9970122473467</v>
          </cell>
          <cell r="S22" t="str">
            <v>X</v>
          </cell>
          <cell r="U22">
            <v>60138</v>
          </cell>
          <cell r="V22" t="str">
            <v>#REF!</v>
          </cell>
          <cell r="W22" t="str">
            <v>#REF!</v>
          </cell>
          <cell r="X22" t="str">
            <v>#REF!</v>
          </cell>
          <cell r="Y22" t="str">
            <v>#REF!</v>
          </cell>
          <cell r="Z22" t="str">
            <v>#REF!</v>
          </cell>
          <cell r="AA22" t="e">
            <v>#REF!</v>
          </cell>
          <cell r="AB22">
            <v>61540.698463952358</v>
          </cell>
          <cell r="AC22">
            <v>1402.9970122473467</v>
          </cell>
          <cell r="AD22">
            <v>60138</v>
          </cell>
          <cell r="AL22">
            <v>126.28979999999999</v>
          </cell>
          <cell r="AM22">
            <v>126.28979999999999</v>
          </cell>
          <cell r="AN22">
            <v>35</v>
          </cell>
          <cell r="AQ22">
            <v>23516.752239691665</v>
          </cell>
          <cell r="AR22">
            <v>38023.946224260697</v>
          </cell>
        </row>
        <row r="23">
          <cell r="A23" t="str">
            <v>8160-01-123</v>
          </cell>
          <cell r="B23" t="str">
            <v>Raz Freidman</v>
          </cell>
          <cell r="C23" t="str">
            <v>034522615</v>
          </cell>
          <cell r="D23" t="e">
            <v>#REF!</v>
          </cell>
          <cell r="F23" t="str">
            <v>רז פרידמן</v>
          </cell>
          <cell r="G23" t="str">
            <v>I</v>
          </cell>
          <cell r="I23">
            <v>400000</v>
          </cell>
          <cell r="J23">
            <v>5.4702843079068777E-3</v>
          </cell>
          <cell r="K23">
            <v>7482.6507319858501</v>
          </cell>
          <cell r="L23">
            <v>74571.613886617313</v>
          </cell>
          <cell r="M23">
            <v>82054.264618603163</v>
          </cell>
          <cell r="N23">
            <v>1870.6626829964625</v>
          </cell>
          <cell r="O23">
            <v>0</v>
          </cell>
          <cell r="P23">
            <v>0</v>
          </cell>
          <cell r="Q23">
            <v>1870.6626829964625</v>
          </cell>
          <cell r="R23">
            <v>1870.6626829964625</v>
          </cell>
          <cell r="S23" t="str">
            <v>X</v>
          </cell>
          <cell r="U23">
            <v>80184</v>
          </cell>
          <cell r="V23" t="str">
            <v>#REF!</v>
          </cell>
          <cell r="W23" t="str">
            <v>#REF!</v>
          </cell>
          <cell r="X23" t="str">
            <v>#REF!</v>
          </cell>
          <cell r="Y23" t="str">
            <v>#REF!</v>
          </cell>
          <cell r="Z23" t="str">
            <v>#REF!</v>
          </cell>
          <cell r="AA23" t="e">
            <v>#REF!</v>
          </cell>
          <cell r="AB23">
            <v>82054.264618603163</v>
          </cell>
          <cell r="AC23">
            <v>1870.6626829964625</v>
          </cell>
          <cell r="AD23">
            <v>80184</v>
          </cell>
          <cell r="AL23">
            <v>168.38639999999998</v>
          </cell>
          <cell r="AM23">
            <v>168.38639999999998</v>
          </cell>
          <cell r="AN23">
            <v>35</v>
          </cell>
          <cell r="AQ23">
            <v>31355.669652922224</v>
          </cell>
          <cell r="AR23">
            <v>50698.594965680939</v>
          </cell>
        </row>
        <row r="24">
          <cell r="A24" t="str">
            <v>8160-01-124</v>
          </cell>
          <cell r="B24" t="str">
            <v>Robert Antokol</v>
          </cell>
          <cell r="C24" t="str">
            <v>014552855</v>
          </cell>
          <cell r="D24" t="e">
            <v>#REF!</v>
          </cell>
          <cell r="F24" t="str">
            <v>רוברט אנטוקול</v>
          </cell>
          <cell r="G24" t="str">
            <v>I</v>
          </cell>
          <cell r="I24">
            <v>2000000</v>
          </cell>
          <cell r="J24">
            <v>2.7351421539534387E-2</v>
          </cell>
          <cell r="K24">
            <v>37413.253659929251</v>
          </cell>
          <cell r="L24">
            <v>372858.06943308655</v>
          </cell>
          <cell r="M24">
            <v>410271.32309301582</v>
          </cell>
          <cell r="N24">
            <v>9353.3134149823127</v>
          </cell>
          <cell r="O24">
            <v>0</v>
          </cell>
          <cell r="P24">
            <v>0</v>
          </cell>
          <cell r="Q24">
            <v>9353.3134149823127</v>
          </cell>
          <cell r="R24">
            <v>9353.3134149823127</v>
          </cell>
          <cell r="S24" t="str">
            <v>X</v>
          </cell>
          <cell r="U24">
            <v>400918</v>
          </cell>
          <cell r="V24" t="str">
            <v>#REF!</v>
          </cell>
          <cell r="W24" t="str">
            <v>#REF!</v>
          </cell>
          <cell r="X24" t="str">
            <v>#REF!</v>
          </cell>
          <cell r="Y24" t="str">
            <v>#REF!</v>
          </cell>
          <cell r="Z24" t="str">
            <v>#REF!</v>
          </cell>
          <cell r="AA24" t="e">
            <v>#REF!</v>
          </cell>
          <cell r="AB24">
            <v>410271.32309301582</v>
          </cell>
          <cell r="AC24">
            <v>9353.3134149823127</v>
          </cell>
          <cell r="AD24">
            <v>400918</v>
          </cell>
          <cell r="AL24">
            <v>841.92779999999993</v>
          </cell>
          <cell r="AM24">
            <v>841.92779999999993</v>
          </cell>
          <cell r="AN24">
            <v>35</v>
          </cell>
          <cell r="AQ24">
            <v>156778.34826461109</v>
          </cell>
          <cell r="AR24">
            <v>253492.97482840472</v>
          </cell>
        </row>
        <row r="25">
          <cell r="A25" t="str">
            <v>8160-01-125</v>
          </cell>
          <cell r="B25" t="str">
            <v>Roy Oron</v>
          </cell>
          <cell r="C25" t="str">
            <v>024367021</v>
          </cell>
          <cell r="D25" t="e">
            <v>#REF!</v>
          </cell>
          <cell r="F25" t="str">
            <v>רועי אורון</v>
          </cell>
          <cell r="G25" t="str">
            <v>I</v>
          </cell>
          <cell r="I25">
            <v>500000</v>
          </cell>
          <cell r="J25">
            <v>6.8378553848835967E-3</v>
          </cell>
          <cell r="K25">
            <v>9353.3134149823127</v>
          </cell>
          <cell r="L25">
            <v>93214.517358271638</v>
          </cell>
          <cell r="M25">
            <v>102567.83077325395</v>
          </cell>
          <cell r="N25">
            <v>2338.3283537455782</v>
          </cell>
          <cell r="O25">
            <v>0</v>
          </cell>
          <cell r="P25">
            <v>0</v>
          </cell>
          <cell r="Q25">
            <v>2338.3283537455782</v>
          </cell>
          <cell r="R25">
            <v>2338.3283537455782</v>
          </cell>
          <cell r="S25" t="str">
            <v>X</v>
          </cell>
          <cell r="U25">
            <v>100230</v>
          </cell>
          <cell r="V25" t="str">
            <v>#REF!</v>
          </cell>
          <cell r="W25" t="str">
            <v>#REF!</v>
          </cell>
          <cell r="X25" t="str">
            <v>#REF!</v>
          </cell>
          <cell r="Y25" t="str">
            <v>#REF!</v>
          </cell>
          <cell r="Z25" t="str">
            <v>#REF!</v>
          </cell>
          <cell r="AA25" t="e">
            <v>#REF!</v>
          </cell>
          <cell r="AB25">
            <v>102567.83077325395</v>
          </cell>
          <cell r="AC25">
            <v>2338.3283537455782</v>
          </cell>
          <cell r="AD25">
            <v>100230</v>
          </cell>
          <cell r="AL25">
            <v>210.48299999999998</v>
          </cell>
          <cell r="AM25">
            <v>210.48299999999998</v>
          </cell>
          <cell r="AN25">
            <v>35</v>
          </cell>
          <cell r="AQ25">
            <v>39194.587066152773</v>
          </cell>
          <cell r="AR25">
            <v>63373.243707101181</v>
          </cell>
        </row>
        <row r="26">
          <cell r="A26" t="str">
            <v>8160-01-126</v>
          </cell>
          <cell r="B26" t="str">
            <v>Shai Reshef</v>
          </cell>
          <cell r="C26" t="str">
            <v>053560108</v>
          </cell>
          <cell r="D26" t="e">
            <v>#REF!</v>
          </cell>
          <cell r="F26" t="str">
            <v>שי רשף</v>
          </cell>
          <cell r="G26" t="str">
            <v>I</v>
          </cell>
          <cell r="I26">
            <v>500000</v>
          </cell>
          <cell r="J26">
            <v>6.8378553848835967E-3</v>
          </cell>
          <cell r="K26">
            <v>9353.3134149823127</v>
          </cell>
          <cell r="L26">
            <v>93214.517358271638</v>
          </cell>
          <cell r="M26">
            <v>102567.83077325395</v>
          </cell>
          <cell r="N26">
            <v>2338.3283537455782</v>
          </cell>
          <cell r="O26">
            <v>0</v>
          </cell>
          <cell r="P26">
            <v>0</v>
          </cell>
          <cell r="Q26">
            <v>2338.3283537455782</v>
          </cell>
          <cell r="R26">
            <v>2338.3283537455782</v>
          </cell>
          <cell r="S26" t="str">
            <v>X</v>
          </cell>
          <cell r="U26">
            <v>100230</v>
          </cell>
          <cell r="V26" t="str">
            <v>#REF!</v>
          </cell>
          <cell r="W26" t="str">
            <v>#REF!</v>
          </cell>
          <cell r="X26" t="str">
            <v>#REF!</v>
          </cell>
          <cell r="Y26" t="str">
            <v>#REF!</v>
          </cell>
          <cell r="Z26" t="str">
            <v>#REF!</v>
          </cell>
          <cell r="AA26" t="e">
            <v>#REF!</v>
          </cell>
          <cell r="AB26">
            <v>102567.83077325395</v>
          </cell>
          <cell r="AC26">
            <v>2338.3283537455782</v>
          </cell>
          <cell r="AD26">
            <v>100230</v>
          </cell>
          <cell r="AL26">
            <v>210.48299999999998</v>
          </cell>
          <cell r="AM26">
            <v>210.48299999999998</v>
          </cell>
          <cell r="AN26">
            <v>35</v>
          </cell>
          <cell r="AQ26">
            <v>39194.587066152773</v>
          </cell>
          <cell r="AR26">
            <v>63373.243707101181</v>
          </cell>
        </row>
        <row r="27">
          <cell r="A27" t="str">
            <v>8160-01-127</v>
          </cell>
          <cell r="B27" t="str">
            <v>Yishayahu Shai Sheffer</v>
          </cell>
          <cell r="C27" t="str">
            <v>07004476</v>
          </cell>
          <cell r="D27" t="e">
            <v>#REF!</v>
          </cell>
          <cell r="F27" t="str">
            <v>שי ישעיהו שפר</v>
          </cell>
          <cell r="G27" t="str">
            <v>I</v>
          </cell>
          <cell r="I27">
            <v>250000</v>
          </cell>
          <cell r="J27">
            <v>3.4189276924417983E-3</v>
          </cell>
          <cell r="K27">
            <v>4676.6567074911563</v>
          </cell>
          <cell r="L27">
            <v>46607.258679135819</v>
          </cell>
          <cell r="M27">
            <v>51283.915386626977</v>
          </cell>
          <cell r="N27">
            <v>1169.1641768727891</v>
          </cell>
          <cell r="O27">
            <v>0</v>
          </cell>
          <cell r="P27">
            <v>0</v>
          </cell>
          <cell r="Q27">
            <v>1169.1641768727891</v>
          </cell>
          <cell r="R27">
            <v>1169.1641768727891</v>
          </cell>
          <cell r="S27" t="str">
            <v>X</v>
          </cell>
          <cell r="U27">
            <v>50115</v>
          </cell>
          <cell r="V27" t="str">
            <v>#REF!</v>
          </cell>
          <cell r="W27" t="str">
            <v>#REF!</v>
          </cell>
          <cell r="X27" t="str">
            <v>#REF!</v>
          </cell>
          <cell r="Y27" t="str">
            <v>#REF!</v>
          </cell>
          <cell r="Z27" t="str">
            <v>#REF!</v>
          </cell>
          <cell r="AA27" t="e">
            <v>#REF!</v>
          </cell>
          <cell r="AB27">
            <v>51283.915386626977</v>
          </cell>
          <cell r="AC27">
            <v>1169.1641768727891</v>
          </cell>
          <cell r="AD27">
            <v>50115</v>
          </cell>
          <cell r="AL27">
            <v>105.24149999999999</v>
          </cell>
          <cell r="AM27">
            <v>105.24149999999999</v>
          </cell>
          <cell r="AN27">
            <v>35</v>
          </cell>
          <cell r="AQ27">
            <v>19597.293533076387</v>
          </cell>
          <cell r="AR27">
            <v>31686.62185355059</v>
          </cell>
        </row>
        <row r="28">
          <cell r="A28" t="str">
            <v>8160-01-128</v>
          </cell>
          <cell r="B28" t="str">
            <v>Shlomi Aizenberg</v>
          </cell>
          <cell r="C28" t="str">
            <v>036397297</v>
          </cell>
          <cell r="D28" t="e">
            <v>#REF!</v>
          </cell>
          <cell r="F28" t="str">
            <v>שלומי אייזנברג</v>
          </cell>
          <cell r="G28" t="str">
            <v>I</v>
          </cell>
          <cell r="I28">
            <v>200000</v>
          </cell>
          <cell r="J28">
            <v>2.7351421539534388E-3</v>
          </cell>
          <cell r="K28">
            <v>3741.3253659929251</v>
          </cell>
          <cell r="L28">
            <v>37285.806943308657</v>
          </cell>
          <cell r="M28">
            <v>41027.132309301582</v>
          </cell>
          <cell r="N28">
            <v>935.33134149823127</v>
          </cell>
          <cell r="O28">
            <v>0</v>
          </cell>
          <cell r="P28">
            <v>0</v>
          </cell>
          <cell r="Q28">
            <v>935.33134149823127</v>
          </cell>
          <cell r="R28">
            <v>935.33134149823127</v>
          </cell>
          <cell r="S28" t="str">
            <v>X</v>
          </cell>
          <cell r="U28">
            <v>40092</v>
          </cell>
          <cell r="V28" t="str">
            <v>#REF!</v>
          </cell>
          <cell r="W28" t="str">
            <v>#REF!</v>
          </cell>
          <cell r="X28" t="str">
            <v>#REF!</v>
          </cell>
          <cell r="Y28" t="str">
            <v>#REF!</v>
          </cell>
          <cell r="Z28" t="str">
            <v>#REF!</v>
          </cell>
          <cell r="AA28" t="e">
            <v>#REF!</v>
          </cell>
          <cell r="AB28">
            <v>41027.132309301582</v>
          </cell>
          <cell r="AC28">
            <v>935.33134149823127</v>
          </cell>
          <cell r="AD28">
            <v>40092</v>
          </cell>
          <cell r="AL28">
            <v>84.19319999999999</v>
          </cell>
          <cell r="AM28">
            <v>84.19319999999999</v>
          </cell>
          <cell r="AN28">
            <v>35</v>
          </cell>
          <cell r="AQ28">
            <v>15677.834826461112</v>
          </cell>
          <cell r="AR28">
            <v>25349.297482840469</v>
          </cell>
        </row>
        <row r="29">
          <cell r="A29" t="str">
            <v>8160-01-129</v>
          </cell>
          <cell r="B29" t="str">
            <v>Shy Datika</v>
          </cell>
          <cell r="C29" t="str">
            <v>023942162</v>
          </cell>
          <cell r="D29" t="e">
            <v>#REF!</v>
          </cell>
          <cell r="F29" t="str">
            <v>שי דתיקה</v>
          </cell>
          <cell r="G29" t="str">
            <v>I</v>
          </cell>
          <cell r="I29">
            <v>500000</v>
          </cell>
          <cell r="J29">
            <v>6.8378553848835967E-3</v>
          </cell>
          <cell r="K29">
            <v>9353.3134149823127</v>
          </cell>
          <cell r="L29">
            <v>93214.517358271638</v>
          </cell>
          <cell r="M29">
            <v>102567.83077325395</v>
          </cell>
          <cell r="N29">
            <v>2338.3283537455782</v>
          </cell>
          <cell r="O29">
            <v>0</v>
          </cell>
          <cell r="P29">
            <v>0</v>
          </cell>
          <cell r="Q29">
            <v>2338.3283537455782</v>
          </cell>
          <cell r="R29">
            <v>2338.3283537455782</v>
          </cell>
          <cell r="S29" t="str">
            <v>X</v>
          </cell>
          <cell r="U29">
            <v>100230</v>
          </cell>
          <cell r="V29" t="str">
            <v>#REF!</v>
          </cell>
          <cell r="W29" t="str">
            <v>#REF!</v>
          </cell>
          <cell r="X29" t="str">
            <v>#REF!</v>
          </cell>
          <cell r="Y29" t="str">
            <v>#REF!</v>
          </cell>
          <cell r="Z29" t="str">
            <v>#REF!</v>
          </cell>
          <cell r="AA29" t="e">
            <v>#REF!</v>
          </cell>
          <cell r="AB29">
            <v>102567.83077325395</v>
          </cell>
          <cell r="AC29">
            <v>2338.3283537455782</v>
          </cell>
          <cell r="AD29">
            <v>100230</v>
          </cell>
          <cell r="AL29">
            <v>210.48299999999998</v>
          </cell>
          <cell r="AM29">
            <v>210.48299999999998</v>
          </cell>
          <cell r="AN29">
            <v>35</v>
          </cell>
          <cell r="AQ29">
            <v>39194.587066152773</v>
          </cell>
          <cell r="AR29">
            <v>63373.243707101181</v>
          </cell>
        </row>
        <row r="30">
          <cell r="A30" t="str">
            <v>8160-01-130</v>
          </cell>
          <cell r="B30" t="str">
            <v>Solog Industrial Buildings LTD</v>
          </cell>
          <cell r="C30">
            <v>512170234</v>
          </cell>
          <cell r="D30" t="e">
            <v>#REF!</v>
          </cell>
          <cell r="E30" t="str">
            <v>Solog Industrial Buildings LTD</v>
          </cell>
          <cell r="F30" t="str">
            <v>סולוג מבני תעשייה (1995) בע"מ</v>
          </cell>
          <cell r="G30" t="str">
            <v>I</v>
          </cell>
          <cell r="I30">
            <v>210014</v>
          </cell>
          <cell r="J30">
            <v>2.8720907216018875E-3</v>
          </cell>
          <cell r="K30">
            <v>3928.6535270681907</v>
          </cell>
          <cell r="L30">
            <v>39152.707296960121</v>
          </cell>
          <cell r="M30">
            <v>41360.360824028314</v>
          </cell>
          <cell r="O30">
            <v>0</v>
          </cell>
          <cell r="R30">
            <v>0</v>
          </cell>
          <cell r="S30" t="str">
            <v>V</v>
          </cell>
          <cell r="T30">
            <v>0</v>
          </cell>
          <cell r="U30">
            <v>41360</v>
          </cell>
          <cell r="V30" t="str">
            <v>#REF!</v>
          </cell>
          <cell r="W30" t="str">
            <v>#REF!</v>
          </cell>
          <cell r="X30" t="str">
            <v>#REF!</v>
          </cell>
          <cell r="Y30" t="str">
            <v>#REF!</v>
          </cell>
          <cell r="Z30" t="str">
            <v>#REF!</v>
          </cell>
          <cell r="AA30" t="e">
            <v>#REF!</v>
          </cell>
          <cell r="AB30">
            <v>41360.360824028314</v>
          </cell>
          <cell r="AC30">
            <v>0</v>
          </cell>
          <cell r="AD30">
            <v>41360</v>
          </cell>
          <cell r="AL30">
            <v>86.855999999999995</v>
          </cell>
          <cell r="AM30">
            <v>86.855999999999995</v>
          </cell>
          <cell r="AN30">
            <v>35</v>
          </cell>
          <cell r="AQ30">
            <v>16462.824016222021</v>
          </cell>
          <cell r="AR30">
            <v>24897.536807806293</v>
          </cell>
        </row>
        <row r="31">
          <cell r="A31" t="str">
            <v>8160-01-131</v>
          </cell>
          <cell r="B31" t="str">
            <v>The Ehud Sol Company</v>
          </cell>
          <cell r="C31">
            <v>514299676</v>
          </cell>
          <cell r="D31" t="e">
            <v>#REF!</v>
          </cell>
          <cell r="E31" t="str">
            <v>The Ehud Sol Company</v>
          </cell>
          <cell r="F31" t="str">
            <v>חברת אהוד סול</v>
          </cell>
          <cell r="G31" t="str">
            <v>I</v>
          </cell>
          <cell r="I31">
            <v>250000</v>
          </cell>
          <cell r="J31">
            <v>3.4189276924417983E-3</v>
          </cell>
          <cell r="K31">
            <v>4676.6567074911563</v>
          </cell>
          <cell r="L31">
            <v>46607.258679135819</v>
          </cell>
          <cell r="M31">
            <v>51283.915386626977</v>
          </cell>
          <cell r="O31">
            <v>0</v>
          </cell>
          <cell r="R31">
            <v>0</v>
          </cell>
          <cell r="S31" t="str">
            <v>V</v>
          </cell>
          <cell r="U31">
            <v>51284</v>
          </cell>
          <cell r="V31" t="str">
            <v>#REF!</v>
          </cell>
          <cell r="W31" t="str">
            <v>#REF!</v>
          </cell>
          <cell r="X31" t="str">
            <v>#REF!</v>
          </cell>
          <cell r="Y31" t="str">
            <v>#REF!</v>
          </cell>
          <cell r="Z31" t="str">
            <v>#REF!</v>
          </cell>
          <cell r="AA31" t="e">
            <v>#REF!</v>
          </cell>
          <cell r="AB31">
            <v>51283.915386626977</v>
          </cell>
          <cell r="AC31">
            <v>0</v>
          </cell>
          <cell r="AD31">
            <v>51284</v>
          </cell>
          <cell r="AL31">
            <v>107.6964</v>
          </cell>
          <cell r="AM31">
            <v>107.6964</v>
          </cell>
          <cell r="AN31">
            <v>35</v>
          </cell>
          <cell r="AQ31">
            <v>19597.293533076387</v>
          </cell>
          <cell r="AR31">
            <v>31686.62185355059</v>
          </cell>
        </row>
        <row r="32">
          <cell r="A32" t="str">
            <v>8160-01-132</v>
          </cell>
          <cell r="B32" t="str">
            <v>Anat (Shay) Loterbach</v>
          </cell>
          <cell r="C32" t="str">
            <v>057105652</v>
          </cell>
          <cell r="D32" t="e">
            <v>#REF!</v>
          </cell>
          <cell r="F32" t="str">
            <v>ענת לוטרבך</v>
          </cell>
          <cell r="G32" t="str">
            <v>I</v>
          </cell>
          <cell r="H32" t="str">
            <v>Phoenix</v>
          </cell>
          <cell r="I32">
            <v>250000</v>
          </cell>
          <cell r="J32">
            <v>3.4189276924417983E-3</v>
          </cell>
          <cell r="K32">
            <v>4676.6567074911563</v>
          </cell>
          <cell r="L32">
            <v>46607.258679135819</v>
          </cell>
          <cell r="M32">
            <v>51283.915386626977</v>
          </cell>
          <cell r="O32">
            <v>0</v>
          </cell>
          <cell r="R32">
            <v>0</v>
          </cell>
          <cell r="S32" t="str">
            <v>IRA</v>
          </cell>
          <cell r="T32">
            <v>0</v>
          </cell>
          <cell r="U32">
            <v>51284</v>
          </cell>
          <cell r="V32" t="str">
            <v>#REF!</v>
          </cell>
          <cell r="W32" t="str">
            <v>#REF!</v>
          </cell>
          <cell r="X32" t="str">
            <v>#REF!</v>
          </cell>
          <cell r="Y32" t="str">
            <v>#REF!</v>
          </cell>
          <cell r="Z32" t="str">
            <v>#REF!</v>
          </cell>
          <cell r="AA32" t="e">
            <v>#REF!</v>
          </cell>
          <cell r="AB32">
            <v>51283.915386626977</v>
          </cell>
          <cell r="AC32">
            <v>0</v>
          </cell>
          <cell r="AD32">
            <v>51284</v>
          </cell>
          <cell r="AL32">
            <v>107.6964</v>
          </cell>
          <cell r="AM32">
            <v>107.6964</v>
          </cell>
          <cell r="AN32">
            <v>35</v>
          </cell>
          <cell r="AQ32">
            <v>19597.293533076387</v>
          </cell>
          <cell r="AR32">
            <v>31686.62185355059</v>
          </cell>
        </row>
        <row r="33">
          <cell r="A33" t="str">
            <v>8160-01-133</v>
          </cell>
          <cell r="B33" t="str">
            <v>Moshe Arkin</v>
          </cell>
          <cell r="C33" t="str">
            <v>051643062</v>
          </cell>
          <cell r="D33" t="e">
            <v>#REF!</v>
          </cell>
          <cell r="F33" t="str">
            <v>משה ארקין</v>
          </cell>
          <cell r="G33" t="str">
            <v>I</v>
          </cell>
          <cell r="H33" t="str">
            <v>Phoenix</v>
          </cell>
          <cell r="I33">
            <v>500000</v>
          </cell>
          <cell r="J33">
            <v>6.8378553848835967E-3</v>
          </cell>
          <cell r="K33">
            <v>9353.3134149823127</v>
          </cell>
          <cell r="L33">
            <v>93214.517358271638</v>
          </cell>
          <cell r="M33">
            <v>102567.83077325395</v>
          </cell>
          <cell r="O33">
            <v>0</v>
          </cell>
          <cell r="R33">
            <v>0</v>
          </cell>
          <cell r="S33" t="str">
            <v>IRA</v>
          </cell>
          <cell r="T33">
            <v>0</v>
          </cell>
          <cell r="U33">
            <v>102568</v>
          </cell>
          <cell r="V33" t="str">
            <v>#REF!</v>
          </cell>
          <cell r="W33" t="str">
            <v>#REF!</v>
          </cell>
          <cell r="X33" t="str">
            <v>#REF!</v>
          </cell>
          <cell r="Y33" t="str">
            <v>#REF!</v>
          </cell>
          <cell r="Z33" t="str">
            <v>#REF!</v>
          </cell>
          <cell r="AA33" t="e">
            <v>#REF!</v>
          </cell>
          <cell r="AB33">
            <v>102567.83077325395</v>
          </cell>
          <cell r="AC33">
            <v>0</v>
          </cell>
          <cell r="AD33">
            <v>102568</v>
          </cell>
          <cell r="AL33">
            <v>215.39279999999999</v>
          </cell>
          <cell r="AM33">
            <v>215.39279999999999</v>
          </cell>
          <cell r="AN33">
            <v>35</v>
          </cell>
          <cell r="AQ33">
            <v>39194.587066152773</v>
          </cell>
          <cell r="AR33">
            <v>63373.243707101181</v>
          </cell>
        </row>
        <row r="34">
          <cell r="A34" t="str">
            <v>8160-01-134</v>
          </cell>
          <cell r="B34" t="str">
            <v>Yaron Sorek Holdings</v>
          </cell>
          <cell r="C34">
            <v>512875113</v>
          </cell>
          <cell r="D34" t="e">
            <v>#REF!</v>
          </cell>
          <cell r="E34" t="str">
            <v>Yaron Sorek Holdings</v>
          </cell>
          <cell r="F34" t="str">
            <v>ירון שורק החזקות</v>
          </cell>
          <cell r="G34" t="str">
            <v>I</v>
          </cell>
          <cell r="I34">
            <v>250000</v>
          </cell>
          <cell r="J34">
            <v>3.4189276924417983E-3</v>
          </cell>
          <cell r="K34">
            <v>4676.6567074911563</v>
          </cell>
          <cell r="L34">
            <v>46607.258679135819</v>
          </cell>
          <cell r="M34">
            <v>51283.915386626977</v>
          </cell>
          <cell r="O34">
            <v>0</v>
          </cell>
          <cell r="R34">
            <v>0</v>
          </cell>
          <cell r="S34" t="str">
            <v>V</v>
          </cell>
          <cell r="T34">
            <v>0</v>
          </cell>
          <cell r="U34">
            <v>51284</v>
          </cell>
          <cell r="V34" t="str">
            <v>#REF!</v>
          </cell>
          <cell r="W34" t="str">
            <v>#REF!</v>
          </cell>
          <cell r="X34" t="str">
            <v>#REF!</v>
          </cell>
          <cell r="Y34" t="str">
            <v>#REF!</v>
          </cell>
          <cell r="Z34" t="str">
            <v>#REF!</v>
          </cell>
          <cell r="AA34" t="e">
            <v>#REF!</v>
          </cell>
          <cell r="AB34">
            <v>51283.915386626977</v>
          </cell>
          <cell r="AC34">
            <v>0</v>
          </cell>
          <cell r="AD34">
            <v>51284</v>
          </cell>
          <cell r="AL34">
            <v>107.6964</v>
          </cell>
          <cell r="AM34">
            <v>107.6964</v>
          </cell>
          <cell r="AN34">
            <v>35</v>
          </cell>
          <cell r="AQ34">
            <v>19597.293533076387</v>
          </cell>
          <cell r="AR34">
            <v>31686.62185355059</v>
          </cell>
        </row>
        <row r="35">
          <cell r="A35" t="str">
            <v>8160-01-135</v>
          </cell>
          <cell r="B35" t="str">
            <v>Zafrir Engineers Ltd</v>
          </cell>
          <cell r="C35">
            <v>520042367</v>
          </cell>
          <cell r="D35" t="e">
            <v>#REF!</v>
          </cell>
          <cell r="E35" t="str">
            <v>Zafrir Engineers Ltd</v>
          </cell>
          <cell r="F35" t="str">
            <v>צפריר מהנדסים בע"מ</v>
          </cell>
          <cell r="G35" t="str">
            <v>I</v>
          </cell>
          <cell r="I35">
            <v>250000</v>
          </cell>
          <cell r="J35">
            <v>3.4189276924417983E-3</v>
          </cell>
          <cell r="K35">
            <v>4676.6567074911563</v>
          </cell>
          <cell r="L35">
            <v>46607.258679135819</v>
          </cell>
          <cell r="M35">
            <v>51283.915386626977</v>
          </cell>
          <cell r="O35">
            <v>0</v>
          </cell>
          <cell r="R35">
            <v>0</v>
          </cell>
          <cell r="S35" t="str">
            <v>V</v>
          </cell>
          <cell r="T35">
            <v>0</v>
          </cell>
          <cell r="U35">
            <v>51284</v>
          </cell>
          <cell r="V35" t="str">
            <v>#REF!</v>
          </cell>
          <cell r="W35" t="str">
            <v>#REF!</v>
          </cell>
          <cell r="X35" t="str">
            <v>#REF!</v>
          </cell>
          <cell r="Y35" t="str">
            <v>#REF!</v>
          </cell>
          <cell r="Z35" t="str">
            <v>#REF!</v>
          </cell>
          <cell r="AA35" t="e">
            <v>#REF!</v>
          </cell>
          <cell r="AB35">
            <v>51283.915386626977</v>
          </cell>
          <cell r="AC35">
            <v>0</v>
          </cell>
          <cell r="AD35">
            <v>51284</v>
          </cell>
          <cell r="AL35">
            <v>107.6964</v>
          </cell>
          <cell r="AM35">
            <v>107.6964</v>
          </cell>
          <cell r="AN35">
            <v>35</v>
          </cell>
          <cell r="AQ35">
            <v>19597.293533076387</v>
          </cell>
          <cell r="AR35">
            <v>31686.62185355059</v>
          </cell>
        </row>
        <row r="36">
          <cell r="A36" t="str">
            <v>8160-01-136</v>
          </cell>
          <cell r="B36" t="str">
            <v>Zvi V &amp; Co Company</v>
          </cell>
          <cell r="C36">
            <v>512715970</v>
          </cell>
          <cell r="D36" t="e">
            <v>#REF!</v>
          </cell>
          <cell r="E36" t="str">
            <v>Zvi V &amp; Co Company</v>
          </cell>
          <cell r="F36" t="str">
            <v>חברת צבי ו. ושות' בע"מ</v>
          </cell>
          <cell r="G36" t="str">
            <v>I</v>
          </cell>
          <cell r="I36">
            <v>500000</v>
          </cell>
          <cell r="J36">
            <v>6.8378553848835967E-3</v>
          </cell>
          <cell r="K36">
            <v>9353.3134149823127</v>
          </cell>
          <cell r="L36">
            <v>93214.517358271638</v>
          </cell>
          <cell r="M36">
            <v>102567.83077325395</v>
          </cell>
          <cell r="O36">
            <v>0</v>
          </cell>
          <cell r="R36">
            <v>0</v>
          </cell>
          <cell r="S36" t="str">
            <v>V</v>
          </cell>
          <cell r="T36">
            <v>0</v>
          </cell>
          <cell r="U36">
            <v>102568</v>
          </cell>
          <cell r="V36" t="str">
            <v>#REF!</v>
          </cell>
          <cell r="W36" t="str">
            <v>#REF!</v>
          </cell>
          <cell r="X36" t="str">
            <v>#REF!</v>
          </cell>
          <cell r="Y36" t="str">
            <v>#REF!</v>
          </cell>
          <cell r="Z36" t="str">
            <v>#REF!</v>
          </cell>
          <cell r="AA36" t="e">
            <v>#REF!</v>
          </cell>
          <cell r="AB36">
            <v>102567.83077325395</v>
          </cell>
          <cell r="AC36">
            <v>0</v>
          </cell>
          <cell r="AD36">
            <v>102568</v>
          </cell>
          <cell r="AL36">
            <v>215.39279999999999</v>
          </cell>
          <cell r="AM36">
            <v>215.39279999999999</v>
          </cell>
          <cell r="AN36">
            <v>35</v>
          </cell>
          <cell r="AQ36">
            <v>39194.587066152773</v>
          </cell>
          <cell r="AR36">
            <v>63373.243707101181</v>
          </cell>
        </row>
        <row r="37">
          <cell r="A37" t="str">
            <v>8160-01-137</v>
          </cell>
          <cell r="B37" t="str">
            <v>ADIPAZ Israel Gold Jewllery LTD</v>
          </cell>
          <cell r="C37">
            <v>510606643</v>
          </cell>
          <cell r="D37" t="e">
            <v>#REF!</v>
          </cell>
          <cell r="E37" t="str">
            <v>ADIPAZ Israel Gold Jewllery LTD</v>
          </cell>
          <cell r="F37" t="str">
            <v>עדיפז תכשיטי זהב בישראל בע"מ</v>
          </cell>
          <cell r="G37" t="str">
            <v>I</v>
          </cell>
          <cell r="I37">
            <v>500000</v>
          </cell>
          <cell r="J37">
            <v>6.8378553848835967E-3</v>
          </cell>
          <cell r="K37">
            <v>9353.3134149823127</v>
          </cell>
          <cell r="L37">
            <v>93214.517358271638</v>
          </cell>
          <cell r="M37">
            <v>102567.83077325395</v>
          </cell>
          <cell r="O37">
            <v>0</v>
          </cell>
          <cell r="R37">
            <v>0</v>
          </cell>
          <cell r="S37" t="str">
            <v>V</v>
          </cell>
          <cell r="T37">
            <v>0</v>
          </cell>
          <cell r="U37">
            <v>102568</v>
          </cell>
          <cell r="V37" t="str">
            <v>#REF!</v>
          </cell>
          <cell r="W37" t="str">
            <v>#REF!</v>
          </cell>
          <cell r="X37" t="str">
            <v>#REF!</v>
          </cell>
          <cell r="Y37" t="str">
            <v>#REF!</v>
          </cell>
          <cell r="Z37" t="str">
            <v>#REF!</v>
          </cell>
          <cell r="AA37" t="e">
            <v>#REF!</v>
          </cell>
          <cell r="AB37">
            <v>102567.83077325395</v>
          </cell>
          <cell r="AC37">
            <v>0</v>
          </cell>
          <cell r="AD37">
            <v>102568</v>
          </cell>
          <cell r="AL37">
            <v>215.39279999999999</v>
          </cell>
          <cell r="AM37">
            <v>215.39279999999999</v>
          </cell>
          <cell r="AN37">
            <v>35</v>
          </cell>
          <cell r="AQ37">
            <v>39194.587066152773</v>
          </cell>
          <cell r="AR37">
            <v>63373.243707101181</v>
          </cell>
        </row>
        <row r="38">
          <cell r="A38" t="str">
            <v>8160-01-138</v>
          </cell>
          <cell r="B38" t="str">
            <v>E. Itzhaki Building &amp; Investments Co. Ltd</v>
          </cell>
          <cell r="C38" t="str">
            <v>510-063-647</v>
          </cell>
          <cell r="D38" t="e">
            <v>#REF!</v>
          </cell>
          <cell r="E38" t="str">
            <v>E. Itzhaki Building &amp; Investments Co. Ltd</v>
          </cell>
          <cell r="F38" t="str">
            <v>א יצחקי חברה לבנין והשקעות בע"מ</v>
          </cell>
          <cell r="G38" t="str">
            <v>I</v>
          </cell>
          <cell r="I38">
            <v>500000</v>
          </cell>
          <cell r="J38">
            <v>6.8378553848835967E-3</v>
          </cell>
          <cell r="K38">
            <v>9353.3134149823127</v>
          </cell>
          <cell r="L38">
            <v>93214.517358271638</v>
          </cell>
          <cell r="M38">
            <v>102567.83077325395</v>
          </cell>
          <cell r="O38">
            <v>0</v>
          </cell>
          <cell r="R38">
            <v>0</v>
          </cell>
          <cell r="S38" t="str">
            <v>V</v>
          </cell>
          <cell r="T38">
            <v>0</v>
          </cell>
          <cell r="U38">
            <v>102568</v>
          </cell>
          <cell r="V38" t="str">
            <v>#REF!</v>
          </cell>
          <cell r="W38" t="str">
            <v>#REF!</v>
          </cell>
          <cell r="X38" t="str">
            <v>#REF!</v>
          </cell>
          <cell r="Y38" t="str">
            <v>#REF!</v>
          </cell>
          <cell r="Z38" t="str">
            <v>#REF!</v>
          </cell>
          <cell r="AA38" t="e">
            <v>#REF!</v>
          </cell>
          <cell r="AB38">
            <v>102567.83077325395</v>
          </cell>
          <cell r="AC38">
            <v>0</v>
          </cell>
          <cell r="AD38">
            <v>102568</v>
          </cell>
          <cell r="AL38">
            <v>215.39279999999999</v>
          </cell>
          <cell r="AM38">
            <v>215.39279999999999</v>
          </cell>
          <cell r="AN38">
            <v>35</v>
          </cell>
          <cell r="AQ38">
            <v>39194.587066152773</v>
          </cell>
          <cell r="AR38">
            <v>63373.243707101181</v>
          </cell>
        </row>
        <row r="39">
          <cell r="A39" t="str">
            <v>8160-01-139</v>
          </cell>
          <cell r="B39" t="str">
            <v>Tamar Marash</v>
          </cell>
          <cell r="C39" t="str">
            <v>UTR 5882338352</v>
          </cell>
          <cell r="D39" t="e">
            <v>#REF!</v>
          </cell>
          <cell r="F39" t="str">
            <v>תמר מרש</v>
          </cell>
          <cell r="G39" t="str">
            <v>I</v>
          </cell>
          <cell r="I39">
            <v>400000</v>
          </cell>
          <cell r="J39">
            <v>5.4702843079068777E-3</v>
          </cell>
          <cell r="K39">
            <v>7482.6507319858501</v>
          </cell>
          <cell r="L39">
            <v>74571.613886617313</v>
          </cell>
          <cell r="M39">
            <v>82054.264618603163</v>
          </cell>
          <cell r="N39">
            <v>1870.6626829964625</v>
          </cell>
          <cell r="O39">
            <v>0</v>
          </cell>
          <cell r="P39">
            <v>0</v>
          </cell>
          <cell r="Q39">
            <v>1870.6626829964625</v>
          </cell>
          <cell r="R39">
            <v>1870.6626829964625</v>
          </cell>
          <cell r="S39" t="str">
            <v>X</v>
          </cell>
          <cell r="U39">
            <v>80184</v>
          </cell>
          <cell r="V39" t="str">
            <v>#REF!</v>
          </cell>
          <cell r="W39" t="str">
            <v>#REF!</v>
          </cell>
          <cell r="X39" t="str">
            <v>#REF!</v>
          </cell>
          <cell r="Y39" t="str">
            <v>#REF!</v>
          </cell>
          <cell r="Z39" t="str">
            <v>#REF!</v>
          </cell>
          <cell r="AA39" t="e">
            <v>#REF!</v>
          </cell>
          <cell r="AB39">
            <v>82054.264618603163</v>
          </cell>
          <cell r="AC39">
            <v>1870.6626829964625</v>
          </cell>
          <cell r="AD39">
            <v>80184</v>
          </cell>
          <cell r="AL39">
            <v>168.38639999999998</v>
          </cell>
          <cell r="AM39">
            <v>168.38639999999998</v>
          </cell>
          <cell r="AN39">
            <v>35</v>
          </cell>
          <cell r="AQ39">
            <v>31355.669652922224</v>
          </cell>
          <cell r="AR39">
            <v>50698.594965680939</v>
          </cell>
        </row>
        <row r="40">
          <cell r="A40" t="str">
            <v>8160-01-140</v>
          </cell>
          <cell r="B40" t="str">
            <v>DO-TSACH LTD</v>
          </cell>
          <cell r="C40">
            <v>513229104</v>
          </cell>
          <cell r="D40" t="e">
            <v>#REF!</v>
          </cell>
          <cell r="E40" t="str">
            <v>DO-TSACH LTD</v>
          </cell>
          <cell r="F40" t="str">
            <v>דו - צח בע"מ</v>
          </cell>
          <cell r="G40" t="str">
            <v>I</v>
          </cell>
          <cell r="I40">
            <v>250000</v>
          </cell>
          <cell r="J40">
            <v>3.4189276924417983E-3</v>
          </cell>
          <cell r="K40">
            <v>4676.6567074911563</v>
          </cell>
          <cell r="L40">
            <v>46607.258679135819</v>
          </cell>
          <cell r="M40">
            <v>51283.915386626977</v>
          </cell>
          <cell r="O40">
            <v>0</v>
          </cell>
          <cell r="R40">
            <v>0</v>
          </cell>
          <cell r="S40" t="str">
            <v>V</v>
          </cell>
          <cell r="T40">
            <v>0</v>
          </cell>
          <cell r="U40">
            <v>51284</v>
          </cell>
          <cell r="V40" t="str">
            <v>#REF!</v>
          </cell>
          <cell r="W40" t="str">
            <v>#REF!</v>
          </cell>
          <cell r="X40" t="str">
            <v>#REF!</v>
          </cell>
          <cell r="Y40" t="str">
            <v>#REF!</v>
          </cell>
          <cell r="Z40" t="str">
            <v>#REF!</v>
          </cell>
          <cell r="AA40" t="e">
            <v>#REF!</v>
          </cell>
          <cell r="AB40">
            <v>51283.915386626977</v>
          </cell>
          <cell r="AC40">
            <v>0</v>
          </cell>
          <cell r="AD40">
            <v>51284</v>
          </cell>
          <cell r="AL40">
            <v>107.6964</v>
          </cell>
          <cell r="AM40">
            <v>107.6964</v>
          </cell>
          <cell r="AN40">
            <v>35</v>
          </cell>
          <cell r="AQ40">
            <v>19597.293533076387</v>
          </cell>
          <cell r="AR40">
            <v>31686.62185355059</v>
          </cell>
        </row>
        <row r="41">
          <cell r="A41" t="str">
            <v>8160-01-141</v>
          </cell>
          <cell r="B41" t="str">
            <v>Zohar Rapaport</v>
          </cell>
          <cell r="C41" t="str">
            <v>024945867</v>
          </cell>
          <cell r="D41" t="e">
            <v>#REF!</v>
          </cell>
          <cell r="F41" t="str">
            <v>זוהר רפפורט</v>
          </cell>
          <cell r="G41" t="str">
            <v>I</v>
          </cell>
          <cell r="I41">
            <v>300000</v>
          </cell>
          <cell r="J41">
            <v>4.1027132309301578E-3</v>
          </cell>
          <cell r="K41">
            <v>5611.9880489893867</v>
          </cell>
          <cell r="L41">
            <v>55928.710414962974</v>
          </cell>
          <cell r="M41">
            <v>61540.698463952358</v>
          </cell>
          <cell r="N41">
            <v>1402.9970122473467</v>
          </cell>
          <cell r="O41">
            <v>0</v>
          </cell>
          <cell r="P41">
            <v>0</v>
          </cell>
          <cell r="Q41">
            <v>1402.9970122473467</v>
          </cell>
          <cell r="R41">
            <v>1402.9970122473467</v>
          </cell>
          <cell r="S41" t="str">
            <v>X</v>
          </cell>
          <cell r="U41">
            <v>60138</v>
          </cell>
          <cell r="V41" t="str">
            <v>#REF!</v>
          </cell>
          <cell r="W41" t="str">
            <v>#REF!</v>
          </cell>
          <cell r="X41" t="str">
            <v>#REF!</v>
          </cell>
          <cell r="Y41" t="str">
            <v>#REF!</v>
          </cell>
          <cell r="Z41" t="str">
            <v>#REF!</v>
          </cell>
          <cell r="AA41" t="e">
            <v>#REF!</v>
          </cell>
          <cell r="AB41">
            <v>61540.698463952358</v>
          </cell>
          <cell r="AC41">
            <v>1402.9970122473467</v>
          </cell>
          <cell r="AD41">
            <v>60138</v>
          </cell>
          <cell r="AL41">
            <v>126.28979999999999</v>
          </cell>
          <cell r="AM41">
            <v>126.28979999999999</v>
          </cell>
          <cell r="AN41">
            <v>35</v>
          </cell>
          <cell r="AQ41">
            <v>23516.752239691665</v>
          </cell>
          <cell r="AR41">
            <v>38023.946224260697</v>
          </cell>
        </row>
        <row r="42">
          <cell r="A42" t="str">
            <v>8160-01-142</v>
          </cell>
          <cell r="B42" t="str">
            <v>Shmuel Bezalel</v>
          </cell>
          <cell r="C42" t="str">
            <v>032170169</v>
          </cell>
          <cell r="D42" t="e">
            <v>#REF!</v>
          </cell>
          <cell r="F42" t="str">
            <v>שמואל בצלאל</v>
          </cell>
          <cell r="G42" t="str">
            <v>I</v>
          </cell>
          <cell r="I42">
            <v>250000</v>
          </cell>
          <cell r="J42">
            <v>3.4189276924417983E-3</v>
          </cell>
          <cell r="K42">
            <v>4676.6567074911563</v>
          </cell>
          <cell r="L42">
            <v>46607.258679135819</v>
          </cell>
          <cell r="M42">
            <v>51283.915386626977</v>
          </cell>
          <cell r="N42">
            <v>1169.1641768727891</v>
          </cell>
          <cell r="O42">
            <v>0</v>
          </cell>
          <cell r="P42">
            <v>0</v>
          </cell>
          <cell r="Q42">
            <v>1169.1641768727891</v>
          </cell>
          <cell r="R42">
            <v>1169.1641768727891</v>
          </cell>
          <cell r="S42" t="str">
            <v>X</v>
          </cell>
          <cell r="U42">
            <v>50115</v>
          </cell>
          <cell r="V42" t="str">
            <v>#REF!</v>
          </cell>
          <cell r="W42" t="str">
            <v>#REF!</v>
          </cell>
          <cell r="X42" t="str">
            <v>#REF!</v>
          </cell>
          <cell r="Y42" t="str">
            <v>#REF!</v>
          </cell>
          <cell r="Z42" t="str">
            <v>#REF!</v>
          </cell>
          <cell r="AA42" t="e">
            <v>#REF!</v>
          </cell>
          <cell r="AB42">
            <v>51283.915386626977</v>
          </cell>
          <cell r="AC42">
            <v>1169.1641768727891</v>
          </cell>
          <cell r="AD42">
            <v>50115</v>
          </cell>
          <cell r="AL42">
            <v>105.24149999999999</v>
          </cell>
          <cell r="AM42">
            <v>105.24149999999999</v>
          </cell>
          <cell r="AN42">
            <v>35</v>
          </cell>
          <cell r="AQ42">
            <v>19597.293533076387</v>
          </cell>
          <cell r="AR42">
            <v>31686.62185355059</v>
          </cell>
        </row>
        <row r="43">
          <cell r="A43" t="str">
            <v>8160-01-143</v>
          </cell>
          <cell r="B43" t="str">
            <v>Yosi Buena</v>
          </cell>
          <cell r="C43" t="str">
            <v>030582126</v>
          </cell>
          <cell r="D43" t="e">
            <v>#REF!</v>
          </cell>
          <cell r="F43" t="str">
            <v>יוסף בואנו</v>
          </cell>
          <cell r="G43" t="str">
            <v>I</v>
          </cell>
          <cell r="H43" t="str">
            <v>Phoenix</v>
          </cell>
          <cell r="I43">
            <v>330000</v>
          </cell>
          <cell r="J43">
            <v>4.512984554023174E-3</v>
          </cell>
          <cell r="K43">
            <v>6173.1868538883264</v>
          </cell>
          <cell r="L43">
            <v>61521.58145645928</v>
          </cell>
          <cell r="M43">
            <v>67694.768310347601</v>
          </cell>
          <cell r="O43">
            <v>0</v>
          </cell>
          <cell r="R43">
            <v>0</v>
          </cell>
          <cell r="S43" t="str">
            <v>IRA</v>
          </cell>
          <cell r="T43">
            <v>0</v>
          </cell>
          <cell r="U43">
            <v>67695</v>
          </cell>
          <cell r="V43" t="str">
            <v>#REF!</v>
          </cell>
          <cell r="W43" t="str">
            <v>#REF!</v>
          </cell>
          <cell r="X43" t="str">
            <v>#REF!</v>
          </cell>
          <cell r="Y43" t="str">
            <v>#REF!</v>
          </cell>
          <cell r="Z43" t="str">
            <v>#REF!</v>
          </cell>
          <cell r="AA43" t="e">
            <v>#REF!</v>
          </cell>
          <cell r="AB43">
            <v>67694.768310347601</v>
          </cell>
          <cell r="AC43">
            <v>0</v>
          </cell>
          <cell r="AD43">
            <v>67695</v>
          </cell>
          <cell r="AL43">
            <v>142.15949999999998</v>
          </cell>
          <cell r="AM43">
            <v>142.15949999999998</v>
          </cell>
          <cell r="AN43">
            <v>35</v>
          </cell>
          <cell r="AQ43">
            <v>25868.427463660832</v>
          </cell>
          <cell r="AR43">
            <v>41826.34084668677</v>
          </cell>
        </row>
        <row r="44">
          <cell r="A44" t="str">
            <v>8160-01-144</v>
          </cell>
          <cell r="B44" t="str">
            <v>Avi Barman</v>
          </cell>
          <cell r="C44" t="str">
            <v>055588800</v>
          </cell>
          <cell r="D44" t="e">
            <v>#REF!</v>
          </cell>
          <cell r="F44" t="str">
            <v>אברהם ברמן</v>
          </cell>
          <cell r="G44" t="str">
            <v>I</v>
          </cell>
          <cell r="H44" t="str">
            <v>Meitav</v>
          </cell>
          <cell r="I44">
            <v>250000</v>
          </cell>
          <cell r="J44">
            <v>3.4189276924417983E-3</v>
          </cell>
          <cell r="K44">
            <v>4676.6567074911563</v>
          </cell>
          <cell r="L44">
            <v>46607.258679135819</v>
          </cell>
          <cell r="M44">
            <v>51283.915386626977</v>
          </cell>
          <cell r="O44">
            <v>0</v>
          </cell>
          <cell r="R44">
            <v>0</v>
          </cell>
          <cell r="S44" t="str">
            <v>IRA</v>
          </cell>
          <cell r="T44">
            <v>0</v>
          </cell>
          <cell r="U44">
            <v>51284</v>
          </cell>
          <cell r="V44" t="str">
            <v>#REF!</v>
          </cell>
          <cell r="W44" t="str">
            <v>#REF!</v>
          </cell>
          <cell r="X44" t="str">
            <v>#REF!</v>
          </cell>
          <cell r="Y44" t="str">
            <v>#REF!</v>
          </cell>
          <cell r="Z44" t="str">
            <v>#REF!</v>
          </cell>
          <cell r="AA44" t="e">
            <v>#REF!</v>
          </cell>
          <cell r="AB44">
            <v>51283.915386626977</v>
          </cell>
          <cell r="AC44">
            <v>0</v>
          </cell>
          <cell r="AD44">
            <v>51284</v>
          </cell>
          <cell r="AL44">
            <v>107.6964</v>
          </cell>
          <cell r="AM44">
            <v>107.6964</v>
          </cell>
          <cell r="AN44">
            <v>35</v>
          </cell>
          <cell r="AQ44">
            <v>19597.293533076387</v>
          </cell>
          <cell r="AR44">
            <v>31686.62185355059</v>
          </cell>
        </row>
        <row r="45">
          <cell r="A45" t="str">
            <v>8160-01-145</v>
          </cell>
          <cell r="B45" t="str">
            <v>Avigur Zmora</v>
          </cell>
          <cell r="C45" t="str">
            <v>025371055</v>
          </cell>
          <cell r="D45" t="e">
            <v>#REF!</v>
          </cell>
          <cell r="F45" t="str">
            <v>אביגור זמורה</v>
          </cell>
          <cell r="G45" t="str">
            <v>I</v>
          </cell>
          <cell r="H45" t="str">
            <v>Meitav</v>
          </cell>
          <cell r="I45">
            <v>283718</v>
          </cell>
          <cell r="J45">
            <v>3.8800453081768087E-3</v>
          </cell>
          <cell r="K45">
            <v>5307.4067509439037</v>
          </cell>
          <cell r="L45">
            <v>52893.272871708221</v>
          </cell>
          <cell r="M45">
            <v>58200.679622652126</v>
          </cell>
          <cell r="O45">
            <v>0</v>
          </cell>
          <cell r="R45">
            <v>0</v>
          </cell>
          <cell r="S45" t="str">
            <v>IRA</v>
          </cell>
          <cell r="T45">
            <v>0</v>
          </cell>
          <cell r="U45">
            <v>58201</v>
          </cell>
          <cell r="V45" t="str">
            <v>#REF!</v>
          </cell>
          <cell r="W45" t="str">
            <v>#REF!</v>
          </cell>
          <cell r="X45" t="str">
            <v>#REF!</v>
          </cell>
          <cell r="Y45" t="str">
            <v>#REF!</v>
          </cell>
          <cell r="Z45" t="str">
            <v>#REF!</v>
          </cell>
          <cell r="AA45" t="e">
            <v>#REF!</v>
          </cell>
          <cell r="AB45">
            <v>58200.679622652126</v>
          </cell>
          <cell r="AC45">
            <v>0</v>
          </cell>
          <cell r="AD45">
            <v>58201</v>
          </cell>
          <cell r="AL45">
            <v>122.2221</v>
          </cell>
          <cell r="AM45">
            <v>122.2221</v>
          </cell>
          <cell r="AN45">
            <v>35</v>
          </cell>
          <cell r="AQ45">
            <v>22240.419706469467</v>
          </cell>
          <cell r="AR45">
            <v>35960.259916182658</v>
          </cell>
        </row>
        <row r="46">
          <cell r="A46" t="str">
            <v>8160-01-146</v>
          </cell>
          <cell r="B46" t="str">
            <v>Danielle Porat</v>
          </cell>
          <cell r="C46" t="str">
            <v>050468131</v>
          </cell>
          <cell r="D46" t="e">
            <v>#REF!</v>
          </cell>
          <cell r="F46" t="str">
            <v>דניאל פורת</v>
          </cell>
          <cell r="G46" t="str">
            <v>I</v>
          </cell>
          <cell r="H46" t="str">
            <v>Meitav</v>
          </cell>
          <cell r="I46">
            <v>250000</v>
          </cell>
          <cell r="J46">
            <v>3.4189276924417983E-3</v>
          </cell>
          <cell r="K46">
            <v>4676.6567074911563</v>
          </cell>
          <cell r="L46">
            <v>46607.258679135819</v>
          </cell>
          <cell r="M46">
            <v>51283.915386626977</v>
          </cell>
          <cell r="O46">
            <v>0</v>
          </cell>
          <cell r="R46">
            <v>0</v>
          </cell>
          <cell r="S46" t="str">
            <v>IRA</v>
          </cell>
          <cell r="T46">
            <v>0</v>
          </cell>
          <cell r="U46">
            <v>51284</v>
          </cell>
          <cell r="V46" t="str">
            <v>#REF!</v>
          </cell>
          <cell r="W46" t="str">
            <v>#REF!</v>
          </cell>
          <cell r="X46" t="str">
            <v>#REF!</v>
          </cell>
          <cell r="Y46" t="str">
            <v>#REF!</v>
          </cell>
          <cell r="Z46" t="str">
            <v>#REF!</v>
          </cell>
          <cell r="AA46" t="e">
            <v>#REF!</v>
          </cell>
          <cell r="AB46">
            <v>51283.915386626977</v>
          </cell>
          <cell r="AC46">
            <v>0</v>
          </cell>
          <cell r="AD46">
            <v>51284</v>
          </cell>
          <cell r="AL46">
            <v>107.6964</v>
          </cell>
          <cell r="AM46">
            <v>107.6964</v>
          </cell>
          <cell r="AN46">
            <v>35</v>
          </cell>
          <cell r="AQ46">
            <v>19597.293533076387</v>
          </cell>
          <cell r="AR46">
            <v>31686.62185355059</v>
          </cell>
        </row>
        <row r="47">
          <cell r="A47" t="str">
            <v>8160-01-147</v>
          </cell>
          <cell r="B47" t="str">
            <v>Ilan Raviv</v>
          </cell>
          <cell r="C47" t="str">
            <v>068493931</v>
          </cell>
          <cell r="D47" t="e">
            <v>#REF!</v>
          </cell>
          <cell r="F47" t="str">
            <v>אילן רביב</v>
          </cell>
          <cell r="G47" t="str">
            <v>I</v>
          </cell>
          <cell r="H47" t="str">
            <v>Meitav</v>
          </cell>
          <cell r="I47">
            <v>320000</v>
          </cell>
          <cell r="J47">
            <v>4.3762274463255016E-3</v>
          </cell>
          <cell r="K47">
            <v>5986.1205855886792</v>
          </cell>
          <cell r="L47">
            <v>59657.291109293838</v>
          </cell>
          <cell r="M47">
            <v>65643.41169488251</v>
          </cell>
          <cell r="O47">
            <v>0</v>
          </cell>
          <cell r="R47">
            <v>0</v>
          </cell>
          <cell r="S47" t="str">
            <v>IRA</v>
          </cell>
          <cell r="T47">
            <v>0</v>
          </cell>
          <cell r="U47">
            <v>65643</v>
          </cell>
          <cell r="V47" t="str">
            <v>#REF!</v>
          </cell>
          <cell r="W47" t="str">
            <v>#REF!</v>
          </cell>
          <cell r="X47" t="str">
            <v>#REF!</v>
          </cell>
          <cell r="Y47" t="str">
            <v>#REF!</v>
          </cell>
          <cell r="Z47" t="str">
            <v>#REF!</v>
          </cell>
          <cell r="AA47" t="e">
            <v>#REF!</v>
          </cell>
          <cell r="AB47">
            <v>65643.41169488251</v>
          </cell>
          <cell r="AC47">
            <v>0</v>
          </cell>
          <cell r="AD47">
            <v>65643</v>
          </cell>
          <cell r="AL47">
            <v>137.8503</v>
          </cell>
          <cell r="AM47">
            <v>137.8503</v>
          </cell>
          <cell r="AN47">
            <v>35</v>
          </cell>
          <cell r="AQ47">
            <v>25084.535722337776</v>
          </cell>
          <cell r="AR47">
            <v>40558.875972544731</v>
          </cell>
        </row>
        <row r="48">
          <cell r="A48" t="str">
            <v>8160-01-148</v>
          </cell>
          <cell r="B48" t="str">
            <v>Natan Bigon</v>
          </cell>
          <cell r="C48" t="str">
            <v>065042640</v>
          </cell>
          <cell r="D48" t="e">
            <v>#REF!</v>
          </cell>
          <cell r="F48" t="str">
            <v>נתן ביגון</v>
          </cell>
          <cell r="G48" t="str">
            <v>I</v>
          </cell>
          <cell r="H48" t="str">
            <v>Meitav</v>
          </cell>
          <cell r="I48">
            <v>250000</v>
          </cell>
          <cell r="J48">
            <v>3.4189276924417983E-3</v>
          </cell>
          <cell r="K48">
            <v>4676.6567074911563</v>
          </cell>
          <cell r="L48">
            <v>46607.258679135819</v>
          </cell>
          <cell r="M48">
            <v>51283.915386626977</v>
          </cell>
          <cell r="O48">
            <v>0</v>
          </cell>
          <cell r="R48">
            <v>0</v>
          </cell>
          <cell r="S48" t="str">
            <v>IRA</v>
          </cell>
          <cell r="T48">
            <v>0</v>
          </cell>
          <cell r="U48">
            <v>51284</v>
          </cell>
          <cell r="V48" t="str">
            <v>#REF!</v>
          </cell>
          <cell r="W48" t="str">
            <v>#REF!</v>
          </cell>
          <cell r="X48" t="str">
            <v>#REF!</v>
          </cell>
          <cell r="Y48" t="str">
            <v>#REF!</v>
          </cell>
          <cell r="Z48" t="str">
            <v>#REF!</v>
          </cell>
          <cell r="AA48" t="e">
            <v>#REF!</v>
          </cell>
          <cell r="AB48">
            <v>51283.915386626977</v>
          </cell>
          <cell r="AC48">
            <v>0</v>
          </cell>
          <cell r="AD48">
            <v>51284</v>
          </cell>
          <cell r="AL48">
            <v>107.6964</v>
          </cell>
          <cell r="AM48">
            <v>107.6964</v>
          </cell>
          <cell r="AN48">
            <v>35</v>
          </cell>
          <cell r="AQ48">
            <v>19597.293533076387</v>
          </cell>
          <cell r="AR48">
            <v>31686.62185355059</v>
          </cell>
        </row>
        <row r="49">
          <cell r="A49" t="str">
            <v>8160-01-149</v>
          </cell>
          <cell r="B49" t="str">
            <v>Shlomo Binyamin</v>
          </cell>
          <cell r="C49" t="str">
            <v>015125008</v>
          </cell>
          <cell r="D49" t="e">
            <v>#REF!</v>
          </cell>
          <cell r="F49" t="str">
            <v>סילביה בנימין</v>
          </cell>
          <cell r="G49" t="str">
            <v>I</v>
          </cell>
          <cell r="H49" t="str">
            <v>Meitav</v>
          </cell>
          <cell r="I49">
            <v>250000</v>
          </cell>
          <cell r="J49">
            <v>3.4189276924417983E-3</v>
          </cell>
          <cell r="K49">
            <v>4676.6567074911563</v>
          </cell>
          <cell r="L49">
            <v>46607.258679135819</v>
          </cell>
          <cell r="M49">
            <v>51283.915386626977</v>
          </cell>
          <cell r="O49">
            <v>0</v>
          </cell>
          <cell r="R49">
            <v>0</v>
          </cell>
          <cell r="S49" t="str">
            <v>IRA</v>
          </cell>
          <cell r="T49">
            <v>0</v>
          </cell>
          <cell r="U49">
            <v>51284</v>
          </cell>
          <cell r="V49" t="str">
            <v>#REF!</v>
          </cell>
          <cell r="W49" t="str">
            <v>#REF!</v>
          </cell>
          <cell r="X49" t="str">
            <v>#REF!</v>
          </cell>
          <cell r="Y49" t="str">
            <v>#REF!</v>
          </cell>
          <cell r="Z49" t="str">
            <v>#REF!</v>
          </cell>
          <cell r="AA49" t="e">
            <v>#REF!</v>
          </cell>
          <cell r="AB49">
            <v>51283.915386626977</v>
          </cell>
          <cell r="AC49">
            <v>0</v>
          </cell>
          <cell r="AD49">
            <v>51284</v>
          </cell>
          <cell r="AL49">
            <v>107.6964</v>
          </cell>
          <cell r="AM49">
            <v>107.6964</v>
          </cell>
          <cell r="AN49">
            <v>35</v>
          </cell>
          <cell r="AQ49">
            <v>19597.293533076387</v>
          </cell>
          <cell r="AR49">
            <v>31686.62185355059</v>
          </cell>
        </row>
        <row r="50">
          <cell r="A50" t="str">
            <v>8160-01-150</v>
          </cell>
          <cell r="B50" t="str">
            <v>Aharon Shamir</v>
          </cell>
          <cell r="C50" t="str">
            <v>051292720</v>
          </cell>
          <cell r="D50" t="e">
            <v>#REF!</v>
          </cell>
          <cell r="F50" t="str">
            <v>אהרון שמיר</v>
          </cell>
          <cell r="G50" t="str">
            <v>I</v>
          </cell>
          <cell r="H50" t="str">
            <v>Meitav</v>
          </cell>
          <cell r="I50">
            <v>250000</v>
          </cell>
          <cell r="J50">
            <v>3.4189276924417983E-3</v>
          </cell>
          <cell r="K50">
            <v>4676.6567074911563</v>
          </cell>
          <cell r="L50">
            <v>46607.258679135819</v>
          </cell>
          <cell r="M50">
            <v>51283.915386626977</v>
          </cell>
          <cell r="O50">
            <v>0</v>
          </cell>
          <cell r="R50">
            <v>0</v>
          </cell>
          <cell r="S50" t="str">
            <v>IRA</v>
          </cell>
          <cell r="T50">
            <v>0</v>
          </cell>
          <cell r="U50">
            <v>51284</v>
          </cell>
          <cell r="V50" t="str">
            <v>#REF!</v>
          </cell>
          <cell r="W50" t="str">
            <v>#REF!</v>
          </cell>
          <cell r="X50" t="str">
            <v>#REF!</v>
          </cell>
          <cell r="Y50" t="str">
            <v>#REF!</v>
          </cell>
          <cell r="Z50" t="str">
            <v>#REF!</v>
          </cell>
          <cell r="AA50" t="e">
            <v>#REF!</v>
          </cell>
          <cell r="AB50">
            <v>51283.915386626977</v>
          </cell>
          <cell r="AC50">
            <v>0</v>
          </cell>
          <cell r="AD50">
            <v>51284</v>
          </cell>
          <cell r="AL50">
            <v>107.6964</v>
          </cell>
          <cell r="AM50">
            <v>107.6964</v>
          </cell>
          <cell r="AN50">
            <v>35</v>
          </cell>
          <cell r="AQ50">
            <v>19597.293533076387</v>
          </cell>
          <cell r="AR50">
            <v>31686.62185355059</v>
          </cell>
        </row>
        <row r="51">
          <cell r="A51" t="str">
            <v>8160-01-151</v>
          </cell>
          <cell r="B51" t="str">
            <v>Amiram (Michaela) Vardi</v>
          </cell>
          <cell r="C51" t="str">
            <v>057184038</v>
          </cell>
          <cell r="D51" t="e">
            <v>#REF!</v>
          </cell>
          <cell r="F51" t="str">
            <v>ורדי מיכאלה</v>
          </cell>
          <cell r="G51" t="str">
            <v>I</v>
          </cell>
          <cell r="H51" t="str">
            <v>Meitav</v>
          </cell>
          <cell r="I51">
            <v>250000</v>
          </cell>
          <cell r="J51">
            <v>3.4189276924417983E-3</v>
          </cell>
          <cell r="K51">
            <v>4676.6567074911563</v>
          </cell>
          <cell r="L51">
            <v>46607.258679135819</v>
          </cell>
          <cell r="M51">
            <v>51283.915386626977</v>
          </cell>
          <cell r="O51">
            <v>0</v>
          </cell>
          <cell r="R51">
            <v>0</v>
          </cell>
          <cell r="S51" t="str">
            <v>IRA</v>
          </cell>
          <cell r="T51">
            <v>0</v>
          </cell>
          <cell r="U51">
            <v>51284</v>
          </cell>
          <cell r="V51" t="str">
            <v>#REF!</v>
          </cell>
          <cell r="W51" t="str">
            <v>#REF!</v>
          </cell>
          <cell r="X51" t="str">
            <v>#REF!</v>
          </cell>
          <cell r="Y51" t="str">
            <v>#REF!</v>
          </cell>
          <cell r="Z51" t="str">
            <v>#REF!</v>
          </cell>
          <cell r="AA51" t="e">
            <v>#REF!</v>
          </cell>
          <cell r="AB51">
            <v>51283.915386626977</v>
          </cell>
          <cell r="AC51">
            <v>0</v>
          </cell>
          <cell r="AD51">
            <v>51284</v>
          </cell>
          <cell r="AL51">
            <v>107.6964</v>
          </cell>
          <cell r="AM51">
            <v>107.6964</v>
          </cell>
          <cell r="AN51">
            <v>35</v>
          </cell>
          <cell r="AQ51">
            <v>19597.293533076387</v>
          </cell>
          <cell r="AR51">
            <v>31686.62185355059</v>
          </cell>
        </row>
        <row r="52">
          <cell r="A52" t="str">
            <v>8160-01-152</v>
          </cell>
          <cell r="B52" t="str">
            <v>Eli Heiselbach</v>
          </cell>
          <cell r="C52" t="str">
            <v>057070971</v>
          </cell>
          <cell r="D52" t="e">
            <v>#REF!</v>
          </cell>
          <cell r="F52" t="str">
            <v>אליעזר היזלבק</v>
          </cell>
          <cell r="G52" t="str">
            <v>I</v>
          </cell>
          <cell r="H52" t="str">
            <v>Meitav</v>
          </cell>
          <cell r="I52">
            <v>350000</v>
          </cell>
          <cell r="J52">
            <v>4.7864987694185178E-3</v>
          </cell>
          <cell r="K52">
            <v>6547.3193904876189</v>
          </cell>
          <cell r="L52">
            <v>65250.162150790144</v>
          </cell>
          <cell r="M52">
            <v>71797.481541277768</v>
          </cell>
          <cell r="O52">
            <v>0</v>
          </cell>
          <cell r="R52">
            <v>0</v>
          </cell>
          <cell r="S52" t="str">
            <v>IRA</v>
          </cell>
          <cell r="T52">
            <v>0</v>
          </cell>
          <cell r="U52">
            <v>71797</v>
          </cell>
          <cell r="V52" t="str">
            <v>#REF!</v>
          </cell>
          <cell r="W52" t="str">
            <v>#REF!</v>
          </cell>
          <cell r="X52" t="str">
            <v>#REF!</v>
          </cell>
          <cell r="Y52" t="str">
            <v>#REF!</v>
          </cell>
          <cell r="Z52" t="str">
            <v>#REF!</v>
          </cell>
          <cell r="AA52" t="e">
            <v>#REF!</v>
          </cell>
          <cell r="AB52">
            <v>71797.481541277768</v>
          </cell>
          <cell r="AC52">
            <v>0</v>
          </cell>
          <cell r="AD52">
            <v>71797</v>
          </cell>
          <cell r="AL52">
            <v>150.77369999999999</v>
          </cell>
          <cell r="AM52">
            <v>150.77369999999999</v>
          </cell>
          <cell r="AN52">
            <v>35</v>
          </cell>
          <cell r="AQ52">
            <v>27436.210946306943</v>
          </cell>
          <cell r="AR52">
            <v>44361.270594970825</v>
          </cell>
        </row>
        <row r="53">
          <cell r="A53" t="str">
            <v>8160-01-153</v>
          </cell>
          <cell r="B53" t="str">
            <v>Gal Toren</v>
          </cell>
          <cell r="C53" t="str">
            <v>053410270</v>
          </cell>
          <cell r="D53" t="e">
            <v>#REF!</v>
          </cell>
          <cell r="F53" t="str">
            <v>גל יוסף תורן</v>
          </cell>
          <cell r="G53" t="str">
            <v>I</v>
          </cell>
          <cell r="H53" t="str">
            <v>Meitav</v>
          </cell>
          <cell r="I53">
            <v>270000</v>
          </cell>
          <cell r="J53">
            <v>3.6924419078371421E-3</v>
          </cell>
          <cell r="K53">
            <v>5050.7892440904488</v>
          </cell>
          <cell r="L53">
            <v>50335.839373466682</v>
          </cell>
          <cell r="M53">
            <v>55386.628617557129</v>
          </cell>
          <cell r="O53">
            <v>0</v>
          </cell>
          <cell r="R53">
            <v>0</v>
          </cell>
          <cell r="S53" t="str">
            <v>IRA</v>
          </cell>
          <cell r="T53">
            <v>0</v>
          </cell>
          <cell r="U53">
            <v>55387</v>
          </cell>
          <cell r="V53" t="str">
            <v>#REF!</v>
          </cell>
          <cell r="W53" t="str">
            <v>#REF!</v>
          </cell>
          <cell r="X53" t="str">
            <v>#REF!</v>
          </cell>
          <cell r="Y53" t="str">
            <v>#REF!</v>
          </cell>
          <cell r="Z53" t="str">
            <v>#REF!</v>
          </cell>
          <cell r="AA53" t="e">
            <v>#REF!</v>
          </cell>
          <cell r="AB53">
            <v>55386.628617557129</v>
          </cell>
          <cell r="AC53">
            <v>0</v>
          </cell>
          <cell r="AD53">
            <v>55387</v>
          </cell>
          <cell r="AL53">
            <v>116.31269999999999</v>
          </cell>
          <cell r="AM53">
            <v>116.31269999999999</v>
          </cell>
          <cell r="AN53">
            <v>35</v>
          </cell>
          <cell r="AQ53">
            <v>21165.077015722498</v>
          </cell>
          <cell r="AR53">
            <v>34221.551601834632</v>
          </cell>
        </row>
        <row r="54">
          <cell r="A54" t="str">
            <v>8160-01-154</v>
          </cell>
          <cell r="B54" t="str">
            <v>Oren Hadar</v>
          </cell>
          <cell r="C54" t="str">
            <v>029495389</v>
          </cell>
          <cell r="D54" t="e">
            <v>#REF!</v>
          </cell>
          <cell r="F54" t="str">
            <v>אורן יהונדב הדר</v>
          </cell>
          <cell r="G54" t="str">
            <v>I</v>
          </cell>
          <cell r="H54" t="str">
            <v>Meitav</v>
          </cell>
          <cell r="I54">
            <v>330000</v>
          </cell>
          <cell r="J54">
            <v>4.512984554023174E-3</v>
          </cell>
          <cell r="K54">
            <v>6173.1868538883264</v>
          </cell>
          <cell r="L54">
            <v>61521.58145645928</v>
          </cell>
          <cell r="M54">
            <v>67694.768310347601</v>
          </cell>
          <cell r="O54">
            <v>0</v>
          </cell>
          <cell r="R54">
            <v>0</v>
          </cell>
          <cell r="S54" t="str">
            <v>IRA</v>
          </cell>
          <cell r="T54">
            <v>0</v>
          </cell>
          <cell r="U54">
            <v>67695</v>
          </cell>
          <cell r="V54" t="str">
            <v>#REF!</v>
          </cell>
          <cell r="W54" t="str">
            <v>#REF!</v>
          </cell>
          <cell r="X54" t="str">
            <v>#REF!</v>
          </cell>
          <cell r="Y54" t="str">
            <v>#REF!</v>
          </cell>
          <cell r="Z54" t="str">
            <v>#REF!</v>
          </cell>
          <cell r="AA54" t="e">
            <v>#REF!</v>
          </cell>
          <cell r="AB54">
            <v>67694.768310347601</v>
          </cell>
          <cell r="AC54">
            <v>0</v>
          </cell>
          <cell r="AD54">
            <v>67695</v>
          </cell>
          <cell r="AL54">
            <v>142.15949999999998</v>
          </cell>
          <cell r="AM54">
            <v>142.15949999999998</v>
          </cell>
          <cell r="AN54">
            <v>35</v>
          </cell>
          <cell r="AQ54">
            <v>25868.427463660832</v>
          </cell>
          <cell r="AR54">
            <v>41826.34084668677</v>
          </cell>
        </row>
        <row r="55">
          <cell r="A55" t="str">
            <v>8160-01-155</v>
          </cell>
          <cell r="B55" t="str">
            <v>Shmuel Heiselbach</v>
          </cell>
          <cell r="C55" t="str">
            <v>022801732</v>
          </cell>
          <cell r="D55" t="e">
            <v>#REF!</v>
          </cell>
          <cell r="F55" t="str">
            <v>שמואל היזלבק</v>
          </cell>
          <cell r="G55" t="str">
            <v>I</v>
          </cell>
          <cell r="H55" t="str">
            <v>Meitav</v>
          </cell>
          <cell r="I55">
            <v>350000</v>
          </cell>
          <cell r="J55">
            <v>4.7864987694185178E-3</v>
          </cell>
          <cell r="K55">
            <v>6547.3193904876189</v>
          </cell>
          <cell r="L55">
            <v>65250.162150790144</v>
          </cell>
          <cell r="M55">
            <v>71797.481541277768</v>
          </cell>
          <cell r="O55">
            <v>0</v>
          </cell>
          <cell r="R55">
            <v>0</v>
          </cell>
          <cell r="S55" t="str">
            <v>IRA</v>
          </cell>
          <cell r="T55">
            <v>0</v>
          </cell>
          <cell r="U55">
            <v>71797</v>
          </cell>
          <cell r="V55" t="str">
            <v>#REF!</v>
          </cell>
          <cell r="W55" t="str">
            <v>#REF!</v>
          </cell>
          <cell r="X55" t="str">
            <v>#REF!</v>
          </cell>
          <cell r="Y55" t="str">
            <v>#REF!</v>
          </cell>
          <cell r="Z55" t="str">
            <v>#REF!</v>
          </cell>
          <cell r="AA55" t="e">
            <v>#REF!</v>
          </cell>
          <cell r="AB55">
            <v>71797.481541277768</v>
          </cell>
          <cell r="AC55">
            <v>0</v>
          </cell>
          <cell r="AD55">
            <v>71797</v>
          </cell>
          <cell r="AL55">
            <v>150.77369999999999</v>
          </cell>
          <cell r="AM55">
            <v>150.77369999999999</v>
          </cell>
          <cell r="AN55">
            <v>35</v>
          </cell>
          <cell r="AQ55">
            <v>27436.210946306943</v>
          </cell>
          <cell r="AR55">
            <v>44361.270594970825</v>
          </cell>
        </row>
        <row r="56">
          <cell r="A56" t="str">
            <v>8160-01-157</v>
          </cell>
          <cell r="B56" t="str">
            <v>Gili Yohanany</v>
          </cell>
          <cell r="C56" t="str">
            <v>054175021</v>
          </cell>
          <cell r="D56" t="e">
            <v>#REF!</v>
          </cell>
          <cell r="F56" t="str">
            <v>גילי יוחנני</v>
          </cell>
          <cell r="G56" t="str">
            <v>I</v>
          </cell>
          <cell r="H56" t="str">
            <v>Meitav</v>
          </cell>
          <cell r="I56">
            <v>200000</v>
          </cell>
          <cell r="J56">
            <v>2.7351421539534388E-3</v>
          </cell>
          <cell r="K56">
            <v>3741.3253659929251</v>
          </cell>
          <cell r="L56">
            <v>37285.806943308657</v>
          </cell>
          <cell r="M56">
            <v>41027.132309301582</v>
          </cell>
          <cell r="O56">
            <v>0</v>
          </cell>
          <cell r="R56">
            <v>0</v>
          </cell>
          <cell r="S56" t="str">
            <v>IRA</v>
          </cell>
          <cell r="T56">
            <v>0</v>
          </cell>
          <cell r="U56">
            <v>41027</v>
          </cell>
          <cell r="V56" t="str">
            <v>#REF!</v>
          </cell>
          <cell r="W56" t="str">
            <v>#REF!</v>
          </cell>
          <cell r="X56" t="str">
            <v>#REF!</v>
          </cell>
          <cell r="Y56" t="str">
            <v>#REF!</v>
          </cell>
          <cell r="Z56" t="str">
            <v>#REF!</v>
          </cell>
          <cell r="AA56" t="e">
            <v>#REF!</v>
          </cell>
          <cell r="AB56">
            <v>41027.132309301582</v>
          </cell>
          <cell r="AC56">
            <v>0</v>
          </cell>
          <cell r="AD56">
            <v>41027</v>
          </cell>
          <cell r="AL56">
            <v>86.156700000000001</v>
          </cell>
          <cell r="AM56">
            <v>86.156700000000001</v>
          </cell>
          <cell r="AN56">
            <v>35</v>
          </cell>
          <cell r="AQ56">
            <v>15677.834826461112</v>
          </cell>
          <cell r="AR56">
            <v>25349.297482840469</v>
          </cell>
        </row>
        <row r="57">
          <cell r="A57" t="str">
            <v>8160-01-158</v>
          </cell>
          <cell r="B57" t="str">
            <v>Alon Reshef</v>
          </cell>
          <cell r="C57" t="str">
            <v>057069510</v>
          </cell>
          <cell r="D57" t="e">
            <v>#REF!</v>
          </cell>
          <cell r="F57" t="str">
            <v>אלון רשף</v>
          </cell>
          <cell r="G57" t="str">
            <v>I</v>
          </cell>
          <cell r="H57" t="str">
            <v>Meitav</v>
          </cell>
          <cell r="I57">
            <v>300000</v>
          </cell>
          <cell r="J57">
            <v>4.1027132309301578E-3</v>
          </cell>
          <cell r="K57">
            <v>5611.9880489893867</v>
          </cell>
          <cell r="L57">
            <v>55928.710414962974</v>
          </cell>
          <cell r="M57">
            <v>61540.698463952358</v>
          </cell>
          <cell r="O57">
            <v>0</v>
          </cell>
          <cell r="R57">
            <v>0</v>
          </cell>
          <cell r="S57" t="str">
            <v>IRA</v>
          </cell>
          <cell r="T57">
            <v>0</v>
          </cell>
          <cell r="U57">
            <v>61541</v>
          </cell>
          <cell r="V57" t="str">
            <v>#REF!</v>
          </cell>
          <cell r="W57" t="str">
            <v>#REF!</v>
          </cell>
          <cell r="X57" t="str">
            <v>#REF!</v>
          </cell>
          <cell r="Y57" t="str">
            <v>#REF!</v>
          </cell>
          <cell r="Z57" t="str">
            <v>#REF!</v>
          </cell>
          <cell r="AA57" t="e">
            <v>#REF!</v>
          </cell>
          <cell r="AB57">
            <v>61540.698463952358</v>
          </cell>
          <cell r="AC57">
            <v>0</v>
          </cell>
          <cell r="AD57">
            <v>61541</v>
          </cell>
          <cell r="AL57">
            <v>129.23609999999999</v>
          </cell>
          <cell r="AM57">
            <v>129.23609999999999</v>
          </cell>
          <cell r="AN57">
            <v>35</v>
          </cell>
          <cell r="AQ57">
            <v>23516.752239691665</v>
          </cell>
          <cell r="AR57">
            <v>38023.946224260697</v>
          </cell>
        </row>
        <row r="58">
          <cell r="A58" t="str">
            <v>8160-01-159</v>
          </cell>
          <cell r="B58" t="str">
            <v>Dan Kampel</v>
          </cell>
          <cell r="C58" t="str">
            <v>050596741</v>
          </cell>
          <cell r="D58" t="e">
            <v>#REF!</v>
          </cell>
          <cell r="F58" t="str">
            <v>דן שמואל קמפל</v>
          </cell>
          <cell r="G58" t="str">
            <v>I</v>
          </cell>
          <cell r="H58" t="str">
            <v>Meitav</v>
          </cell>
          <cell r="I58">
            <v>250000</v>
          </cell>
          <cell r="J58">
            <v>3.4189276924417983E-3</v>
          </cell>
          <cell r="K58">
            <v>4676.6567074911563</v>
          </cell>
          <cell r="L58">
            <v>46607.258679135819</v>
          </cell>
          <cell r="M58">
            <v>51283.915386626977</v>
          </cell>
          <cell r="O58">
            <v>0</v>
          </cell>
          <cell r="R58">
            <v>0</v>
          </cell>
          <cell r="S58" t="str">
            <v>IRA</v>
          </cell>
          <cell r="T58">
            <v>0</v>
          </cell>
          <cell r="U58">
            <v>51284</v>
          </cell>
          <cell r="V58" t="str">
            <v>#REF!</v>
          </cell>
          <cell r="W58" t="str">
            <v>#REF!</v>
          </cell>
          <cell r="X58" t="str">
            <v>#REF!</v>
          </cell>
          <cell r="Y58" t="str">
            <v>#REF!</v>
          </cell>
          <cell r="Z58" t="str">
            <v>#REF!</v>
          </cell>
          <cell r="AA58" t="e">
            <v>#REF!</v>
          </cell>
          <cell r="AB58">
            <v>51283.915386626977</v>
          </cell>
          <cell r="AC58">
            <v>0</v>
          </cell>
          <cell r="AD58">
            <v>51284</v>
          </cell>
          <cell r="AL58">
            <v>107.6964</v>
          </cell>
          <cell r="AM58">
            <v>107.6964</v>
          </cell>
          <cell r="AN58">
            <v>35</v>
          </cell>
          <cell r="AQ58">
            <v>19597.293533076387</v>
          </cell>
          <cell r="AR58">
            <v>31686.62185355059</v>
          </cell>
        </row>
        <row r="59">
          <cell r="A59" t="str">
            <v>8160-01-160</v>
          </cell>
          <cell r="B59" t="str">
            <v>Dr. Aharon Roni &amp; Haya Bernstein</v>
          </cell>
          <cell r="C59" t="str">
            <v>065049207</v>
          </cell>
          <cell r="D59" t="e">
            <v>#REF!</v>
          </cell>
          <cell r="F59" t="str">
            <v>חיה בורנשטיין</v>
          </cell>
          <cell r="G59" t="str">
            <v>I</v>
          </cell>
          <cell r="H59" t="str">
            <v>Meitav</v>
          </cell>
          <cell r="I59">
            <v>250000</v>
          </cell>
          <cell r="J59">
            <v>3.4189276924417983E-3</v>
          </cell>
          <cell r="K59">
            <v>4676.6567074911563</v>
          </cell>
          <cell r="L59">
            <v>46607.258679135819</v>
          </cell>
          <cell r="M59">
            <v>51283.915386626977</v>
          </cell>
          <cell r="O59">
            <v>0</v>
          </cell>
          <cell r="R59">
            <v>0</v>
          </cell>
          <cell r="S59" t="str">
            <v>IRA</v>
          </cell>
          <cell r="T59">
            <v>0</v>
          </cell>
          <cell r="U59">
            <v>51284</v>
          </cell>
          <cell r="V59" t="str">
            <v>#REF!</v>
          </cell>
          <cell r="W59" t="str">
            <v>#REF!</v>
          </cell>
          <cell r="X59" t="str">
            <v>#REF!</v>
          </cell>
          <cell r="Y59" t="str">
            <v>#REF!</v>
          </cell>
          <cell r="Z59" t="str">
            <v>#REF!</v>
          </cell>
          <cell r="AA59" t="e">
            <v>#REF!</v>
          </cell>
          <cell r="AB59">
            <v>51283.915386626977</v>
          </cell>
          <cell r="AC59">
            <v>0</v>
          </cell>
          <cell r="AD59">
            <v>51284</v>
          </cell>
          <cell r="AL59">
            <v>107.6964</v>
          </cell>
          <cell r="AM59">
            <v>107.6964</v>
          </cell>
          <cell r="AN59">
            <v>35</v>
          </cell>
          <cell r="AQ59">
            <v>19597.293533076387</v>
          </cell>
          <cell r="AR59">
            <v>31686.62185355059</v>
          </cell>
        </row>
        <row r="60">
          <cell r="A60" t="str">
            <v>8160-01-161</v>
          </cell>
          <cell r="B60" t="str">
            <v>Zvi Stepak</v>
          </cell>
          <cell r="C60" t="str">
            <v>07957319</v>
          </cell>
          <cell r="D60" t="e">
            <v>#REF!</v>
          </cell>
          <cell r="F60" t="str">
            <v>צבי סטפק</v>
          </cell>
          <cell r="G60" t="str">
            <v>I</v>
          </cell>
          <cell r="H60" t="str">
            <v>Meitav</v>
          </cell>
          <cell r="I60">
            <v>250000</v>
          </cell>
          <cell r="J60">
            <v>3.4189276924417983E-3</v>
          </cell>
          <cell r="K60">
            <v>4676.6567074911563</v>
          </cell>
          <cell r="L60">
            <v>46607.258679135819</v>
          </cell>
          <cell r="M60">
            <v>51283.915386626977</v>
          </cell>
          <cell r="O60">
            <v>0</v>
          </cell>
          <cell r="R60">
            <v>0</v>
          </cell>
          <cell r="S60" t="str">
            <v>IRA</v>
          </cell>
          <cell r="T60">
            <v>0</v>
          </cell>
          <cell r="U60">
            <v>51284</v>
          </cell>
          <cell r="V60" t="str">
            <v>#REF!</v>
          </cell>
          <cell r="W60" t="str">
            <v>#REF!</v>
          </cell>
          <cell r="X60" t="str">
            <v>#REF!</v>
          </cell>
          <cell r="Y60" t="str">
            <v>#REF!</v>
          </cell>
          <cell r="Z60" t="str">
            <v>#REF!</v>
          </cell>
          <cell r="AA60" t="e">
            <v>#REF!</v>
          </cell>
          <cell r="AB60">
            <v>51283.915386626977</v>
          </cell>
          <cell r="AC60">
            <v>0</v>
          </cell>
          <cell r="AD60">
            <v>51284</v>
          </cell>
          <cell r="AL60">
            <v>107.6964</v>
          </cell>
          <cell r="AM60">
            <v>107.6964</v>
          </cell>
          <cell r="AN60">
            <v>35</v>
          </cell>
          <cell r="AQ60">
            <v>19597.293533076387</v>
          </cell>
          <cell r="AR60">
            <v>31686.62185355059</v>
          </cell>
        </row>
        <row r="61">
          <cell r="A61" t="str">
            <v>8160-01-162</v>
          </cell>
          <cell r="B61" t="str">
            <v>Arie Huber</v>
          </cell>
          <cell r="C61" t="str">
            <v>051261535</v>
          </cell>
          <cell r="D61" t="e">
            <v>#REF!</v>
          </cell>
          <cell r="F61" t="str">
            <v>אריה הובר</v>
          </cell>
          <cell r="G61" t="str">
            <v>I</v>
          </cell>
          <cell r="H61" t="str">
            <v>Meitav</v>
          </cell>
          <cell r="I61">
            <v>250000</v>
          </cell>
          <cell r="J61">
            <v>3.4189276924417983E-3</v>
          </cell>
          <cell r="K61">
            <v>4676.6567074911563</v>
          </cell>
          <cell r="L61">
            <v>46607.258679135819</v>
          </cell>
          <cell r="M61">
            <v>51283.915386626977</v>
          </cell>
          <cell r="O61">
            <v>0</v>
          </cell>
          <cell r="R61">
            <v>0</v>
          </cell>
          <cell r="S61" t="str">
            <v>IRA</v>
          </cell>
          <cell r="T61">
            <v>0</v>
          </cell>
          <cell r="U61">
            <v>51284</v>
          </cell>
          <cell r="V61" t="str">
            <v>#REF!</v>
          </cell>
          <cell r="W61" t="str">
            <v>#REF!</v>
          </cell>
          <cell r="X61" t="str">
            <v>#REF!</v>
          </cell>
          <cell r="Y61" t="str">
            <v>#REF!</v>
          </cell>
          <cell r="Z61" t="str">
            <v>#REF!</v>
          </cell>
          <cell r="AA61" t="e">
            <v>#REF!</v>
          </cell>
          <cell r="AB61">
            <v>51283.915386626977</v>
          </cell>
          <cell r="AC61">
            <v>0</v>
          </cell>
          <cell r="AD61">
            <v>51284</v>
          </cell>
          <cell r="AL61">
            <v>107.6964</v>
          </cell>
          <cell r="AM61">
            <v>107.6964</v>
          </cell>
          <cell r="AN61">
            <v>35</v>
          </cell>
          <cell r="AQ61">
            <v>19597.293533076387</v>
          </cell>
          <cell r="AR61">
            <v>31686.62185355059</v>
          </cell>
        </row>
        <row r="62">
          <cell r="A62" t="str">
            <v>8160-01-163</v>
          </cell>
          <cell r="B62" t="str">
            <v>Ron Rymon</v>
          </cell>
          <cell r="C62" t="str">
            <v>058491093</v>
          </cell>
          <cell r="D62" t="e">
            <v>#REF!</v>
          </cell>
          <cell r="F62" t="str">
            <v>רון רימון</v>
          </cell>
          <cell r="G62" t="str">
            <v>I</v>
          </cell>
          <cell r="H62" t="str">
            <v>Phoenix</v>
          </cell>
          <cell r="I62">
            <v>250000</v>
          </cell>
          <cell r="J62">
            <v>3.4189276924417983E-3</v>
          </cell>
          <cell r="K62">
            <v>4676.6567074911563</v>
          </cell>
          <cell r="L62">
            <v>46607.258679135819</v>
          </cell>
          <cell r="M62">
            <v>51283.915386626977</v>
          </cell>
          <cell r="O62">
            <v>0</v>
          </cell>
          <cell r="R62">
            <v>0</v>
          </cell>
          <cell r="S62" t="str">
            <v>IRA</v>
          </cell>
          <cell r="T62">
            <v>0</v>
          </cell>
          <cell r="U62">
            <v>51284</v>
          </cell>
          <cell r="V62" t="str">
            <v>#REF!</v>
          </cell>
          <cell r="W62" t="str">
            <v>#REF!</v>
          </cell>
          <cell r="X62" t="str">
            <v>#REF!</v>
          </cell>
          <cell r="Y62" t="str">
            <v>#REF!</v>
          </cell>
          <cell r="Z62" t="str">
            <v>#REF!</v>
          </cell>
          <cell r="AA62" t="e">
            <v>#REF!</v>
          </cell>
          <cell r="AB62">
            <v>51283.915386626977</v>
          </cell>
          <cell r="AC62">
            <v>0</v>
          </cell>
          <cell r="AD62">
            <v>51284</v>
          </cell>
          <cell r="AL62">
            <v>107.6964</v>
          </cell>
          <cell r="AM62">
            <v>107.6964</v>
          </cell>
          <cell r="AN62">
            <v>35</v>
          </cell>
          <cell r="AQ62">
            <v>19597.293533076387</v>
          </cell>
          <cell r="AR62">
            <v>31686.62185355059</v>
          </cell>
        </row>
        <row r="63">
          <cell r="A63" t="str">
            <v>8160-01-164</v>
          </cell>
          <cell r="B63" t="str">
            <v>Ophir Shevach</v>
          </cell>
          <cell r="C63" t="str">
            <v>003078854</v>
          </cell>
          <cell r="D63" t="e">
            <v>#REF!</v>
          </cell>
          <cell r="F63" t="str">
            <v>אופיר שבח</v>
          </cell>
          <cell r="G63" t="str">
            <v>I</v>
          </cell>
          <cell r="H63" t="str">
            <v>Phoenix</v>
          </cell>
          <cell r="I63">
            <v>250000</v>
          </cell>
          <cell r="J63">
            <v>3.4189276924417983E-3</v>
          </cell>
          <cell r="K63">
            <v>4676.6567074911563</v>
          </cell>
          <cell r="L63">
            <v>46607.258679135819</v>
          </cell>
          <cell r="M63">
            <v>51283.915386626977</v>
          </cell>
          <cell r="O63">
            <v>0</v>
          </cell>
          <cell r="R63">
            <v>0</v>
          </cell>
          <cell r="S63" t="str">
            <v>IRA</v>
          </cell>
          <cell r="T63">
            <v>0</v>
          </cell>
          <cell r="U63">
            <v>51284</v>
          </cell>
          <cell r="V63" t="str">
            <v>#REF!</v>
          </cell>
          <cell r="W63" t="str">
            <v>#REF!</v>
          </cell>
          <cell r="X63" t="str">
            <v>#REF!</v>
          </cell>
          <cell r="Y63" t="str">
            <v>#REF!</v>
          </cell>
          <cell r="Z63" t="str">
            <v>#REF!</v>
          </cell>
          <cell r="AA63" t="e">
            <v>#REF!</v>
          </cell>
          <cell r="AB63">
            <v>51283.915386626977</v>
          </cell>
          <cell r="AC63">
            <v>0</v>
          </cell>
          <cell r="AD63">
            <v>51284</v>
          </cell>
          <cell r="AL63">
            <v>107.6964</v>
          </cell>
          <cell r="AM63">
            <v>107.6964</v>
          </cell>
          <cell r="AN63">
            <v>35</v>
          </cell>
          <cell r="AQ63">
            <v>19597.293533076387</v>
          </cell>
          <cell r="AR63">
            <v>31686.62185355059</v>
          </cell>
        </row>
        <row r="64">
          <cell r="A64" t="str">
            <v>8160-01-165</v>
          </cell>
          <cell r="B64" t="str">
            <v>Guy Eliav</v>
          </cell>
          <cell r="C64" t="str">
            <v>024609026</v>
          </cell>
          <cell r="D64" t="e">
            <v>#REF!</v>
          </cell>
          <cell r="F64" t="str">
            <v>גיא אלון אליאב</v>
          </cell>
          <cell r="G64" t="str">
            <v>I</v>
          </cell>
          <cell r="I64">
            <v>250000</v>
          </cell>
          <cell r="J64">
            <v>3.4189276924417983E-3</v>
          </cell>
          <cell r="K64">
            <v>4676.6567074911563</v>
          </cell>
          <cell r="L64">
            <v>46607.258679135819</v>
          </cell>
          <cell r="M64">
            <v>51283.915386626977</v>
          </cell>
          <cell r="N64">
            <v>1169.1641768727891</v>
          </cell>
          <cell r="O64">
            <v>0</v>
          </cell>
          <cell r="P64">
            <v>0</v>
          </cell>
          <cell r="Q64">
            <v>1169.1641768727891</v>
          </cell>
          <cell r="R64">
            <v>1169.1641768727891</v>
          </cell>
          <cell r="S64" t="str">
            <v>X</v>
          </cell>
          <cell r="U64">
            <v>50115</v>
          </cell>
          <cell r="V64" t="str">
            <v>#REF!</v>
          </cell>
          <cell r="W64" t="str">
            <v>#REF!</v>
          </cell>
          <cell r="X64" t="str">
            <v>#REF!</v>
          </cell>
          <cell r="Y64" t="str">
            <v>#REF!</v>
          </cell>
          <cell r="Z64" t="str">
            <v>#REF!</v>
          </cell>
          <cell r="AA64" t="e">
            <v>#REF!</v>
          </cell>
          <cell r="AB64">
            <v>51283.915386626977</v>
          </cell>
          <cell r="AC64">
            <v>1169.1641768727891</v>
          </cell>
          <cell r="AD64">
            <v>50115</v>
          </cell>
          <cell r="AL64">
            <v>105.24149999999999</v>
          </cell>
          <cell r="AM64">
            <v>105.24149999999999</v>
          </cell>
          <cell r="AN64">
            <v>35</v>
          </cell>
          <cell r="AQ64">
            <v>19597.293533076387</v>
          </cell>
          <cell r="AR64">
            <v>31686.62185355059</v>
          </cell>
        </row>
        <row r="65">
          <cell r="A65" t="str">
            <v>8160-01-166</v>
          </cell>
          <cell r="B65" t="str">
            <v>Ester Beck (Louis)</v>
          </cell>
          <cell r="C65" t="str">
            <v>017161142</v>
          </cell>
          <cell r="D65" t="e">
            <v>#REF!</v>
          </cell>
          <cell r="F65" t="str">
            <v>אסתר בורגר בק</v>
          </cell>
          <cell r="G65" t="str">
            <v>II</v>
          </cell>
          <cell r="I65">
            <v>250000</v>
          </cell>
          <cell r="J65">
            <v>3.4189276924417983E-3</v>
          </cell>
          <cell r="K65">
            <v>4676.6567074911563</v>
          </cell>
          <cell r="L65">
            <v>46607.258679135819</v>
          </cell>
          <cell r="M65">
            <v>51283.915386626977</v>
          </cell>
          <cell r="N65">
            <v>1169.1641768727891</v>
          </cell>
          <cell r="O65">
            <v>0</v>
          </cell>
          <cell r="P65">
            <v>0</v>
          </cell>
          <cell r="Q65">
            <v>1169.1641768727891</v>
          </cell>
          <cell r="R65">
            <v>1169.1641768727891</v>
          </cell>
          <cell r="S65" t="str">
            <v>X</v>
          </cell>
          <cell r="U65">
            <v>50115</v>
          </cell>
          <cell r="V65" t="str">
            <v>#REF!</v>
          </cell>
          <cell r="W65" t="str">
            <v>#REF!</v>
          </cell>
          <cell r="X65" t="str">
            <v>#REF!</v>
          </cell>
          <cell r="Y65" t="str">
            <v>#REF!</v>
          </cell>
          <cell r="Z65" t="str">
            <v>#REF!</v>
          </cell>
          <cell r="AA65" t="e">
            <v>#REF!</v>
          </cell>
          <cell r="AB65">
            <v>51283.915386626977</v>
          </cell>
          <cell r="AC65">
            <v>1169.1641768727891</v>
          </cell>
          <cell r="AD65">
            <v>50115</v>
          </cell>
          <cell r="AL65">
            <v>105.24149999999999</v>
          </cell>
          <cell r="AM65">
            <v>105.24149999999999</v>
          </cell>
          <cell r="AN65">
            <v>35</v>
          </cell>
          <cell r="AQ65">
            <v>19597.293533076387</v>
          </cell>
          <cell r="AR65">
            <v>31686.62185355059</v>
          </cell>
        </row>
        <row r="66">
          <cell r="A66" t="str">
            <v>8160-01-167</v>
          </cell>
          <cell r="B66" t="str">
            <v>Trico Fuchs Ltd.</v>
          </cell>
          <cell r="C66">
            <v>510621113</v>
          </cell>
          <cell r="D66" t="e">
            <v>#REF!</v>
          </cell>
          <cell r="E66" t="str">
            <v>Trico Fuchs Ltd.</v>
          </cell>
          <cell r="F66" t="str">
            <v>טריקו - פוקס בע"מ</v>
          </cell>
          <cell r="G66" t="str">
            <v>II</v>
          </cell>
          <cell r="I66">
            <v>750000</v>
          </cell>
          <cell r="J66">
            <v>1.0256783077325395E-2</v>
          </cell>
          <cell r="K66">
            <v>14029.970122473467</v>
          </cell>
          <cell r="L66">
            <v>139821.77603740743</v>
          </cell>
          <cell r="M66">
            <v>153851.74615988089</v>
          </cell>
          <cell r="O66">
            <v>0</v>
          </cell>
          <cell r="R66">
            <v>0</v>
          </cell>
          <cell r="S66" t="str">
            <v>V</v>
          </cell>
          <cell r="T66">
            <v>0</v>
          </cell>
          <cell r="U66">
            <v>153852</v>
          </cell>
          <cell r="V66" t="str">
            <v>#REF!</v>
          </cell>
          <cell r="W66" t="str">
            <v>#REF!</v>
          </cell>
          <cell r="X66" t="str">
            <v>#REF!</v>
          </cell>
          <cell r="Y66" t="str">
            <v>#REF!</v>
          </cell>
          <cell r="Z66" t="str">
            <v>#REF!</v>
          </cell>
          <cell r="AA66" t="e">
            <v>#REF!</v>
          </cell>
          <cell r="AB66">
            <v>153851.74615988089</v>
          </cell>
          <cell r="AC66">
            <v>0</v>
          </cell>
          <cell r="AD66">
            <v>153852</v>
          </cell>
          <cell r="AL66">
            <v>323.08920000000001</v>
          </cell>
          <cell r="AM66">
            <v>323.08920000000001</v>
          </cell>
          <cell r="AN66">
            <v>35</v>
          </cell>
          <cell r="AQ66">
            <v>58791.88059922916</v>
          </cell>
          <cell r="AR66">
            <v>95059.865560651728</v>
          </cell>
        </row>
        <row r="67">
          <cell r="A67" t="str">
            <v>8160-01-168</v>
          </cell>
          <cell r="B67" t="str">
            <v>Uzi Ziv</v>
          </cell>
          <cell r="C67" t="str">
            <v>057697351</v>
          </cell>
          <cell r="D67" t="e">
            <v>#REF!</v>
          </cell>
          <cell r="F67" t="str">
            <v>עוזי עזרא זיו</v>
          </cell>
          <cell r="G67" t="str">
            <v>II</v>
          </cell>
          <cell r="I67">
            <v>250000</v>
          </cell>
          <cell r="J67">
            <v>3.4189276924417983E-3</v>
          </cell>
          <cell r="K67">
            <v>4676.6567074911563</v>
          </cell>
          <cell r="L67">
            <v>46607.258679135819</v>
          </cell>
          <cell r="M67">
            <v>51283.915386626977</v>
          </cell>
          <cell r="N67">
            <v>1169.1641768727891</v>
          </cell>
          <cell r="O67">
            <v>0</v>
          </cell>
          <cell r="P67">
            <v>0</v>
          </cell>
          <cell r="Q67">
            <v>1169.1641768727891</v>
          </cell>
          <cell r="R67">
            <v>1169.1641768727891</v>
          </cell>
          <cell r="S67" t="str">
            <v>X</v>
          </cell>
          <cell r="U67">
            <v>50115</v>
          </cell>
          <cell r="V67" t="str">
            <v>#REF!</v>
          </cell>
          <cell r="W67" t="str">
            <v>#REF!</v>
          </cell>
          <cell r="X67" t="str">
            <v>#REF!</v>
          </cell>
          <cell r="Y67" t="str">
            <v>#REF!</v>
          </cell>
          <cell r="Z67" t="str">
            <v>#REF!</v>
          </cell>
          <cell r="AA67" t="e">
            <v>#REF!</v>
          </cell>
          <cell r="AB67">
            <v>51283.915386626977</v>
          </cell>
          <cell r="AC67">
            <v>1169.1641768727891</v>
          </cell>
          <cell r="AD67">
            <v>50115</v>
          </cell>
          <cell r="AL67">
            <v>105.24149999999999</v>
          </cell>
          <cell r="AM67">
            <v>105.24149999999999</v>
          </cell>
          <cell r="AN67">
            <v>35</v>
          </cell>
          <cell r="AQ67">
            <v>19597.293533076387</v>
          </cell>
          <cell r="AR67">
            <v>31686.62185355059</v>
          </cell>
        </row>
        <row r="68">
          <cell r="A68" t="str">
            <v>8160-01-169</v>
          </cell>
          <cell r="B68" t="str">
            <v>Michal (Yuval) Hatuka</v>
          </cell>
          <cell r="C68" t="str">
            <v>023749609</v>
          </cell>
          <cell r="D68" t="e">
            <v>#REF!</v>
          </cell>
          <cell r="F68" t="str">
            <v>מיכל שטרית חתוק</v>
          </cell>
          <cell r="G68" t="str">
            <v>II</v>
          </cell>
          <cell r="I68">
            <v>250000</v>
          </cell>
          <cell r="J68">
            <v>3.4189276924417983E-3</v>
          </cell>
          <cell r="K68">
            <v>4676.6567074911563</v>
          </cell>
          <cell r="L68">
            <v>46607.258679135819</v>
          </cell>
          <cell r="M68">
            <v>51283.915386626977</v>
          </cell>
          <cell r="N68">
            <v>1169.1641768727891</v>
          </cell>
          <cell r="O68">
            <v>0</v>
          </cell>
          <cell r="P68">
            <v>0</v>
          </cell>
          <cell r="Q68">
            <v>1169.1641768727891</v>
          </cell>
          <cell r="R68">
            <v>1169.1641768727891</v>
          </cell>
          <cell r="S68" t="str">
            <v>X</v>
          </cell>
          <cell r="U68">
            <v>50115</v>
          </cell>
          <cell r="V68" t="str">
            <v>#REF!</v>
          </cell>
          <cell r="W68" t="str">
            <v>#REF!</v>
          </cell>
          <cell r="X68" t="str">
            <v>#REF!</v>
          </cell>
          <cell r="Y68" t="str">
            <v>#REF!</v>
          </cell>
          <cell r="Z68" t="str">
            <v>#REF!</v>
          </cell>
          <cell r="AA68" t="e">
            <v>#REF!</v>
          </cell>
          <cell r="AB68">
            <v>51283.915386626977</v>
          </cell>
          <cell r="AC68">
            <v>1169.1641768727891</v>
          </cell>
          <cell r="AD68">
            <v>50115</v>
          </cell>
          <cell r="AL68">
            <v>105.24149999999999</v>
          </cell>
          <cell r="AM68">
            <v>105.24149999999999</v>
          </cell>
          <cell r="AN68">
            <v>35</v>
          </cell>
          <cell r="AQ68">
            <v>19597.293533076387</v>
          </cell>
          <cell r="AR68">
            <v>31686.62185355059</v>
          </cell>
        </row>
        <row r="69">
          <cell r="A69" t="str">
            <v>8160-01-170</v>
          </cell>
          <cell r="B69" t="str">
            <v>E Hasson LTD</v>
          </cell>
          <cell r="C69">
            <v>512041591</v>
          </cell>
          <cell r="D69" t="e">
            <v>#REF!</v>
          </cell>
          <cell r="E69" t="str">
            <v>E Hasson LTD</v>
          </cell>
          <cell r="F69" t="str">
            <v>אליהו חסון בע"מ</v>
          </cell>
          <cell r="G69" t="str">
            <v>II</v>
          </cell>
          <cell r="I69">
            <v>1000000</v>
          </cell>
          <cell r="J69">
            <v>1.3675710769767193E-2</v>
          </cell>
          <cell r="K69">
            <v>18706.626829964625</v>
          </cell>
          <cell r="L69">
            <v>186429.03471654328</v>
          </cell>
          <cell r="M69">
            <v>205135.66154650791</v>
          </cell>
          <cell r="O69">
            <v>0</v>
          </cell>
          <cell r="R69">
            <v>0</v>
          </cell>
          <cell r="S69" t="str">
            <v>V</v>
          </cell>
          <cell r="U69">
            <v>205136</v>
          </cell>
          <cell r="V69" t="str">
            <v>#REF!</v>
          </cell>
          <cell r="W69" t="str">
            <v>#REF!</v>
          </cell>
          <cell r="X69" t="str">
            <v>#REF!</v>
          </cell>
          <cell r="Y69" t="str">
            <v>#REF!</v>
          </cell>
          <cell r="Z69" t="str">
            <v>#REF!</v>
          </cell>
          <cell r="AA69" t="e">
            <v>#REF!</v>
          </cell>
          <cell r="AB69">
            <v>205135.66154650791</v>
          </cell>
          <cell r="AC69">
            <v>0</v>
          </cell>
          <cell r="AD69">
            <v>205136</v>
          </cell>
          <cell r="AL69">
            <v>430.78559999999999</v>
          </cell>
          <cell r="AM69">
            <v>430.78559999999999</v>
          </cell>
          <cell r="AN69">
            <v>35</v>
          </cell>
          <cell r="AQ69">
            <v>78389.174132305547</v>
          </cell>
          <cell r="AR69">
            <v>126746.48741420236</v>
          </cell>
        </row>
        <row r="70">
          <cell r="A70" t="str">
            <v>8160-01-171</v>
          </cell>
          <cell r="B70" t="str">
            <v>Yishai Fuchs</v>
          </cell>
          <cell r="C70" t="str">
            <v>040785750</v>
          </cell>
          <cell r="D70" t="e">
            <v>#REF!</v>
          </cell>
          <cell r="F70" t="str">
            <v>ישי פוקס</v>
          </cell>
          <cell r="G70" t="str">
            <v>II</v>
          </cell>
          <cell r="I70">
            <v>150000</v>
          </cell>
          <cell r="J70">
            <v>2.0513566154650789E-3</v>
          </cell>
          <cell r="K70">
            <v>2805.9940244946933</v>
          </cell>
          <cell r="L70">
            <v>27964.355207481487</v>
          </cell>
          <cell r="M70">
            <v>30770.349231976179</v>
          </cell>
          <cell r="N70">
            <v>701.49850612367334</v>
          </cell>
          <cell r="O70">
            <v>0</v>
          </cell>
          <cell r="P70">
            <v>0</v>
          </cell>
          <cell r="Q70">
            <v>701.49850612367334</v>
          </cell>
          <cell r="R70">
            <v>701.49850612367334</v>
          </cell>
          <cell r="S70" t="str">
            <v>X</v>
          </cell>
          <cell r="U70">
            <v>30069</v>
          </cell>
          <cell r="V70" t="str">
            <v>#REF!</v>
          </cell>
          <cell r="W70" t="str">
            <v>#REF!</v>
          </cell>
          <cell r="X70" t="str">
            <v>#REF!</v>
          </cell>
          <cell r="Y70" t="str">
            <v>#REF!</v>
          </cell>
          <cell r="Z70" t="str">
            <v>#REF!</v>
          </cell>
          <cell r="AA70" t="e">
            <v>#REF!</v>
          </cell>
          <cell r="AB70">
            <v>30770.349231976179</v>
          </cell>
          <cell r="AC70">
            <v>701.49850612367334</v>
          </cell>
          <cell r="AD70">
            <v>30069</v>
          </cell>
          <cell r="AL70">
            <v>63.144899999999993</v>
          </cell>
          <cell r="AM70">
            <v>63.144899999999993</v>
          </cell>
          <cell r="AN70">
            <v>35</v>
          </cell>
          <cell r="AQ70">
            <v>11758.376119845832</v>
          </cell>
          <cell r="AR70">
            <v>19011.973112130348</v>
          </cell>
        </row>
        <row r="71">
          <cell r="A71" t="str">
            <v>8160-01-172</v>
          </cell>
          <cell r="B71" t="str">
            <v>Ofer Jacobson</v>
          </cell>
          <cell r="C71" t="str">
            <v>057750606</v>
          </cell>
          <cell r="D71" t="e">
            <v>#REF!</v>
          </cell>
          <cell r="F71" t="str">
            <v>עופר יעקבזון</v>
          </cell>
          <cell r="G71" t="str">
            <v>II</v>
          </cell>
          <cell r="I71">
            <v>250000</v>
          </cell>
          <cell r="J71">
            <v>3.4189276924417983E-3</v>
          </cell>
          <cell r="K71">
            <v>4676.6567074911563</v>
          </cell>
          <cell r="L71">
            <v>46607.258679135819</v>
          </cell>
          <cell r="M71">
            <v>51283.915386626977</v>
          </cell>
          <cell r="N71">
            <v>1169.1641768727891</v>
          </cell>
          <cell r="O71">
            <v>0</v>
          </cell>
          <cell r="P71">
            <v>0</v>
          </cell>
          <cell r="Q71">
            <v>1169.1641768727891</v>
          </cell>
          <cell r="R71">
            <v>1169.1641768727891</v>
          </cell>
          <cell r="S71" t="str">
            <v>X</v>
          </cell>
          <cell r="U71">
            <v>50115</v>
          </cell>
          <cell r="V71" t="str">
            <v>#REF!</v>
          </cell>
          <cell r="W71" t="str">
            <v>#REF!</v>
          </cell>
          <cell r="X71" t="str">
            <v>#REF!</v>
          </cell>
          <cell r="Y71" t="str">
            <v>#REF!</v>
          </cell>
          <cell r="Z71" t="str">
            <v>#REF!</v>
          </cell>
          <cell r="AA71" t="e">
            <v>#REF!</v>
          </cell>
          <cell r="AB71">
            <v>51283.915386626977</v>
          </cell>
          <cell r="AC71">
            <v>1169.1641768727891</v>
          </cell>
          <cell r="AD71">
            <v>50115</v>
          </cell>
          <cell r="AL71">
            <v>105.24149999999999</v>
          </cell>
          <cell r="AM71">
            <v>105.24149999999999</v>
          </cell>
          <cell r="AN71">
            <v>35</v>
          </cell>
          <cell r="AQ71">
            <v>19597.293533076387</v>
          </cell>
          <cell r="AR71">
            <v>31686.62185355059</v>
          </cell>
        </row>
        <row r="72">
          <cell r="A72" t="str">
            <v>8160-01-173</v>
          </cell>
          <cell r="B72" t="str">
            <v>Oded Fuchs</v>
          </cell>
          <cell r="C72" t="str">
            <v>039301825</v>
          </cell>
          <cell r="D72" t="e">
            <v>#REF!</v>
          </cell>
          <cell r="F72" t="str">
            <v>עודד פוקס</v>
          </cell>
          <cell r="G72" t="str">
            <v>II</v>
          </cell>
          <cell r="I72">
            <v>150000</v>
          </cell>
          <cell r="J72">
            <v>2.0513566154650789E-3</v>
          </cell>
          <cell r="K72">
            <v>2805.9940244946933</v>
          </cell>
          <cell r="L72">
            <v>27964.355207481487</v>
          </cell>
          <cell r="M72">
            <v>30770.349231976179</v>
          </cell>
          <cell r="N72">
            <v>701.49850612367334</v>
          </cell>
          <cell r="O72">
            <v>0</v>
          </cell>
          <cell r="P72">
            <v>0</v>
          </cell>
          <cell r="Q72">
            <v>701.49850612367334</v>
          </cell>
          <cell r="R72">
            <v>701.49850612367334</v>
          </cell>
          <cell r="S72" t="str">
            <v>X</v>
          </cell>
          <cell r="U72">
            <v>30069</v>
          </cell>
          <cell r="V72" t="str">
            <v>#REF!</v>
          </cell>
          <cell r="W72" t="str">
            <v>#REF!</v>
          </cell>
          <cell r="X72" t="str">
            <v>#REF!</v>
          </cell>
          <cell r="Y72" t="str">
            <v>#REF!</v>
          </cell>
          <cell r="Z72" t="str">
            <v>#REF!</v>
          </cell>
          <cell r="AA72" t="e">
            <v>#REF!</v>
          </cell>
          <cell r="AB72">
            <v>30770.349231976179</v>
          </cell>
          <cell r="AC72">
            <v>701.49850612367334</v>
          </cell>
          <cell r="AD72">
            <v>30069</v>
          </cell>
          <cell r="AL72">
            <v>63.144899999999993</v>
          </cell>
          <cell r="AM72">
            <v>63.144899999999993</v>
          </cell>
          <cell r="AN72">
            <v>35</v>
          </cell>
          <cell r="AQ72">
            <v>11758.376119845832</v>
          </cell>
          <cell r="AR72">
            <v>19011.973112130348</v>
          </cell>
        </row>
        <row r="73">
          <cell r="A73" t="str">
            <v>8160-01-174</v>
          </cell>
          <cell r="B73" t="str">
            <v>Moshe Strumlaufer</v>
          </cell>
          <cell r="C73" t="str">
            <v>055710610</v>
          </cell>
          <cell r="D73" t="e">
            <v>#REF!</v>
          </cell>
          <cell r="F73" t="str">
            <v>משה שטורמלאופר</v>
          </cell>
          <cell r="G73" t="str">
            <v>II</v>
          </cell>
          <cell r="I73">
            <v>500000</v>
          </cell>
          <cell r="J73">
            <v>6.8378553848835967E-3</v>
          </cell>
          <cell r="K73">
            <v>9353.3134149823127</v>
          </cell>
          <cell r="L73">
            <v>93214.517358271638</v>
          </cell>
          <cell r="M73">
            <v>102567.83077325395</v>
          </cell>
          <cell r="N73">
            <v>2338.3283537455782</v>
          </cell>
          <cell r="O73">
            <v>0</v>
          </cell>
          <cell r="P73">
            <v>0</v>
          </cell>
          <cell r="Q73">
            <v>2338.3283537455782</v>
          </cell>
          <cell r="R73">
            <v>2338.3283537455782</v>
          </cell>
          <cell r="S73" t="str">
            <v>X</v>
          </cell>
          <cell r="U73">
            <v>100230</v>
          </cell>
          <cell r="V73" t="str">
            <v>#REF!</v>
          </cell>
          <cell r="W73" t="str">
            <v>#REF!</v>
          </cell>
          <cell r="X73" t="str">
            <v>#REF!</v>
          </cell>
          <cell r="Y73" t="str">
            <v>#REF!</v>
          </cell>
          <cell r="Z73" t="str">
            <v>#REF!</v>
          </cell>
          <cell r="AA73" t="e">
            <v>#REF!</v>
          </cell>
          <cell r="AB73">
            <v>102567.83077325395</v>
          </cell>
          <cell r="AC73">
            <v>2338.3283537455782</v>
          </cell>
          <cell r="AD73">
            <v>100230</v>
          </cell>
          <cell r="AL73">
            <v>210.48299999999998</v>
          </cell>
          <cell r="AM73">
            <v>210.48299999999998</v>
          </cell>
          <cell r="AN73">
            <v>35</v>
          </cell>
          <cell r="AQ73">
            <v>39194.587066152773</v>
          </cell>
          <cell r="AR73">
            <v>63373.243707101181</v>
          </cell>
        </row>
        <row r="74">
          <cell r="A74" t="str">
            <v>8160-01-175</v>
          </cell>
          <cell r="B74" t="str">
            <v>Vilnai Marketing Group LTD</v>
          </cell>
          <cell r="C74">
            <v>511973299</v>
          </cell>
          <cell r="D74" t="e">
            <v>#REF!</v>
          </cell>
          <cell r="E74" t="str">
            <v>Vilnai Marketing Group LTD</v>
          </cell>
          <cell r="F74" t="str">
            <v>קבוצת וילנאי לשיווק בע"מ</v>
          </cell>
          <cell r="G74" t="str">
            <v>II</v>
          </cell>
          <cell r="I74">
            <v>250000</v>
          </cell>
          <cell r="J74">
            <v>3.4189276924417983E-3</v>
          </cell>
          <cell r="K74">
            <v>4676.6567074911563</v>
          </cell>
          <cell r="L74">
            <v>46607.258679135819</v>
          </cell>
          <cell r="M74">
            <v>51283.915386626977</v>
          </cell>
          <cell r="O74">
            <v>0</v>
          </cell>
          <cell r="R74">
            <v>0</v>
          </cell>
          <cell r="S74" t="str">
            <v>V</v>
          </cell>
          <cell r="T74">
            <v>0</v>
          </cell>
          <cell r="U74">
            <v>51284</v>
          </cell>
          <cell r="V74" t="str">
            <v>#REF!</v>
          </cell>
          <cell r="W74" t="str">
            <v>#REF!</v>
          </cell>
          <cell r="X74" t="str">
            <v>#REF!</v>
          </cell>
          <cell r="Y74" t="str">
            <v>#REF!</v>
          </cell>
          <cell r="Z74" t="str">
            <v>#REF!</v>
          </cell>
          <cell r="AA74" t="e">
            <v>#REF!</v>
          </cell>
          <cell r="AB74">
            <v>51283.915386626977</v>
          </cell>
          <cell r="AC74">
            <v>0</v>
          </cell>
          <cell r="AD74">
            <v>51284</v>
          </cell>
          <cell r="AL74">
            <v>107.6964</v>
          </cell>
          <cell r="AM74">
            <v>107.6964</v>
          </cell>
          <cell r="AN74">
            <v>35</v>
          </cell>
          <cell r="AQ74">
            <v>19597.293533076387</v>
          </cell>
          <cell r="AR74">
            <v>31686.62185355059</v>
          </cell>
        </row>
        <row r="75">
          <cell r="A75" t="str">
            <v>8160-01-176</v>
          </cell>
          <cell r="B75" t="str">
            <v>Atlas Multi Fund L.P</v>
          </cell>
          <cell r="C75" t="str">
            <v>OG-90358</v>
          </cell>
          <cell r="D75" t="e">
            <v>#REF!</v>
          </cell>
          <cell r="E75" t="str">
            <v>Atlas Multi Fund L.P</v>
          </cell>
          <cell r="G75" t="str">
            <v>II</v>
          </cell>
          <cell r="I75">
            <v>3000000</v>
          </cell>
          <cell r="J75">
            <v>4.1027132309301578E-2</v>
          </cell>
          <cell r="K75">
            <v>56119.880489893869</v>
          </cell>
          <cell r="L75">
            <v>559287.10414962971</v>
          </cell>
          <cell r="M75">
            <v>615406.98463952355</v>
          </cell>
          <cell r="O75">
            <v>0</v>
          </cell>
          <cell r="R75">
            <v>0</v>
          </cell>
          <cell r="S75" t="str">
            <v>V</v>
          </cell>
          <cell r="U75">
            <v>615407</v>
          </cell>
          <cell r="V75" t="str">
            <v>#REF!</v>
          </cell>
          <cell r="W75" t="str">
            <v>#REF!</v>
          </cell>
          <cell r="X75" t="str">
            <v>#REF!</v>
          </cell>
          <cell r="Y75" t="str">
            <v>#REF!</v>
          </cell>
          <cell r="Z75" t="str">
            <v>#REF!</v>
          </cell>
          <cell r="AA75" t="e">
            <v>#REF!</v>
          </cell>
          <cell r="AB75">
            <v>615406.98463952355</v>
          </cell>
          <cell r="AC75">
            <v>0</v>
          </cell>
          <cell r="AD75">
            <v>615407</v>
          </cell>
          <cell r="AL75">
            <v>1292.3546999999999</v>
          </cell>
          <cell r="AM75">
            <v>1292.3546999999999</v>
          </cell>
          <cell r="AN75">
            <v>35</v>
          </cell>
          <cell r="AQ75">
            <v>235167.52239691664</v>
          </cell>
          <cell r="AR75">
            <v>380239.46224260691</v>
          </cell>
        </row>
        <row r="76">
          <cell r="A76" t="str">
            <v>8160-01-177</v>
          </cell>
          <cell r="B76" t="str">
            <v>Aviad Avni</v>
          </cell>
          <cell r="C76" t="str">
            <v>054973680</v>
          </cell>
          <cell r="D76" t="e">
            <v>#REF!</v>
          </cell>
          <cell r="F76" t="str">
            <v>אביעד יצחק אבני</v>
          </cell>
          <cell r="G76" t="str">
            <v>II</v>
          </cell>
          <cell r="H76" t="str">
            <v>Meitav</v>
          </cell>
          <cell r="I76">
            <v>250000</v>
          </cell>
          <cell r="J76">
            <v>3.4189276924417983E-3</v>
          </cell>
          <cell r="K76">
            <v>4676.6567074911563</v>
          </cell>
          <cell r="L76">
            <v>46607.258679135819</v>
          </cell>
          <cell r="M76">
            <v>51283.915386626977</v>
          </cell>
          <cell r="O76">
            <v>0</v>
          </cell>
          <cell r="R76">
            <v>0</v>
          </cell>
          <cell r="S76" t="str">
            <v>IRA</v>
          </cell>
          <cell r="T76">
            <v>0</v>
          </cell>
          <cell r="U76">
            <v>51284</v>
          </cell>
          <cell r="V76" t="str">
            <v>#REF!</v>
          </cell>
          <cell r="W76" t="str">
            <v>#REF!</v>
          </cell>
          <cell r="X76" t="str">
            <v>#REF!</v>
          </cell>
          <cell r="Y76" t="str">
            <v>#REF!</v>
          </cell>
          <cell r="Z76" t="str">
            <v>#REF!</v>
          </cell>
          <cell r="AA76" t="e">
            <v>#REF!</v>
          </cell>
          <cell r="AB76">
            <v>51283.915386626977</v>
          </cell>
          <cell r="AC76">
            <v>0</v>
          </cell>
          <cell r="AD76">
            <v>51284</v>
          </cell>
          <cell r="AL76">
            <v>107.6964</v>
          </cell>
          <cell r="AM76">
            <v>107.6964</v>
          </cell>
          <cell r="AN76">
            <v>35</v>
          </cell>
          <cell r="AQ76">
            <v>19597.293533076387</v>
          </cell>
          <cell r="AR76">
            <v>31686.62185355059</v>
          </cell>
        </row>
        <row r="77">
          <cell r="A77" t="str">
            <v>8160-01-178</v>
          </cell>
          <cell r="B77" t="str">
            <v>Ehud Aloni</v>
          </cell>
          <cell r="C77" t="str">
            <v>001450287</v>
          </cell>
          <cell r="D77" t="e">
            <v>#REF!</v>
          </cell>
          <cell r="F77" t="str">
            <v>אהוד אלוני</v>
          </cell>
          <cell r="G77" t="str">
            <v>II</v>
          </cell>
          <cell r="H77" t="str">
            <v>Meitav</v>
          </cell>
          <cell r="I77">
            <v>1250000</v>
          </cell>
          <cell r="J77">
            <v>1.7094638462208992E-2</v>
          </cell>
          <cell r="K77">
            <v>23383.28353745578</v>
          </cell>
          <cell r="L77">
            <v>233036.29339567909</v>
          </cell>
          <cell r="M77">
            <v>256419.57693313487</v>
          </cell>
          <cell r="O77">
            <v>0</v>
          </cell>
          <cell r="R77">
            <v>0</v>
          </cell>
          <cell r="S77" t="str">
            <v>IRA</v>
          </cell>
          <cell r="T77">
            <v>0</v>
          </cell>
          <cell r="U77">
            <v>256420</v>
          </cell>
          <cell r="V77" t="str">
            <v>#REF!</v>
          </cell>
          <cell r="W77" t="str">
            <v>#REF!</v>
          </cell>
          <cell r="X77" t="str">
            <v>#REF!</v>
          </cell>
          <cell r="Y77" t="str">
            <v>#REF!</v>
          </cell>
          <cell r="Z77" t="str">
            <v>#REF!</v>
          </cell>
          <cell r="AA77" t="e">
            <v>#REF!</v>
          </cell>
          <cell r="AB77">
            <v>256419.57693313487</v>
          </cell>
          <cell r="AC77">
            <v>0</v>
          </cell>
          <cell r="AD77">
            <v>256420</v>
          </cell>
          <cell r="AL77">
            <v>538.48199999999997</v>
          </cell>
          <cell r="AM77">
            <v>538.48199999999997</v>
          </cell>
          <cell r="AN77">
            <v>35</v>
          </cell>
          <cell r="AQ77">
            <v>97986.467665381948</v>
          </cell>
          <cell r="AR77">
            <v>158433.10926775291</v>
          </cell>
        </row>
        <row r="78">
          <cell r="A78" t="str">
            <v>8160-01-179</v>
          </cell>
          <cell r="B78" t="str">
            <v>Eyal Vardi</v>
          </cell>
          <cell r="C78" t="str">
            <v>055893275</v>
          </cell>
          <cell r="D78" t="e">
            <v>#REF!</v>
          </cell>
          <cell r="F78" t="str">
            <v>אייל ורדי</v>
          </cell>
          <cell r="G78" t="str">
            <v>II</v>
          </cell>
          <cell r="H78" t="str">
            <v>Meitav</v>
          </cell>
          <cell r="I78">
            <v>198602</v>
          </cell>
          <cell r="J78">
            <v>2.7160235102973041E-3</v>
          </cell>
          <cell r="K78">
            <v>3715.1735016846342</v>
          </cell>
          <cell r="L78">
            <v>37025.179152774923</v>
          </cell>
          <cell r="M78">
            <v>40740.352654459559</v>
          </cell>
          <cell r="O78">
            <v>0</v>
          </cell>
          <cell r="R78">
            <v>0</v>
          </cell>
          <cell r="S78" t="str">
            <v>IRA</v>
          </cell>
          <cell r="T78">
            <v>0</v>
          </cell>
          <cell r="U78">
            <v>40740</v>
          </cell>
          <cell r="V78" t="str">
            <v>#REF!</v>
          </cell>
          <cell r="W78" t="str">
            <v>#REF!</v>
          </cell>
          <cell r="X78" t="str">
            <v>#REF!</v>
          </cell>
          <cell r="Y78" t="str">
            <v>#REF!</v>
          </cell>
          <cell r="Z78" t="str">
            <v>#REF!</v>
          </cell>
          <cell r="AA78" t="e">
            <v>#REF!</v>
          </cell>
          <cell r="AB78">
            <v>40740.352654459559</v>
          </cell>
          <cell r="AC78">
            <v>0</v>
          </cell>
          <cell r="AD78">
            <v>40740</v>
          </cell>
          <cell r="AL78">
            <v>85.553999999999988</v>
          </cell>
          <cell r="AM78">
            <v>85.553999999999988</v>
          </cell>
          <cell r="AN78">
            <v>35</v>
          </cell>
          <cell r="AQ78">
            <v>15568.246761024147</v>
          </cell>
          <cell r="AR78">
            <v>25172.105893435411</v>
          </cell>
        </row>
        <row r="79">
          <cell r="A79" t="str">
            <v>8160-01-180</v>
          </cell>
          <cell r="B79" t="str">
            <v>Eli Katzav</v>
          </cell>
          <cell r="C79" t="str">
            <v>053370367</v>
          </cell>
          <cell r="D79" t="e">
            <v>#REF!</v>
          </cell>
          <cell r="F79" t="str">
            <v>אלי קצב</v>
          </cell>
          <cell r="G79" t="str">
            <v>II</v>
          </cell>
          <cell r="H79" t="str">
            <v>Meitav</v>
          </cell>
          <cell r="I79">
            <v>250000</v>
          </cell>
          <cell r="J79">
            <v>3.4189276924417983E-3</v>
          </cell>
          <cell r="K79">
            <v>4676.6567074911563</v>
          </cell>
          <cell r="L79">
            <v>46607.258679135819</v>
          </cell>
          <cell r="M79">
            <v>51283.915386626977</v>
          </cell>
          <cell r="O79">
            <v>0</v>
          </cell>
          <cell r="R79">
            <v>0</v>
          </cell>
          <cell r="S79" t="str">
            <v>IRA</v>
          </cell>
          <cell r="T79">
            <v>0</v>
          </cell>
          <cell r="U79">
            <v>51284</v>
          </cell>
          <cell r="V79" t="str">
            <v>#REF!</v>
          </cell>
          <cell r="W79" t="str">
            <v>#REF!</v>
          </cell>
          <cell r="X79" t="str">
            <v>#REF!</v>
          </cell>
          <cell r="Y79" t="str">
            <v>#REF!</v>
          </cell>
          <cell r="Z79" t="str">
            <v>#REF!</v>
          </cell>
          <cell r="AA79" t="e">
            <v>#REF!</v>
          </cell>
          <cell r="AB79">
            <v>51283.915386626977</v>
          </cell>
          <cell r="AC79">
            <v>0</v>
          </cell>
          <cell r="AD79">
            <v>51284</v>
          </cell>
          <cell r="AL79">
            <v>107.6964</v>
          </cell>
          <cell r="AM79">
            <v>107.6964</v>
          </cell>
          <cell r="AN79">
            <v>35</v>
          </cell>
          <cell r="AQ79">
            <v>19597.293533076387</v>
          </cell>
          <cell r="AR79">
            <v>31686.62185355059</v>
          </cell>
        </row>
        <row r="80">
          <cell r="A80" t="str">
            <v>8160-01-181</v>
          </cell>
          <cell r="B80" t="str">
            <v>Liora (Nachman) Manor</v>
          </cell>
          <cell r="C80" t="str">
            <v>002239028</v>
          </cell>
          <cell r="D80" t="e">
            <v>#REF!</v>
          </cell>
          <cell r="F80" t="str">
            <v>ליאורה מנור</v>
          </cell>
          <cell r="G80" t="str">
            <v>II</v>
          </cell>
          <cell r="H80" t="str">
            <v>Meitav</v>
          </cell>
          <cell r="I80">
            <v>250000</v>
          </cell>
          <cell r="J80">
            <v>3.4189276924417983E-3</v>
          </cell>
          <cell r="K80">
            <v>4676.6567074911563</v>
          </cell>
          <cell r="L80">
            <v>46607.258679135819</v>
          </cell>
          <cell r="M80">
            <v>51283.915386626977</v>
          </cell>
          <cell r="O80">
            <v>0</v>
          </cell>
          <cell r="R80">
            <v>0</v>
          </cell>
          <cell r="S80" t="str">
            <v>IRA</v>
          </cell>
          <cell r="T80">
            <v>0</v>
          </cell>
          <cell r="U80">
            <v>51284</v>
          </cell>
          <cell r="V80" t="str">
            <v>#REF!</v>
          </cell>
          <cell r="W80" t="str">
            <v>#REF!</v>
          </cell>
          <cell r="X80" t="str">
            <v>#REF!</v>
          </cell>
          <cell r="Y80" t="str">
            <v>#REF!</v>
          </cell>
          <cell r="Z80" t="str">
            <v>#REF!</v>
          </cell>
          <cell r="AA80" t="e">
            <v>#REF!</v>
          </cell>
          <cell r="AB80">
            <v>51283.915386626977</v>
          </cell>
          <cell r="AC80">
            <v>0</v>
          </cell>
          <cell r="AD80">
            <v>51284</v>
          </cell>
          <cell r="AL80">
            <v>107.6964</v>
          </cell>
          <cell r="AM80">
            <v>107.6964</v>
          </cell>
          <cell r="AN80">
            <v>35</v>
          </cell>
          <cell r="AQ80">
            <v>19597.293533076387</v>
          </cell>
          <cell r="AR80">
            <v>31686.62185355059</v>
          </cell>
        </row>
        <row r="81">
          <cell r="A81" t="str">
            <v>8160-01-182</v>
          </cell>
          <cell r="B81" t="str">
            <v>Amos Nahir</v>
          </cell>
          <cell r="C81" t="str">
            <v>051388411</v>
          </cell>
          <cell r="D81" t="e">
            <v>#REF!</v>
          </cell>
          <cell r="F81" t="str">
            <v>עמוס נהיר</v>
          </cell>
          <cell r="G81" t="str">
            <v>II</v>
          </cell>
          <cell r="H81" t="str">
            <v>Meitav</v>
          </cell>
          <cell r="I81">
            <v>200000</v>
          </cell>
          <cell r="J81">
            <v>2.7351421539534388E-3</v>
          </cell>
          <cell r="K81">
            <v>3741.3253659929251</v>
          </cell>
          <cell r="L81">
            <v>37285.806943308657</v>
          </cell>
          <cell r="M81">
            <v>41027.132309301582</v>
          </cell>
          <cell r="O81">
            <v>0</v>
          </cell>
          <cell r="R81">
            <v>0</v>
          </cell>
          <cell r="S81" t="str">
            <v>IRA</v>
          </cell>
          <cell r="T81">
            <v>0</v>
          </cell>
          <cell r="U81">
            <v>41027</v>
          </cell>
          <cell r="V81" t="str">
            <v>#REF!</v>
          </cell>
          <cell r="W81" t="str">
            <v>#REF!</v>
          </cell>
          <cell r="X81" t="str">
            <v>#REF!</v>
          </cell>
          <cell r="Y81" t="str">
            <v>#REF!</v>
          </cell>
          <cell r="Z81" t="str">
            <v>#REF!</v>
          </cell>
          <cell r="AA81" t="e">
            <v>#REF!</v>
          </cell>
          <cell r="AB81">
            <v>41027.132309301582</v>
          </cell>
          <cell r="AC81">
            <v>0</v>
          </cell>
          <cell r="AD81">
            <v>41027</v>
          </cell>
          <cell r="AL81">
            <v>86.156700000000001</v>
          </cell>
          <cell r="AM81">
            <v>86.156700000000001</v>
          </cell>
          <cell r="AN81">
            <v>35</v>
          </cell>
          <cell r="AQ81">
            <v>15677.834826461112</v>
          </cell>
          <cell r="AR81">
            <v>25349.297482840469</v>
          </cell>
        </row>
        <row r="82">
          <cell r="A82" t="str">
            <v>8160-01-183</v>
          </cell>
          <cell r="B82" t="str">
            <v>Ran Weldman</v>
          </cell>
          <cell r="C82" t="str">
            <v>055483424</v>
          </cell>
          <cell r="D82" t="e">
            <v>#REF!</v>
          </cell>
          <cell r="F82" t="str">
            <v>רן ולדמן</v>
          </cell>
          <cell r="G82" t="str">
            <v>II</v>
          </cell>
          <cell r="H82" t="str">
            <v>Meitav</v>
          </cell>
          <cell r="I82">
            <v>500000</v>
          </cell>
          <cell r="J82">
            <v>6.8378553848835967E-3</v>
          </cell>
          <cell r="K82">
            <v>9353.3134149823127</v>
          </cell>
          <cell r="L82">
            <v>93214.517358271638</v>
          </cell>
          <cell r="M82">
            <v>102567.83077325395</v>
          </cell>
          <cell r="O82">
            <v>0</v>
          </cell>
          <cell r="R82">
            <v>0</v>
          </cell>
          <cell r="S82" t="str">
            <v>IRA</v>
          </cell>
          <cell r="T82">
            <v>0</v>
          </cell>
          <cell r="U82">
            <v>102568</v>
          </cell>
          <cell r="V82" t="str">
            <v>#REF!</v>
          </cell>
          <cell r="W82" t="str">
            <v>#REF!</v>
          </cell>
          <cell r="X82" t="str">
            <v>#REF!</v>
          </cell>
          <cell r="Y82" t="str">
            <v>#REF!</v>
          </cell>
          <cell r="Z82" t="str">
            <v>#REF!</v>
          </cell>
          <cell r="AA82" t="e">
            <v>#REF!</v>
          </cell>
          <cell r="AB82">
            <v>102567.83077325395</v>
          </cell>
          <cell r="AC82">
            <v>0</v>
          </cell>
          <cell r="AD82">
            <v>102568</v>
          </cell>
          <cell r="AL82">
            <v>215.39279999999999</v>
          </cell>
          <cell r="AM82">
            <v>215.39279999999999</v>
          </cell>
          <cell r="AN82">
            <v>35</v>
          </cell>
          <cell r="AQ82">
            <v>39194.587066152773</v>
          </cell>
          <cell r="AR82">
            <v>63373.243707101181</v>
          </cell>
        </row>
        <row r="83">
          <cell r="A83" t="str">
            <v>8160-01-184</v>
          </cell>
          <cell r="B83" t="str">
            <v>Shlomo Helinger</v>
          </cell>
          <cell r="C83" t="str">
            <v>056394026</v>
          </cell>
          <cell r="D83" t="e">
            <v>#REF!</v>
          </cell>
          <cell r="F83" t="str">
            <v>שלמה הלינגר</v>
          </cell>
          <cell r="G83" t="str">
            <v>II</v>
          </cell>
          <cell r="H83" t="str">
            <v>Meitav</v>
          </cell>
          <cell r="I83">
            <v>250000</v>
          </cell>
          <cell r="J83">
            <v>3.4189276924417983E-3</v>
          </cell>
          <cell r="K83">
            <v>4676.6567074911563</v>
          </cell>
          <cell r="L83">
            <v>46607.258679135819</v>
          </cell>
          <cell r="M83">
            <v>51283.915386626977</v>
          </cell>
          <cell r="O83">
            <v>0</v>
          </cell>
          <cell r="R83">
            <v>0</v>
          </cell>
          <cell r="S83" t="str">
            <v>IRA</v>
          </cell>
          <cell r="T83">
            <v>0</v>
          </cell>
          <cell r="U83">
            <v>51284</v>
          </cell>
          <cell r="V83" t="str">
            <v>#REF!</v>
          </cell>
          <cell r="W83" t="str">
            <v>#REF!</v>
          </cell>
          <cell r="X83" t="str">
            <v>#REF!</v>
          </cell>
          <cell r="Y83" t="str">
            <v>#REF!</v>
          </cell>
          <cell r="Z83" t="str">
            <v>#REF!</v>
          </cell>
          <cell r="AA83" t="e">
            <v>#REF!</v>
          </cell>
          <cell r="AB83">
            <v>51283.915386626977</v>
          </cell>
          <cell r="AC83">
            <v>0</v>
          </cell>
          <cell r="AD83">
            <v>51284</v>
          </cell>
          <cell r="AL83">
            <v>107.6964</v>
          </cell>
          <cell r="AM83">
            <v>107.6964</v>
          </cell>
          <cell r="AN83">
            <v>35</v>
          </cell>
          <cell r="AQ83">
            <v>19597.293533076387</v>
          </cell>
          <cell r="AR83">
            <v>31686.62185355059</v>
          </cell>
        </row>
        <row r="84">
          <cell r="A84" t="str">
            <v>8160-01-185</v>
          </cell>
          <cell r="B84" t="str">
            <v>Ran Oz</v>
          </cell>
          <cell r="C84" t="str">
            <v>059855924</v>
          </cell>
          <cell r="D84" t="e">
            <v>#REF!</v>
          </cell>
          <cell r="F84" t="str">
            <v>רן מנחם עוז</v>
          </cell>
          <cell r="G84" t="str">
            <v>I</v>
          </cell>
          <cell r="H84" t="str">
            <v>Meitav</v>
          </cell>
          <cell r="I84">
            <v>250000</v>
          </cell>
          <cell r="J84">
            <v>3.4189276924417983E-3</v>
          </cell>
          <cell r="K84">
            <v>4676.6567074911563</v>
          </cell>
          <cell r="L84">
            <v>46607.258679135819</v>
          </cell>
          <cell r="M84">
            <v>51283.915386626977</v>
          </cell>
          <cell r="O84">
            <v>0</v>
          </cell>
          <cell r="R84">
            <v>0</v>
          </cell>
          <cell r="S84" t="str">
            <v>IRA</v>
          </cell>
          <cell r="T84">
            <v>0</v>
          </cell>
          <cell r="U84">
            <v>51284</v>
          </cell>
          <cell r="V84" t="str">
            <v>#REF!</v>
          </cell>
          <cell r="W84" t="str">
            <v>#REF!</v>
          </cell>
          <cell r="X84" t="str">
            <v>#REF!</v>
          </cell>
          <cell r="Y84" t="str">
            <v>#REF!</v>
          </cell>
          <cell r="Z84" t="str">
            <v>#REF!</v>
          </cell>
          <cell r="AA84" t="e">
            <v>#REF!</v>
          </cell>
          <cell r="AB84">
            <v>51283.915386626977</v>
          </cell>
          <cell r="AC84">
            <v>0</v>
          </cell>
          <cell r="AD84">
            <v>51284</v>
          </cell>
          <cell r="AL84">
            <v>107.6964</v>
          </cell>
          <cell r="AM84">
            <v>107.6964</v>
          </cell>
          <cell r="AN84">
            <v>35</v>
          </cell>
          <cell r="AQ84">
            <v>19597.293533076387</v>
          </cell>
          <cell r="AR84">
            <v>31686.62185355059</v>
          </cell>
        </row>
        <row r="85">
          <cell r="A85" t="str">
            <v>8160-01-186</v>
          </cell>
          <cell r="B85" t="str">
            <v>Amotz Yarden</v>
          </cell>
          <cell r="C85">
            <v>53930681</v>
          </cell>
          <cell r="D85" t="e">
            <v>#REF!</v>
          </cell>
          <cell r="F85" t="str">
            <v>אמוץ ירדן</v>
          </cell>
          <cell r="G85" t="str">
            <v>III</v>
          </cell>
          <cell r="I85">
            <v>555000</v>
          </cell>
          <cell r="J85">
            <v>7.5900194772207923E-3</v>
          </cell>
          <cell r="K85">
            <v>10382.177890630366</v>
          </cell>
          <cell r="L85">
            <v>103468.11426768151</v>
          </cell>
          <cell r="M85">
            <v>113850.29215831187</v>
          </cell>
          <cell r="N85">
            <v>2595.5444726575915</v>
          </cell>
          <cell r="O85">
            <v>0</v>
          </cell>
          <cell r="P85">
            <v>0</v>
          </cell>
          <cell r="Q85">
            <v>2595.5444726575915</v>
          </cell>
          <cell r="R85">
            <v>2595.5444726575915</v>
          </cell>
          <cell r="S85" t="str">
            <v>X</v>
          </cell>
          <cell r="U85">
            <v>111255</v>
          </cell>
          <cell r="V85" t="str">
            <v>#REF!</v>
          </cell>
          <cell r="W85" t="str">
            <v>#REF!</v>
          </cell>
          <cell r="X85" t="str">
            <v>#REF!</v>
          </cell>
          <cell r="Y85" t="str">
            <v>#REF!</v>
          </cell>
          <cell r="Z85" t="str">
            <v>#REF!</v>
          </cell>
          <cell r="AA85" t="str">
            <v>Zero investment in 2019</v>
          </cell>
          <cell r="AB85">
            <v>113850.29215831187</v>
          </cell>
          <cell r="AC85">
            <v>2595.5444726575915</v>
          </cell>
          <cell r="AD85">
            <v>111255</v>
          </cell>
          <cell r="AL85">
            <v>233.63549999999998</v>
          </cell>
          <cell r="AM85">
            <v>233.63549999999998</v>
          </cell>
          <cell r="AN85">
            <v>35</v>
          </cell>
          <cell r="AQ85">
            <v>43505.991643429581</v>
          </cell>
          <cell r="AR85">
            <v>70344.300514882285</v>
          </cell>
        </row>
        <row r="86">
          <cell r="A86" t="str">
            <v>8160-01-187</v>
          </cell>
          <cell r="B86" t="str">
            <v>Eli Amit</v>
          </cell>
          <cell r="C86" t="str">
            <v>525944900</v>
          </cell>
          <cell r="D86" t="e">
            <v>#REF!</v>
          </cell>
          <cell r="F86" t="str">
            <v>אלי עמית</v>
          </cell>
          <cell r="G86" t="str">
            <v>III</v>
          </cell>
          <cell r="H86" t="str">
            <v>Kal-Gemel</v>
          </cell>
          <cell r="I86">
            <v>290000</v>
          </cell>
          <cell r="J86">
            <v>3.9659561232324864E-3</v>
          </cell>
          <cell r="K86">
            <v>5424.9217806897414</v>
          </cell>
          <cell r="L86">
            <v>54064.420067797553</v>
          </cell>
          <cell r="M86">
            <v>59489.341848487296</v>
          </cell>
          <cell r="O86">
            <v>0</v>
          </cell>
          <cell r="R86">
            <v>0</v>
          </cell>
          <cell r="S86" t="str">
            <v>IRA</v>
          </cell>
          <cell r="T86">
            <v>0</v>
          </cell>
          <cell r="U86">
            <v>59489</v>
          </cell>
          <cell r="V86" t="str">
            <v>#REF!</v>
          </cell>
          <cell r="W86" t="str">
            <v>#REF!</v>
          </cell>
          <cell r="X86" t="str">
            <v>#REF!</v>
          </cell>
          <cell r="Y86" t="str">
            <v>#REF!</v>
          </cell>
          <cell r="Z86" t="str">
            <v>#REF!</v>
          </cell>
          <cell r="AA86" t="str">
            <v>Zero investment in 2019</v>
          </cell>
          <cell r="AB86">
            <v>59489.341848487296</v>
          </cell>
          <cell r="AC86">
            <v>0</v>
          </cell>
          <cell r="AD86">
            <v>59489</v>
          </cell>
          <cell r="AL86">
            <v>124.92689999999999</v>
          </cell>
          <cell r="AM86">
            <v>124.92689999999999</v>
          </cell>
          <cell r="AN86">
            <v>35</v>
          </cell>
          <cell r="AQ86">
            <v>22732.860498368613</v>
          </cell>
          <cell r="AR86">
            <v>36756.481350118687</v>
          </cell>
        </row>
        <row r="87">
          <cell r="A87" t="str">
            <v>8160-01-188</v>
          </cell>
          <cell r="B87" t="str">
            <v>Yoram &amp; Smadar Gurwich</v>
          </cell>
          <cell r="C87" t="str">
            <v>Yoram- 064445661
Smadar - 054119714</v>
          </cell>
          <cell r="D87" t="e">
            <v>#REF!</v>
          </cell>
          <cell r="F87" t="str">
            <v>יורם גורביץ וסמדר גורביץ</v>
          </cell>
          <cell r="G87" t="str">
            <v>III</v>
          </cell>
          <cell r="I87">
            <v>250000</v>
          </cell>
          <cell r="J87">
            <v>3.4189276924417983E-3</v>
          </cell>
          <cell r="K87">
            <v>4676.6567074911563</v>
          </cell>
          <cell r="L87">
            <v>46607.258679135819</v>
          </cell>
          <cell r="M87">
            <v>51283.915386626977</v>
          </cell>
          <cell r="N87">
            <v>1169.1641768727891</v>
          </cell>
          <cell r="O87">
            <v>0</v>
          </cell>
          <cell r="P87">
            <v>0</v>
          </cell>
          <cell r="Q87">
            <v>1169.1641768727891</v>
          </cell>
          <cell r="R87">
            <v>1169.1641768727891</v>
          </cell>
          <cell r="S87" t="str">
            <v>X</v>
          </cell>
          <cell r="U87">
            <v>50115</v>
          </cell>
          <cell r="V87" t="str">
            <v>#REF!</v>
          </cell>
          <cell r="W87" t="str">
            <v>#REF!</v>
          </cell>
          <cell r="X87" t="str">
            <v>#REF!</v>
          </cell>
          <cell r="Y87" t="str">
            <v>#REF!</v>
          </cell>
          <cell r="Z87" t="str">
            <v>#REF!</v>
          </cell>
          <cell r="AA87" t="str">
            <v>Zero investment in 2019</v>
          </cell>
          <cell r="AB87">
            <v>51283.915386626977</v>
          </cell>
          <cell r="AC87">
            <v>1169.1641768727891</v>
          </cell>
          <cell r="AD87">
            <v>50115</v>
          </cell>
          <cell r="AL87">
            <v>105.24149999999999</v>
          </cell>
          <cell r="AM87">
            <v>105.24149999999999</v>
          </cell>
          <cell r="AN87">
            <v>35</v>
          </cell>
          <cell r="AQ87">
            <v>19597.293533076387</v>
          </cell>
          <cell r="AR87">
            <v>31686.62185355059</v>
          </cell>
        </row>
        <row r="88">
          <cell r="A88" t="str">
            <v>8160-01-189</v>
          </cell>
          <cell r="B88" t="str">
            <v>Channa Sharef</v>
          </cell>
          <cell r="C88" t="str">
            <v>001075324</v>
          </cell>
          <cell r="D88" t="e">
            <v>#REF!</v>
          </cell>
          <cell r="F88" t="str">
            <v>חנה שרף</v>
          </cell>
          <cell r="G88" t="str">
            <v>III</v>
          </cell>
          <cell r="H88" t="str">
            <v>Meitav</v>
          </cell>
          <cell r="I88">
            <v>250000</v>
          </cell>
          <cell r="J88">
            <v>3.4189276924417983E-3</v>
          </cell>
          <cell r="K88">
            <v>4676.6567074911563</v>
          </cell>
          <cell r="L88">
            <v>46607.258679135819</v>
          </cell>
          <cell r="M88">
            <v>51283.915386626977</v>
          </cell>
          <cell r="O88">
            <v>0</v>
          </cell>
          <cell r="R88">
            <v>0</v>
          </cell>
          <cell r="S88" t="str">
            <v>IRA</v>
          </cell>
          <cell r="T88">
            <v>0</v>
          </cell>
          <cell r="U88">
            <v>51284</v>
          </cell>
          <cell r="V88" t="str">
            <v>#REF!</v>
          </cell>
          <cell r="W88" t="str">
            <v>#REF!</v>
          </cell>
          <cell r="X88" t="str">
            <v>#REF!</v>
          </cell>
          <cell r="Y88" t="str">
            <v>#REF!</v>
          </cell>
          <cell r="Z88" t="str">
            <v>#REF!</v>
          </cell>
          <cell r="AA88" t="str">
            <v>Zero investment in 2019</v>
          </cell>
          <cell r="AB88">
            <v>51283.915386626977</v>
          </cell>
          <cell r="AC88">
            <v>0</v>
          </cell>
          <cell r="AD88">
            <v>51284</v>
          </cell>
          <cell r="AL88">
            <v>107.6964</v>
          </cell>
          <cell r="AM88">
            <v>107.6964</v>
          </cell>
          <cell r="AN88">
            <v>35</v>
          </cell>
          <cell r="AQ88">
            <v>19597.293533076387</v>
          </cell>
          <cell r="AR88">
            <v>31686.62185355059</v>
          </cell>
        </row>
        <row r="89">
          <cell r="A89" t="str">
            <v>8160-01-190</v>
          </cell>
          <cell r="B89" t="str">
            <v>Yair Amit</v>
          </cell>
          <cell r="C89" t="str">
            <v>038757068</v>
          </cell>
          <cell r="D89" t="e">
            <v>#REF!</v>
          </cell>
          <cell r="F89" t="str">
            <v>יאיר עמית</v>
          </cell>
          <cell r="G89" t="str">
            <v>III</v>
          </cell>
          <cell r="I89">
            <v>250000</v>
          </cell>
          <cell r="J89">
            <v>3.4189276924417983E-3</v>
          </cell>
          <cell r="K89">
            <v>4676.6567074911563</v>
          </cell>
          <cell r="L89">
            <v>46607.258679135819</v>
          </cell>
          <cell r="M89">
            <v>51283.915386626977</v>
          </cell>
          <cell r="N89">
            <v>1169.1641768727891</v>
          </cell>
          <cell r="O89">
            <v>0</v>
          </cell>
          <cell r="P89">
            <v>0</v>
          </cell>
          <cell r="Q89">
            <v>1169.1641768727891</v>
          </cell>
          <cell r="R89">
            <v>1169.1641768727891</v>
          </cell>
          <cell r="S89" t="str">
            <v>X</v>
          </cell>
          <cell r="U89">
            <v>50115</v>
          </cell>
          <cell r="V89" t="str">
            <v>#REF!</v>
          </cell>
          <cell r="W89" t="str">
            <v>#REF!</v>
          </cell>
          <cell r="X89" t="str">
            <v>#REF!</v>
          </cell>
          <cell r="Y89" t="str">
            <v>#REF!</v>
          </cell>
          <cell r="Z89" t="str">
            <v>#REF!</v>
          </cell>
          <cell r="AA89" t="str">
            <v>Zero investment in 2019</v>
          </cell>
          <cell r="AB89">
            <v>51283.915386626977</v>
          </cell>
          <cell r="AC89">
            <v>1169.1641768727891</v>
          </cell>
          <cell r="AD89">
            <v>50115</v>
          </cell>
          <cell r="AL89">
            <v>105.24149999999999</v>
          </cell>
          <cell r="AM89">
            <v>105.24149999999999</v>
          </cell>
          <cell r="AN89">
            <v>35</v>
          </cell>
          <cell r="AQ89">
            <v>19597.293533076387</v>
          </cell>
          <cell r="AR89">
            <v>31686.62185355059</v>
          </cell>
        </row>
        <row r="90">
          <cell r="A90" t="str">
            <v>8160-01-191</v>
          </cell>
          <cell r="B90" t="str">
            <v>Ariel Cohen</v>
          </cell>
          <cell r="C90" t="str">
            <v>Ariel - 056164510
Nurit - 022583181</v>
          </cell>
          <cell r="D90" t="e">
            <v>#REF!</v>
          </cell>
          <cell r="F90" t="str">
            <v>אריאל כהן ונורית כהן</v>
          </cell>
          <cell r="G90" t="str">
            <v>III</v>
          </cell>
          <cell r="I90">
            <v>300000</v>
          </cell>
          <cell r="J90">
            <v>4.1027132309301578E-3</v>
          </cell>
          <cell r="K90">
            <v>5611.9880489893867</v>
          </cell>
          <cell r="L90">
            <v>55928.710414962974</v>
          </cell>
          <cell r="M90">
            <v>61540.698463952358</v>
          </cell>
          <cell r="N90">
            <v>1402.9970122473467</v>
          </cell>
          <cell r="O90">
            <v>0</v>
          </cell>
          <cell r="P90">
            <v>0</v>
          </cell>
          <cell r="Q90">
            <v>1402.9970122473467</v>
          </cell>
          <cell r="R90">
            <v>1402.9970122473467</v>
          </cell>
          <cell r="S90" t="str">
            <v>X</v>
          </cell>
          <cell r="U90">
            <v>60138</v>
          </cell>
          <cell r="V90" t="str">
            <v>#REF!</v>
          </cell>
          <cell r="W90" t="str">
            <v>#REF!</v>
          </cell>
          <cell r="X90" t="str">
            <v>#REF!</v>
          </cell>
          <cell r="Y90" t="str">
            <v>#REF!</v>
          </cell>
          <cell r="Z90" t="str">
            <v>#REF!</v>
          </cell>
          <cell r="AA90" t="str">
            <v>Zero investment in 2019</v>
          </cell>
          <cell r="AB90">
            <v>61540.698463952358</v>
          </cell>
          <cell r="AC90">
            <v>1402.9970122473467</v>
          </cell>
          <cell r="AD90">
            <v>60138</v>
          </cell>
          <cell r="AL90">
            <v>126.28979999999999</v>
          </cell>
          <cell r="AM90">
            <v>126.28979999999999</v>
          </cell>
          <cell r="AN90">
            <v>35</v>
          </cell>
          <cell r="AQ90">
            <v>23516.752239691665</v>
          </cell>
          <cell r="AR90">
            <v>38023.946224260697</v>
          </cell>
        </row>
        <row r="91">
          <cell r="A91" t="str">
            <v>8160-01-192</v>
          </cell>
          <cell r="B91" t="str">
            <v>Ranuman LTD</v>
          </cell>
          <cell r="C91">
            <v>514201912</v>
          </cell>
          <cell r="D91" t="e">
            <v>#REF!</v>
          </cell>
          <cell r="E91" t="str">
            <v>Ranuman LTD</v>
          </cell>
          <cell r="F91" t="str">
            <v>רנאומן בע"מ</v>
          </cell>
          <cell r="G91" t="str">
            <v>III</v>
          </cell>
          <cell r="I91">
            <v>500000</v>
          </cell>
          <cell r="J91">
            <v>6.8378553848835967E-3</v>
          </cell>
          <cell r="K91">
            <v>9353.3134149823127</v>
          </cell>
          <cell r="L91">
            <v>93214.517358271638</v>
          </cell>
          <cell r="M91">
            <v>102567.83077325395</v>
          </cell>
          <cell r="O91">
            <v>0</v>
          </cell>
          <cell r="R91">
            <v>0</v>
          </cell>
          <cell r="S91" t="str">
            <v>V</v>
          </cell>
          <cell r="T91">
            <v>0</v>
          </cell>
          <cell r="U91">
            <v>102568</v>
          </cell>
          <cell r="V91" t="str">
            <v>#REF!</v>
          </cell>
          <cell r="W91" t="str">
            <v>#REF!</v>
          </cell>
          <cell r="X91" t="str">
            <v>#REF!</v>
          </cell>
          <cell r="Y91" t="str">
            <v>#REF!</v>
          </cell>
          <cell r="Z91" t="str">
            <v>#REF!</v>
          </cell>
          <cell r="AA91" t="str">
            <v>Zero investment in 2019</v>
          </cell>
          <cell r="AB91">
            <v>102567.83077325395</v>
          </cell>
          <cell r="AC91">
            <v>0</v>
          </cell>
          <cell r="AD91">
            <v>102568</v>
          </cell>
          <cell r="AL91">
            <v>215.39279999999999</v>
          </cell>
          <cell r="AM91">
            <v>215.39279999999999</v>
          </cell>
          <cell r="AN91">
            <v>35</v>
          </cell>
          <cell r="AQ91">
            <v>39194.587066152773</v>
          </cell>
          <cell r="AR91">
            <v>63373.243707101181</v>
          </cell>
        </row>
        <row r="92">
          <cell r="A92" t="str">
            <v>8160-01-193</v>
          </cell>
          <cell r="B92" t="str">
            <v>Gabriela Avron</v>
          </cell>
          <cell r="C92" t="str">
            <v>026127795</v>
          </cell>
          <cell r="D92" t="e">
            <v>#REF!</v>
          </cell>
          <cell r="F92" t="str">
            <v>גבריאלה אברון</v>
          </cell>
          <cell r="G92" t="str">
            <v>III</v>
          </cell>
          <cell r="I92">
            <v>150000</v>
          </cell>
          <cell r="J92">
            <v>2.0513566154650789E-3</v>
          </cell>
          <cell r="K92">
            <v>2805.9940244946933</v>
          </cell>
          <cell r="L92">
            <v>27964.355207481487</v>
          </cell>
          <cell r="M92">
            <v>30770.349231976179</v>
          </cell>
          <cell r="N92">
            <v>701.49850612367334</v>
          </cell>
          <cell r="O92">
            <v>0</v>
          </cell>
          <cell r="P92">
            <v>0</v>
          </cell>
          <cell r="Q92">
            <v>701.49850612367334</v>
          </cell>
          <cell r="R92">
            <v>701.49850612367334</v>
          </cell>
          <cell r="S92" t="str">
            <v>X</v>
          </cell>
          <cell r="U92">
            <v>30069</v>
          </cell>
          <cell r="V92" t="str">
            <v>#REF!</v>
          </cell>
          <cell r="W92" t="str">
            <v>#REF!</v>
          </cell>
          <cell r="X92" t="str">
            <v>#REF!</v>
          </cell>
          <cell r="Y92" t="str">
            <v>#REF!</v>
          </cell>
          <cell r="Z92" t="str">
            <v>#REF!</v>
          </cell>
          <cell r="AA92" t="str">
            <v>Zero investment in 2019</v>
          </cell>
          <cell r="AB92">
            <v>30770.349231976179</v>
          </cell>
          <cell r="AC92">
            <v>701.49850612367334</v>
          </cell>
          <cell r="AD92">
            <v>30069</v>
          </cell>
          <cell r="AL92">
            <v>63.144899999999993</v>
          </cell>
          <cell r="AM92">
            <v>63.144899999999993</v>
          </cell>
          <cell r="AN92">
            <v>35</v>
          </cell>
          <cell r="AQ92">
            <v>11758.376119845832</v>
          </cell>
          <cell r="AR92">
            <v>19011.973112130348</v>
          </cell>
        </row>
        <row r="93">
          <cell r="A93" t="str">
            <v>8160-01-194</v>
          </cell>
          <cell r="B93" t="str">
            <v>Ilan Cohen</v>
          </cell>
          <cell r="C93" t="str">
            <v>058105131</v>
          </cell>
          <cell r="D93" t="e">
            <v>#REF!</v>
          </cell>
          <cell r="F93" t="str">
            <v>אילן כהן</v>
          </cell>
          <cell r="G93" t="str">
            <v>III</v>
          </cell>
          <cell r="I93">
            <v>100000</v>
          </cell>
          <cell r="J93">
            <v>1.3675710769767194E-3</v>
          </cell>
          <cell r="K93">
            <v>1870.6626829964625</v>
          </cell>
          <cell r="L93">
            <v>18642.903471654328</v>
          </cell>
          <cell r="M93">
            <v>20513.566154650791</v>
          </cell>
          <cell r="N93">
            <v>467.66567074911563</v>
          </cell>
          <cell r="O93">
            <v>0</v>
          </cell>
          <cell r="P93">
            <v>0</v>
          </cell>
          <cell r="Q93">
            <v>467.66567074911563</v>
          </cell>
          <cell r="R93">
            <v>467.66567074911563</v>
          </cell>
          <cell r="S93" t="str">
            <v>X</v>
          </cell>
          <cell r="U93">
            <v>20046</v>
          </cell>
          <cell r="V93" t="str">
            <v>#REF!</v>
          </cell>
          <cell r="W93" t="str">
            <v>#REF!</v>
          </cell>
          <cell r="X93" t="str">
            <v>#REF!</v>
          </cell>
          <cell r="Y93" t="str">
            <v>#REF!</v>
          </cell>
          <cell r="Z93" t="str">
            <v>#REF!</v>
          </cell>
          <cell r="AA93" t="str">
            <v>Zero investment in 2019</v>
          </cell>
          <cell r="AB93">
            <v>20513.566154650791</v>
          </cell>
          <cell r="AC93">
            <v>467.66567074911563</v>
          </cell>
          <cell r="AD93">
            <v>20046</v>
          </cell>
          <cell r="AL93">
            <v>42.096599999999995</v>
          </cell>
          <cell r="AM93">
            <v>42.096599999999995</v>
          </cell>
          <cell r="AN93">
            <v>35</v>
          </cell>
          <cell r="AQ93">
            <v>7838.9174132305561</v>
          </cell>
          <cell r="AR93">
            <v>12674.648741420235</v>
          </cell>
        </row>
        <row r="94">
          <cell r="A94" t="str">
            <v>8160-01-195</v>
          </cell>
          <cell r="B94" t="str">
            <v>Kopelman LTD</v>
          </cell>
          <cell r="C94">
            <v>510204555</v>
          </cell>
          <cell r="D94" t="e">
            <v>#REF!</v>
          </cell>
          <cell r="E94" t="str">
            <v>Kopelman LTD</v>
          </cell>
          <cell r="F94" t="str">
            <v>חברת קופלמן בע"מ</v>
          </cell>
          <cell r="G94" t="str">
            <v>III</v>
          </cell>
          <cell r="I94">
            <v>250000</v>
          </cell>
          <cell r="J94">
            <v>3.4189276924417983E-3</v>
          </cell>
          <cell r="K94">
            <v>4676.6567074911563</v>
          </cell>
          <cell r="L94">
            <v>46607.258679135819</v>
          </cell>
          <cell r="M94">
            <v>51283.915386626977</v>
          </cell>
          <cell r="O94">
            <v>0</v>
          </cell>
          <cell r="P94">
            <v>0</v>
          </cell>
          <cell r="R94">
            <v>0</v>
          </cell>
          <cell r="S94" t="str">
            <v>V</v>
          </cell>
          <cell r="U94">
            <v>51284</v>
          </cell>
          <cell r="V94" t="str">
            <v>#REF!</v>
          </cell>
          <cell r="W94" t="str">
            <v>#REF!</v>
          </cell>
          <cell r="X94" t="str">
            <v>#REF!</v>
          </cell>
          <cell r="Y94" t="str">
            <v>#REF!</v>
          </cell>
          <cell r="Z94" t="str">
            <v>#REF!</v>
          </cell>
          <cell r="AA94" t="str">
            <v>Zero investment in 2019</v>
          </cell>
          <cell r="AB94">
            <v>51283.915386626977</v>
          </cell>
          <cell r="AC94">
            <v>0</v>
          </cell>
          <cell r="AD94">
            <v>51284</v>
          </cell>
          <cell r="AL94">
            <v>107.6964</v>
          </cell>
          <cell r="AM94">
            <v>107.6964</v>
          </cell>
          <cell r="AN94">
            <v>35</v>
          </cell>
          <cell r="AQ94">
            <v>19597.293533076387</v>
          </cell>
          <cell r="AR94">
            <v>31686.62185355059</v>
          </cell>
        </row>
        <row r="95">
          <cell r="A95" t="str">
            <v>8160-01-196</v>
          </cell>
          <cell r="B95" t="str">
            <v>Michael lutzky</v>
          </cell>
          <cell r="C95" t="str">
            <v>017518861</v>
          </cell>
          <cell r="D95" t="e">
            <v>#REF!</v>
          </cell>
          <cell r="F95" t="str">
            <v>מיכאל לוצקי</v>
          </cell>
          <cell r="G95" t="str">
            <v>III</v>
          </cell>
          <cell r="I95">
            <v>300000</v>
          </cell>
          <cell r="J95">
            <v>4.1027132309301578E-3</v>
          </cell>
          <cell r="K95">
            <v>5611.9880489893867</v>
          </cell>
          <cell r="L95">
            <v>55928.710414962974</v>
          </cell>
          <cell r="M95">
            <v>61540.698463952358</v>
          </cell>
          <cell r="N95">
            <v>1402.9970122473467</v>
          </cell>
          <cell r="O95">
            <v>0</v>
          </cell>
          <cell r="P95">
            <v>0</v>
          </cell>
          <cell r="Q95">
            <v>1402.9970122473467</v>
          </cell>
          <cell r="R95">
            <v>1402.9970122473467</v>
          </cell>
          <cell r="S95" t="str">
            <v>X</v>
          </cell>
          <cell r="U95">
            <v>60138</v>
          </cell>
          <cell r="V95" t="str">
            <v>#REF!</v>
          </cell>
          <cell r="W95" t="str">
            <v>#REF!</v>
          </cell>
          <cell r="X95" t="str">
            <v>#REF!</v>
          </cell>
          <cell r="Y95" t="str">
            <v>#REF!</v>
          </cell>
          <cell r="Z95" t="str">
            <v>#REF!</v>
          </cell>
          <cell r="AA95" t="str">
            <v>Zero investment in 2019</v>
          </cell>
          <cell r="AB95">
            <v>61540.698463952358</v>
          </cell>
          <cell r="AC95">
            <v>1402.9970122473467</v>
          </cell>
          <cell r="AD95">
            <v>60138</v>
          </cell>
          <cell r="AL95">
            <v>126.28979999999999</v>
          </cell>
          <cell r="AM95">
            <v>126.28979999999999</v>
          </cell>
          <cell r="AN95">
            <v>35</v>
          </cell>
          <cell r="AQ95">
            <v>23516.752239691665</v>
          </cell>
          <cell r="AR95">
            <v>38023.946224260697</v>
          </cell>
        </row>
        <row r="96">
          <cell r="A96" t="str">
            <v>8160-01-197</v>
          </cell>
          <cell r="B96" t="str">
            <v>Nirit Leshem</v>
          </cell>
          <cell r="C96">
            <v>56158298</v>
          </cell>
          <cell r="D96" t="e">
            <v>#REF!</v>
          </cell>
          <cell r="F96" t="str">
            <v>נירית לשם</v>
          </cell>
          <cell r="G96" t="str">
            <v>III</v>
          </cell>
          <cell r="I96">
            <v>250000</v>
          </cell>
          <cell r="J96">
            <v>3.4189276924417983E-3</v>
          </cell>
          <cell r="K96">
            <v>4676.6567074911563</v>
          </cell>
          <cell r="L96">
            <v>46607.258679135819</v>
          </cell>
          <cell r="M96">
            <v>51283.915386626977</v>
          </cell>
          <cell r="N96">
            <v>1169.1641768727891</v>
          </cell>
          <cell r="O96">
            <v>0</v>
          </cell>
          <cell r="P96">
            <v>0</v>
          </cell>
          <cell r="Q96">
            <v>1169.1641768727891</v>
          </cell>
          <cell r="R96">
            <v>1169.1641768727891</v>
          </cell>
          <cell r="S96" t="str">
            <v>X</v>
          </cell>
          <cell r="U96">
            <v>50115</v>
          </cell>
          <cell r="V96" t="str">
            <v>#REF!</v>
          </cell>
          <cell r="W96" t="str">
            <v>#REF!</v>
          </cell>
          <cell r="X96" t="str">
            <v>#REF!</v>
          </cell>
          <cell r="Y96" t="str">
            <v>#REF!</v>
          </cell>
          <cell r="Z96" t="str">
            <v>#REF!</v>
          </cell>
          <cell r="AA96" t="str">
            <v>Zero investment in 2019</v>
          </cell>
          <cell r="AB96">
            <v>51283.915386626977</v>
          </cell>
          <cell r="AC96">
            <v>1169.1641768727891</v>
          </cell>
          <cell r="AD96">
            <v>50115</v>
          </cell>
          <cell r="AL96">
            <v>105.24149999999999</v>
          </cell>
          <cell r="AM96">
            <v>105.24149999999999</v>
          </cell>
          <cell r="AN96">
            <v>35</v>
          </cell>
          <cell r="AQ96">
            <v>19597.293533076387</v>
          </cell>
          <cell r="AR96">
            <v>31686.62185355059</v>
          </cell>
        </row>
        <row r="97">
          <cell r="A97" t="str">
            <v>8160-01-198</v>
          </cell>
          <cell r="B97" t="str">
            <v>Nurit Cohen</v>
          </cell>
          <cell r="C97" t="str">
            <v>001634542</v>
          </cell>
          <cell r="D97" t="e">
            <v>#REF!</v>
          </cell>
          <cell r="F97" t="str">
            <v>נורית כהן</v>
          </cell>
          <cell r="G97" t="str">
            <v>III</v>
          </cell>
          <cell r="I97">
            <v>300000</v>
          </cell>
          <cell r="J97">
            <v>4.1027132309301578E-3</v>
          </cell>
          <cell r="K97">
            <v>5611.9880489893867</v>
          </cell>
          <cell r="L97">
            <v>55928.710414962974</v>
          </cell>
          <cell r="M97">
            <v>61540.698463952358</v>
          </cell>
          <cell r="N97">
            <v>1402.9970122473467</v>
          </cell>
          <cell r="O97">
            <v>0</v>
          </cell>
          <cell r="P97">
            <v>0</v>
          </cell>
          <cell r="Q97">
            <v>1402.9970122473467</v>
          </cell>
          <cell r="R97">
            <v>1402.9970122473467</v>
          </cell>
          <cell r="S97" t="str">
            <v>X</v>
          </cell>
          <cell r="U97">
            <v>60138</v>
          </cell>
          <cell r="V97" t="str">
            <v>#REF!</v>
          </cell>
          <cell r="W97" t="str">
            <v>#REF!</v>
          </cell>
          <cell r="X97" t="str">
            <v>#REF!</v>
          </cell>
          <cell r="Y97" t="str">
            <v>#REF!</v>
          </cell>
          <cell r="Z97" t="str">
            <v>#REF!</v>
          </cell>
          <cell r="AA97" t="str">
            <v>Zero investment in 2019</v>
          </cell>
          <cell r="AB97">
            <v>61540.698463952358</v>
          </cell>
          <cell r="AC97">
            <v>1402.9970122473467</v>
          </cell>
          <cell r="AD97">
            <v>60138</v>
          </cell>
          <cell r="AL97">
            <v>126.28979999999999</v>
          </cell>
          <cell r="AM97">
            <v>126.28979999999999</v>
          </cell>
          <cell r="AN97">
            <v>35</v>
          </cell>
          <cell r="AQ97">
            <v>23516.752239691665</v>
          </cell>
          <cell r="AR97">
            <v>38023.946224260697</v>
          </cell>
        </row>
        <row r="98">
          <cell r="A98" t="str">
            <v>8160-01-199</v>
          </cell>
          <cell r="B98" t="str">
            <v>Ofer Adler</v>
          </cell>
          <cell r="C98" t="str">
            <v>027750660</v>
          </cell>
          <cell r="D98" t="e">
            <v>#REF!</v>
          </cell>
          <cell r="F98" t="str">
            <v>עופר אדלר</v>
          </cell>
          <cell r="G98" t="str">
            <v>III</v>
          </cell>
          <cell r="I98">
            <v>280000</v>
          </cell>
          <cell r="J98">
            <v>3.829199015534814E-3</v>
          </cell>
          <cell r="K98">
            <v>5237.8555123900942</v>
          </cell>
          <cell r="L98">
            <v>52200.129720632111</v>
          </cell>
          <cell r="M98">
            <v>57437.985233022206</v>
          </cell>
          <cell r="N98">
            <v>1309.4638780975235</v>
          </cell>
          <cell r="O98">
            <v>0</v>
          </cell>
          <cell r="P98">
            <v>0</v>
          </cell>
          <cell r="Q98">
            <v>1309.4638780975235</v>
          </cell>
          <cell r="R98">
            <v>1309.4638780975235</v>
          </cell>
          <cell r="S98" t="str">
            <v>X</v>
          </cell>
          <cell r="U98">
            <v>56129</v>
          </cell>
          <cell r="V98" t="str">
            <v>#REF!</v>
          </cell>
          <cell r="W98" t="str">
            <v>#REF!</v>
          </cell>
          <cell r="X98" t="str">
            <v>#REF!</v>
          </cell>
          <cell r="Y98" t="str">
            <v>#REF!</v>
          </cell>
          <cell r="Z98" t="str">
            <v>#REF!</v>
          </cell>
          <cell r="AA98" t="str">
            <v>Zero investment in 2019</v>
          </cell>
          <cell r="AB98">
            <v>57437.985233022206</v>
          </cell>
          <cell r="AC98">
            <v>1309.4638780975235</v>
          </cell>
          <cell r="AD98">
            <v>56129</v>
          </cell>
          <cell r="AL98">
            <v>117.87089999999999</v>
          </cell>
          <cell r="AM98">
            <v>117.87089999999999</v>
          </cell>
          <cell r="AN98">
            <v>35</v>
          </cell>
          <cell r="AQ98">
            <v>21948.968757045554</v>
          </cell>
          <cell r="AR98">
            <v>35489.016475976649</v>
          </cell>
        </row>
        <row r="99">
          <cell r="A99" t="str">
            <v>8160-01-200</v>
          </cell>
          <cell r="B99" t="str">
            <v>Tamir Cohen</v>
          </cell>
          <cell r="C99" t="str">
            <v>024117152</v>
          </cell>
          <cell r="D99" t="e">
            <v>#REF!</v>
          </cell>
          <cell r="F99" t="str">
            <v>תמיר כהן</v>
          </cell>
          <cell r="G99" t="str">
            <v>III</v>
          </cell>
          <cell r="I99">
            <v>100000</v>
          </cell>
          <cell r="J99">
            <v>1.3675710769767194E-3</v>
          </cell>
          <cell r="K99">
            <v>1870.6626829964625</v>
          </cell>
          <cell r="L99">
            <v>18642.903471654328</v>
          </cell>
          <cell r="M99">
            <v>20513.566154650791</v>
          </cell>
          <cell r="N99">
            <v>467.66567074911563</v>
          </cell>
          <cell r="O99">
            <v>0</v>
          </cell>
          <cell r="P99">
            <v>0</v>
          </cell>
          <cell r="Q99">
            <v>467.66567074911563</v>
          </cell>
          <cell r="R99">
            <v>467.66567074911563</v>
          </cell>
          <cell r="S99" t="str">
            <v>X</v>
          </cell>
          <cell r="U99">
            <v>20046</v>
          </cell>
          <cell r="V99" t="str">
            <v>#REF!</v>
          </cell>
          <cell r="W99" t="str">
            <v>#REF!</v>
          </cell>
          <cell r="X99" t="str">
            <v>#REF!</v>
          </cell>
          <cell r="Y99" t="str">
            <v>#REF!</v>
          </cell>
          <cell r="Z99" t="str">
            <v>#REF!</v>
          </cell>
          <cell r="AA99" t="str">
            <v>Zero investment in 2019</v>
          </cell>
          <cell r="AB99">
            <v>20513.566154650791</v>
          </cell>
          <cell r="AC99">
            <v>467.66567074911563</v>
          </cell>
          <cell r="AD99">
            <v>20046</v>
          </cell>
          <cell r="AL99">
            <v>42.096599999999995</v>
          </cell>
          <cell r="AM99">
            <v>42.096599999999995</v>
          </cell>
          <cell r="AN99">
            <v>35</v>
          </cell>
          <cell r="AQ99">
            <v>7838.9174132305561</v>
          </cell>
          <cell r="AR99">
            <v>12674.648741420235</v>
          </cell>
        </row>
        <row r="100">
          <cell r="A100" t="str">
            <v>8160-01-201</v>
          </cell>
          <cell r="B100" t="str">
            <v>Zeev Kalimi</v>
          </cell>
          <cell r="C100" t="str">
            <v>056076888</v>
          </cell>
          <cell r="D100" t="e">
            <v>#REF!</v>
          </cell>
          <cell r="F100" t="str">
            <v>זאב קלימי</v>
          </cell>
          <cell r="G100" t="str">
            <v>III</v>
          </cell>
          <cell r="I100">
            <v>300000</v>
          </cell>
          <cell r="J100">
            <v>4.1027132309301578E-3</v>
          </cell>
          <cell r="K100">
            <v>5611.9880489893867</v>
          </cell>
          <cell r="L100">
            <v>55928.710414962974</v>
          </cell>
          <cell r="M100">
            <v>61540.698463952358</v>
          </cell>
          <cell r="N100">
            <v>1402.9970122473467</v>
          </cell>
          <cell r="O100">
            <v>0</v>
          </cell>
          <cell r="P100">
            <v>0</v>
          </cell>
          <cell r="Q100">
            <v>1402.9970122473467</v>
          </cell>
          <cell r="R100">
            <v>1402.9970122473467</v>
          </cell>
          <cell r="S100" t="str">
            <v>X</v>
          </cell>
          <cell r="U100">
            <v>60138</v>
          </cell>
          <cell r="V100" t="str">
            <v>#REF!</v>
          </cell>
          <cell r="W100" t="str">
            <v>#REF!</v>
          </cell>
          <cell r="X100" t="str">
            <v>#REF!</v>
          </cell>
          <cell r="Y100" t="str">
            <v>#REF!</v>
          </cell>
          <cell r="Z100" t="str">
            <v>#REF!</v>
          </cell>
          <cell r="AA100" t="str">
            <v>Zero investment in 2019</v>
          </cell>
          <cell r="AB100">
            <v>61540.698463952358</v>
          </cell>
          <cell r="AC100">
            <v>1402.9970122473467</v>
          </cell>
          <cell r="AD100">
            <v>60138</v>
          </cell>
          <cell r="AL100">
            <v>126.28979999999999</v>
          </cell>
          <cell r="AM100">
            <v>126.28979999999999</v>
          </cell>
          <cell r="AN100">
            <v>35</v>
          </cell>
          <cell r="AQ100">
            <v>23516.752239691665</v>
          </cell>
          <cell r="AR100">
            <v>38023.946224260697</v>
          </cell>
        </row>
        <row r="101">
          <cell r="A101" t="str">
            <v>8160-01-202</v>
          </cell>
          <cell r="B101" t="str">
            <v>Cidev Group LTD</v>
          </cell>
          <cell r="C101">
            <v>510657612</v>
          </cell>
          <cell r="D101" t="e">
            <v>#REF!</v>
          </cell>
          <cell r="E101" t="str">
            <v>Cidev Group LTD</v>
          </cell>
          <cell r="F101" t="str">
            <v>קבוצת סידב בע"מ</v>
          </cell>
          <cell r="G101" t="str">
            <v>III</v>
          </cell>
          <cell r="I101">
            <v>500000</v>
          </cell>
          <cell r="J101">
            <v>6.8378553848835967E-3</v>
          </cell>
          <cell r="K101">
            <v>9353.3134149823127</v>
          </cell>
          <cell r="L101">
            <v>93214.517358271638</v>
          </cell>
          <cell r="M101">
            <v>102567.83077325395</v>
          </cell>
          <cell r="O101">
            <v>0</v>
          </cell>
          <cell r="R101">
            <v>0</v>
          </cell>
          <cell r="S101" t="str">
            <v>V</v>
          </cell>
          <cell r="T101">
            <v>0</v>
          </cell>
          <cell r="U101">
            <v>102568</v>
          </cell>
          <cell r="V101" t="str">
            <v>#REF!</v>
          </cell>
          <cell r="W101" t="str">
            <v>#REF!</v>
          </cell>
          <cell r="X101" t="str">
            <v>#REF!</v>
          </cell>
          <cell r="Y101" t="str">
            <v>#REF!</v>
          </cell>
          <cell r="Z101" t="str">
            <v>#REF!</v>
          </cell>
          <cell r="AA101" t="str">
            <v>Zero investment in 2019</v>
          </cell>
          <cell r="AB101">
            <v>102567.83077325395</v>
          </cell>
          <cell r="AC101">
            <v>0</v>
          </cell>
          <cell r="AD101">
            <v>102568</v>
          </cell>
          <cell r="AL101">
            <v>215.39279999999999</v>
          </cell>
          <cell r="AM101">
            <v>215.39279999999999</v>
          </cell>
          <cell r="AN101">
            <v>35</v>
          </cell>
          <cell r="AQ101">
            <v>39194.587066152773</v>
          </cell>
          <cell r="AR101">
            <v>63373.243707101181</v>
          </cell>
        </row>
        <row r="102">
          <cell r="A102" t="str">
            <v>8160-01-204</v>
          </cell>
          <cell r="B102" t="str">
            <v>S.H.I.F.A.T Architectures Ltd</v>
          </cell>
          <cell r="C102">
            <v>513075838</v>
          </cell>
          <cell r="D102" t="e">
            <v>#REF!</v>
          </cell>
          <cell r="E102" t="str">
            <v>S.H.I.F.A.T Architectures Ltd</v>
          </cell>
          <cell r="F102" t="str">
            <v>ש.י.פ.ת לוי אדריכלים בע"מ</v>
          </cell>
          <cell r="G102" t="str">
            <v>III</v>
          </cell>
          <cell r="I102">
            <v>250000</v>
          </cell>
          <cell r="J102">
            <v>3.4189276924417983E-3</v>
          </cell>
          <cell r="K102">
            <v>4676.6567074911563</v>
          </cell>
          <cell r="L102">
            <v>46607.258679135819</v>
          </cell>
          <cell r="M102">
            <v>51283.915386626977</v>
          </cell>
          <cell r="O102">
            <v>0</v>
          </cell>
          <cell r="R102">
            <v>0</v>
          </cell>
          <cell r="S102" t="str">
            <v>V</v>
          </cell>
          <cell r="T102">
            <v>0</v>
          </cell>
          <cell r="U102">
            <v>51284</v>
          </cell>
          <cell r="V102" t="str">
            <v>#REF!</v>
          </cell>
          <cell r="W102" t="str">
            <v>#REF!</v>
          </cell>
          <cell r="X102" t="str">
            <v>#REF!</v>
          </cell>
          <cell r="Y102" t="str">
            <v>#REF!</v>
          </cell>
          <cell r="Z102" t="str">
            <v>#REF!</v>
          </cell>
          <cell r="AA102" t="str">
            <v>Zero investment in 2019</v>
          </cell>
          <cell r="AB102">
            <v>51283.915386626977</v>
          </cell>
          <cell r="AC102">
            <v>0</v>
          </cell>
          <cell r="AD102">
            <v>51284</v>
          </cell>
          <cell r="AL102">
            <v>107.6964</v>
          </cell>
          <cell r="AM102">
            <v>107.6964</v>
          </cell>
          <cell r="AN102">
            <v>35</v>
          </cell>
          <cell r="AQ102">
            <v>19597.293533076387</v>
          </cell>
          <cell r="AR102">
            <v>31686.62185355059</v>
          </cell>
        </row>
        <row r="103">
          <cell r="A103" t="str">
            <v>8160-01-205</v>
          </cell>
          <cell r="B103" t="str">
            <v>R.B LTD</v>
          </cell>
          <cell r="C103">
            <v>513179796</v>
          </cell>
          <cell r="D103" t="e">
            <v>#REF!</v>
          </cell>
          <cell r="E103" t="str">
            <v>R.B LTD</v>
          </cell>
          <cell r="F103" t="str">
            <v>אר.בי ביטון רפאל החזקות בע"מ</v>
          </cell>
          <cell r="G103" t="str">
            <v>III</v>
          </cell>
          <cell r="I103">
            <v>300000</v>
          </cell>
          <cell r="J103">
            <v>4.1027132309301578E-3</v>
          </cell>
          <cell r="K103">
            <v>5611.9880489893867</v>
          </cell>
          <cell r="L103">
            <v>55928.710414962974</v>
          </cell>
          <cell r="M103">
            <v>61540.698463952358</v>
          </cell>
          <cell r="O103">
            <v>0</v>
          </cell>
          <cell r="R103">
            <v>0</v>
          </cell>
          <cell r="S103" t="str">
            <v>V</v>
          </cell>
          <cell r="T103">
            <v>0</v>
          </cell>
          <cell r="U103">
            <v>61541</v>
          </cell>
          <cell r="V103" t="str">
            <v>#REF!</v>
          </cell>
          <cell r="W103" t="str">
            <v>#REF!</v>
          </cell>
          <cell r="X103" t="str">
            <v>#REF!</v>
          </cell>
          <cell r="Y103" t="str">
            <v>#REF!</v>
          </cell>
          <cell r="Z103" t="str">
            <v>#REF!</v>
          </cell>
          <cell r="AA103" t="str">
            <v>Zero investment in 2019</v>
          </cell>
          <cell r="AB103">
            <v>61540.698463952358</v>
          </cell>
          <cell r="AC103">
            <v>0</v>
          </cell>
          <cell r="AD103">
            <v>61541</v>
          </cell>
          <cell r="AL103">
            <v>129.23609999999999</v>
          </cell>
          <cell r="AM103">
            <v>129.23609999999999</v>
          </cell>
          <cell r="AN103">
            <v>35</v>
          </cell>
          <cell r="AQ103">
            <v>23516.752239691665</v>
          </cell>
          <cell r="AR103">
            <v>38023.946224260697</v>
          </cell>
        </row>
        <row r="104">
          <cell r="A104" t="str">
            <v>8160-01-206</v>
          </cell>
          <cell r="B104" t="str">
            <v>Hevra Kadisha Haifa</v>
          </cell>
          <cell r="C104">
            <v>580014777</v>
          </cell>
          <cell r="D104" t="e">
            <v>#REF!</v>
          </cell>
          <cell r="E104" t="str">
            <v>Hevra Kadisha Haifa</v>
          </cell>
          <cell r="F104" t="str">
            <v>חברה קדישא חיפה</v>
          </cell>
          <cell r="G104" t="str">
            <v>III</v>
          </cell>
          <cell r="I104">
            <v>570000</v>
          </cell>
          <cell r="J104">
            <v>7.7951551387673004E-3</v>
          </cell>
          <cell r="K104">
            <v>10662.777293079836</v>
          </cell>
          <cell r="L104">
            <v>106264.54978842966</v>
          </cell>
          <cell r="M104">
            <v>116927.3270815095</v>
          </cell>
          <cell r="O104">
            <v>0</v>
          </cell>
          <cell r="R104">
            <v>0</v>
          </cell>
          <cell r="S104" t="str">
            <v>V</v>
          </cell>
          <cell r="T104">
            <v>0</v>
          </cell>
          <cell r="U104">
            <v>116927</v>
          </cell>
          <cell r="V104" t="str">
            <v>#REF!</v>
          </cell>
          <cell r="W104" t="str">
            <v>#REF!</v>
          </cell>
          <cell r="X104" t="str">
            <v>#REF!</v>
          </cell>
          <cell r="Y104" t="str">
            <v>#REF!</v>
          </cell>
          <cell r="Z104" t="str">
            <v>#REF!</v>
          </cell>
          <cell r="AA104" t="str">
            <v>Zero investment in 2019</v>
          </cell>
          <cell r="AB104">
            <v>116927.3270815095</v>
          </cell>
          <cell r="AC104">
            <v>0</v>
          </cell>
          <cell r="AD104">
            <v>116927</v>
          </cell>
          <cell r="AL104">
            <v>245.54669999999999</v>
          </cell>
          <cell r="AM104">
            <v>245.54669999999999</v>
          </cell>
          <cell r="AN104">
            <v>35</v>
          </cell>
          <cell r="AQ104">
            <v>44681.829255414166</v>
          </cell>
          <cell r="AR104">
            <v>72245.497826095336</v>
          </cell>
        </row>
        <row r="105">
          <cell r="A105" t="str">
            <v>8160-01-207</v>
          </cell>
          <cell r="B105" t="str">
            <v>Assaf Burstein</v>
          </cell>
          <cell r="C105" t="str">
            <v>058837238</v>
          </cell>
          <cell r="D105" t="e">
            <v>#REF!</v>
          </cell>
          <cell r="F105" t="str">
            <v>אסף בורשטיין</v>
          </cell>
          <cell r="G105" t="str">
            <v>III</v>
          </cell>
          <cell r="I105">
            <v>300000</v>
          </cell>
          <cell r="J105">
            <v>4.1027132309301578E-3</v>
          </cell>
          <cell r="K105">
            <v>5611.9880489893867</v>
          </cell>
          <cell r="L105">
            <v>55928.710414962974</v>
          </cell>
          <cell r="M105">
            <v>61540.698463952358</v>
          </cell>
          <cell r="N105">
            <v>1402.9970122473467</v>
          </cell>
          <cell r="O105">
            <v>0</v>
          </cell>
          <cell r="P105">
            <v>0</v>
          </cell>
          <cell r="Q105">
            <v>1402.9970122473467</v>
          </cell>
          <cell r="R105">
            <v>1402.9970122473467</v>
          </cell>
          <cell r="S105" t="str">
            <v>X</v>
          </cell>
          <cell r="U105">
            <v>60138</v>
          </cell>
          <cell r="V105" t="str">
            <v>#REF!</v>
          </cell>
          <cell r="W105" t="str">
            <v>#REF!</v>
          </cell>
          <cell r="X105" t="str">
            <v>#REF!</v>
          </cell>
          <cell r="Y105" t="str">
            <v>#REF!</v>
          </cell>
          <cell r="Z105" t="str">
            <v>#REF!</v>
          </cell>
          <cell r="AA105" t="str">
            <v>Zero investment in 2019</v>
          </cell>
          <cell r="AB105">
            <v>61540.698463952358</v>
          </cell>
          <cell r="AC105">
            <v>1402.9970122473467</v>
          </cell>
          <cell r="AD105">
            <v>60138</v>
          </cell>
          <cell r="AL105">
            <v>126.28979999999999</v>
          </cell>
          <cell r="AM105">
            <v>126.28979999999999</v>
          </cell>
          <cell r="AN105">
            <v>35</v>
          </cell>
          <cell r="AQ105">
            <v>23516.752239691665</v>
          </cell>
          <cell r="AR105">
            <v>38023.946224260697</v>
          </cell>
        </row>
        <row r="106">
          <cell r="A106" t="str">
            <v>8160-01-208</v>
          </cell>
          <cell r="B106" t="str">
            <v>Dan Arazi</v>
          </cell>
          <cell r="C106" t="str">
            <v>08986978</v>
          </cell>
          <cell r="D106" t="e">
            <v>#REF!</v>
          </cell>
          <cell r="F106" t="str">
            <v>דן ארזי</v>
          </cell>
          <cell r="G106" t="str">
            <v>III</v>
          </cell>
          <cell r="I106">
            <v>250000</v>
          </cell>
          <cell r="J106">
            <v>3.4189276924417983E-3</v>
          </cell>
          <cell r="K106">
            <v>4676.6567074911563</v>
          </cell>
          <cell r="L106">
            <v>46607.258679135819</v>
          </cell>
          <cell r="M106">
            <v>51283.915386626977</v>
          </cell>
          <cell r="N106">
            <v>1169.1641768727891</v>
          </cell>
          <cell r="O106">
            <v>0</v>
          </cell>
          <cell r="P106">
            <v>0</v>
          </cell>
          <cell r="Q106">
            <v>1169.1641768727891</v>
          </cell>
          <cell r="R106">
            <v>1169.1641768727891</v>
          </cell>
          <cell r="S106" t="str">
            <v>X</v>
          </cell>
          <cell r="U106">
            <v>50115</v>
          </cell>
          <cell r="V106" t="str">
            <v>#REF!</v>
          </cell>
          <cell r="W106" t="str">
            <v>#REF!</v>
          </cell>
          <cell r="X106" t="str">
            <v>#REF!</v>
          </cell>
          <cell r="Y106" t="str">
            <v>#REF!</v>
          </cell>
          <cell r="Z106" t="str">
            <v>#REF!</v>
          </cell>
          <cell r="AA106" t="str">
            <v>Zero investment in 2019</v>
          </cell>
          <cell r="AB106">
            <v>51283.915386626977</v>
          </cell>
          <cell r="AC106">
            <v>1169.1641768727891</v>
          </cell>
          <cell r="AD106">
            <v>50115</v>
          </cell>
          <cell r="AL106">
            <v>105.24149999999999</v>
          </cell>
          <cell r="AM106">
            <v>105.24149999999999</v>
          </cell>
          <cell r="AN106">
            <v>35</v>
          </cell>
          <cell r="AQ106">
            <v>19597.293533076387</v>
          </cell>
          <cell r="AR106">
            <v>31686.62185355059</v>
          </cell>
        </row>
        <row r="107">
          <cell r="A107" t="str">
            <v>8160-01-209</v>
          </cell>
          <cell r="B107" t="str">
            <v>Daphna Cohen Ben Shaul</v>
          </cell>
          <cell r="C107" t="str">
            <v>054201264</v>
          </cell>
          <cell r="D107" t="e">
            <v>#REF!</v>
          </cell>
          <cell r="F107" t="str">
            <v>דפנה כהן בן שאול</v>
          </cell>
          <cell r="G107" t="str">
            <v>III</v>
          </cell>
          <cell r="I107">
            <v>300000</v>
          </cell>
          <cell r="J107">
            <v>4.1027132309301578E-3</v>
          </cell>
          <cell r="K107">
            <v>5611.9880489893867</v>
          </cell>
          <cell r="L107">
            <v>55928.710414962974</v>
          </cell>
          <cell r="M107">
            <v>61540.698463952358</v>
          </cell>
          <cell r="N107">
            <v>1402.9970122473467</v>
          </cell>
          <cell r="O107">
            <v>0</v>
          </cell>
          <cell r="P107">
            <v>0</v>
          </cell>
          <cell r="Q107">
            <v>1402.9970122473467</v>
          </cell>
          <cell r="R107">
            <v>1402.9970122473467</v>
          </cell>
          <cell r="S107" t="str">
            <v>X</v>
          </cell>
          <cell r="U107">
            <v>60138</v>
          </cell>
          <cell r="V107" t="str">
            <v>#REF!</v>
          </cell>
          <cell r="W107" t="str">
            <v>#REF!</v>
          </cell>
          <cell r="X107" t="str">
            <v>#REF!</v>
          </cell>
          <cell r="Y107" t="str">
            <v>#REF!</v>
          </cell>
          <cell r="Z107" t="str">
            <v>#REF!</v>
          </cell>
          <cell r="AA107" t="str">
            <v>Zero investment in 2019</v>
          </cell>
          <cell r="AB107">
            <v>61540.698463952358</v>
          </cell>
          <cell r="AC107">
            <v>1402.9970122473467</v>
          </cell>
          <cell r="AD107">
            <v>60138</v>
          </cell>
          <cell r="AL107">
            <v>126.28979999999999</v>
          </cell>
          <cell r="AM107">
            <v>126.28979999999999</v>
          </cell>
          <cell r="AN107">
            <v>35</v>
          </cell>
          <cell r="AQ107">
            <v>23516.752239691665</v>
          </cell>
          <cell r="AR107">
            <v>38023.946224260697</v>
          </cell>
        </row>
        <row r="108">
          <cell r="A108" t="str">
            <v>8160-01-210</v>
          </cell>
          <cell r="B108" t="str">
            <v>Eyal Kishon</v>
          </cell>
          <cell r="C108" t="str">
            <v>056197676</v>
          </cell>
          <cell r="D108" t="e">
            <v>#REF!</v>
          </cell>
          <cell r="F108" t="str">
            <v>איל קישון</v>
          </cell>
          <cell r="G108" t="str">
            <v>III</v>
          </cell>
          <cell r="I108">
            <v>500000</v>
          </cell>
          <cell r="J108">
            <v>6.8378553848835967E-3</v>
          </cell>
          <cell r="K108">
            <v>9353.3134149823127</v>
          </cell>
          <cell r="L108">
            <v>93214.517358271638</v>
          </cell>
          <cell r="M108">
            <v>102567.83077325395</v>
          </cell>
          <cell r="N108">
            <v>2338.3283537455782</v>
          </cell>
          <cell r="O108">
            <v>0</v>
          </cell>
          <cell r="P108">
            <v>0</v>
          </cell>
          <cell r="Q108">
            <v>2338.3283537455782</v>
          </cell>
          <cell r="R108">
            <v>2338.3283537455782</v>
          </cell>
          <cell r="S108" t="str">
            <v>X</v>
          </cell>
          <cell r="U108">
            <v>100230</v>
          </cell>
          <cell r="V108" t="str">
            <v>#REF!</v>
          </cell>
          <cell r="W108" t="str">
            <v>#REF!</v>
          </cell>
          <cell r="X108" t="str">
            <v>#REF!</v>
          </cell>
          <cell r="Y108" t="str">
            <v>#REF!</v>
          </cell>
          <cell r="Z108" t="str">
            <v>#REF!</v>
          </cell>
          <cell r="AA108" t="str">
            <v>Zero investment in 2019</v>
          </cell>
          <cell r="AB108">
            <v>102567.83077325395</v>
          </cell>
          <cell r="AC108">
            <v>2338.3283537455782</v>
          </cell>
          <cell r="AD108">
            <v>100230</v>
          </cell>
          <cell r="AL108">
            <v>210.48299999999998</v>
          </cell>
          <cell r="AM108">
            <v>210.48299999999998</v>
          </cell>
          <cell r="AN108">
            <v>35</v>
          </cell>
          <cell r="AQ108">
            <v>39194.587066152773</v>
          </cell>
          <cell r="AR108">
            <v>63373.243707101181</v>
          </cell>
        </row>
        <row r="109">
          <cell r="A109" t="str">
            <v>8160-01-211</v>
          </cell>
          <cell r="B109" t="str">
            <v>Gideon Schurr</v>
          </cell>
          <cell r="C109" t="str">
            <v>051251288</v>
          </cell>
          <cell r="D109" t="e">
            <v>#REF!</v>
          </cell>
          <cell r="F109" t="str">
            <v>גדעון שור</v>
          </cell>
          <cell r="G109" t="str">
            <v>III</v>
          </cell>
          <cell r="I109">
            <v>250000</v>
          </cell>
          <cell r="J109">
            <v>3.4189276924417983E-3</v>
          </cell>
          <cell r="K109">
            <v>4676.6567074911563</v>
          </cell>
          <cell r="L109">
            <v>46607.258679135819</v>
          </cell>
          <cell r="M109">
            <v>51283.915386626977</v>
          </cell>
          <cell r="N109">
            <v>1169.1641768727891</v>
          </cell>
          <cell r="O109">
            <v>0</v>
          </cell>
          <cell r="P109">
            <v>0</v>
          </cell>
          <cell r="Q109">
            <v>1169.1641768727891</v>
          </cell>
          <cell r="R109">
            <v>1169.1641768727891</v>
          </cell>
          <cell r="S109" t="str">
            <v>X</v>
          </cell>
          <cell r="U109">
            <v>50115</v>
          </cell>
          <cell r="V109" t="str">
            <v>#REF!</v>
          </cell>
          <cell r="W109" t="str">
            <v>#REF!</v>
          </cell>
          <cell r="X109" t="str">
            <v>#REF!</v>
          </cell>
          <cell r="Y109" t="str">
            <v>#REF!</v>
          </cell>
          <cell r="Z109" t="str">
            <v>#REF!</v>
          </cell>
          <cell r="AA109" t="str">
            <v>Zero investment in 2019</v>
          </cell>
          <cell r="AB109">
            <v>51283.915386626977</v>
          </cell>
          <cell r="AC109">
            <v>1169.1641768727891</v>
          </cell>
          <cell r="AD109">
            <v>50115</v>
          </cell>
          <cell r="AL109">
            <v>105.24149999999999</v>
          </cell>
          <cell r="AM109">
            <v>105.24149999999999</v>
          </cell>
          <cell r="AN109">
            <v>35</v>
          </cell>
          <cell r="AQ109">
            <v>19597.293533076387</v>
          </cell>
          <cell r="AR109">
            <v>31686.62185355059</v>
          </cell>
        </row>
        <row r="110">
          <cell r="A110" t="str">
            <v>8160-01-212</v>
          </cell>
          <cell r="B110" t="str">
            <v>Cipora Elkis</v>
          </cell>
          <cell r="C110" t="str">
            <v>007318157</v>
          </cell>
          <cell r="D110" t="e">
            <v>#REF!</v>
          </cell>
          <cell r="F110" t="str">
            <v>ציפורה אלקיס</v>
          </cell>
          <cell r="G110" t="str">
            <v>III</v>
          </cell>
          <cell r="H110" t="str">
            <v>Meitav</v>
          </cell>
          <cell r="I110">
            <v>250000</v>
          </cell>
          <cell r="J110">
            <v>3.4189276924417983E-3</v>
          </cell>
          <cell r="K110">
            <v>4676.6567074911563</v>
          </cell>
          <cell r="L110">
            <v>46607.258679135819</v>
          </cell>
          <cell r="M110">
            <v>51283.915386626977</v>
          </cell>
          <cell r="O110">
            <v>0</v>
          </cell>
          <cell r="R110">
            <v>0</v>
          </cell>
          <cell r="S110" t="str">
            <v>IRA</v>
          </cell>
          <cell r="T110">
            <v>0</v>
          </cell>
          <cell r="U110">
            <v>51284</v>
          </cell>
          <cell r="V110" t="str">
            <v>#REF!</v>
          </cell>
          <cell r="W110" t="str">
            <v>#REF!</v>
          </cell>
          <cell r="X110" t="str">
            <v>#REF!</v>
          </cell>
          <cell r="Y110" t="str">
            <v>#REF!</v>
          </cell>
          <cell r="Z110" t="str">
            <v>#REF!</v>
          </cell>
          <cell r="AA110" t="str">
            <v>Zero investment in 2019</v>
          </cell>
          <cell r="AB110">
            <v>51283.915386626977</v>
          </cell>
          <cell r="AC110">
            <v>0</v>
          </cell>
          <cell r="AD110">
            <v>51284</v>
          </cell>
          <cell r="AL110">
            <v>107.6964</v>
          </cell>
          <cell r="AM110">
            <v>107.6964</v>
          </cell>
          <cell r="AN110">
            <v>35</v>
          </cell>
          <cell r="AQ110">
            <v>19597.293533076387</v>
          </cell>
          <cell r="AR110">
            <v>31686.62185355059</v>
          </cell>
        </row>
        <row r="111">
          <cell r="A111" t="str">
            <v>8160-01-213</v>
          </cell>
          <cell r="B111" t="str">
            <v>Ester Tal</v>
          </cell>
          <cell r="C111" t="str">
            <v>057146813</v>
          </cell>
          <cell r="D111" t="e">
            <v>#REF!</v>
          </cell>
          <cell r="F111" t="str">
            <v>אסתר טל</v>
          </cell>
          <cell r="G111" t="str">
            <v>III</v>
          </cell>
          <cell r="H111" t="str">
            <v>Meitav</v>
          </cell>
          <cell r="I111">
            <v>250000</v>
          </cell>
          <cell r="J111">
            <v>3.4189276924417983E-3</v>
          </cell>
          <cell r="K111">
            <v>4676.6567074911563</v>
          </cell>
          <cell r="L111">
            <v>46607.258679135819</v>
          </cell>
          <cell r="M111">
            <v>51283.915386626977</v>
          </cell>
          <cell r="O111">
            <v>0</v>
          </cell>
          <cell r="R111">
            <v>0</v>
          </cell>
          <cell r="S111" t="str">
            <v>IRA</v>
          </cell>
          <cell r="T111">
            <v>0</v>
          </cell>
          <cell r="U111">
            <v>51284</v>
          </cell>
          <cell r="V111" t="str">
            <v>#REF!</v>
          </cell>
          <cell r="W111" t="str">
            <v>#REF!</v>
          </cell>
          <cell r="X111" t="str">
            <v>#REF!</v>
          </cell>
          <cell r="Y111" t="str">
            <v>#REF!</v>
          </cell>
          <cell r="Z111" t="str">
            <v>#REF!</v>
          </cell>
          <cell r="AA111" t="str">
            <v>Zero investment in 2019</v>
          </cell>
          <cell r="AB111">
            <v>51283.915386626977</v>
          </cell>
          <cell r="AC111">
            <v>0</v>
          </cell>
          <cell r="AD111">
            <v>51284</v>
          </cell>
          <cell r="AL111">
            <v>107.6964</v>
          </cell>
          <cell r="AM111">
            <v>107.6964</v>
          </cell>
          <cell r="AN111">
            <v>35</v>
          </cell>
          <cell r="AQ111">
            <v>19597.293533076387</v>
          </cell>
          <cell r="AR111">
            <v>31686.62185355059</v>
          </cell>
        </row>
        <row r="112">
          <cell r="A112" t="str">
            <v>8160-01-214</v>
          </cell>
          <cell r="B112" t="str">
            <v>Eyal Yaakov</v>
          </cell>
          <cell r="C112" t="str">
            <v>027136324</v>
          </cell>
          <cell r="D112" t="e">
            <v>#REF!</v>
          </cell>
          <cell r="F112" t="str">
            <v>איל יעקב</v>
          </cell>
          <cell r="G112" t="str">
            <v>III</v>
          </cell>
          <cell r="H112" t="str">
            <v>Meitav</v>
          </cell>
          <cell r="I112">
            <v>220000</v>
          </cell>
          <cell r="J112">
            <v>3.0086563693487826E-3</v>
          </cell>
          <cell r="K112">
            <v>4115.4579025922176</v>
          </cell>
          <cell r="L112">
            <v>41014.38763763952</v>
          </cell>
          <cell r="M112">
            <v>45129.845540231734</v>
          </cell>
          <cell r="O112">
            <v>0</v>
          </cell>
          <cell r="R112">
            <v>0</v>
          </cell>
          <cell r="S112" t="str">
            <v>IRA</v>
          </cell>
          <cell r="T112">
            <v>0</v>
          </cell>
          <cell r="U112">
            <v>45130</v>
          </cell>
          <cell r="V112" t="str">
            <v>#REF!</v>
          </cell>
          <cell r="W112" t="str">
            <v>#REF!</v>
          </cell>
          <cell r="X112" t="str">
            <v>#REF!</v>
          </cell>
          <cell r="Y112" t="str">
            <v>#REF!</v>
          </cell>
          <cell r="Z112" t="str">
            <v>#REF!</v>
          </cell>
          <cell r="AA112" t="str">
            <v>Zero investment in 2019</v>
          </cell>
          <cell r="AB112">
            <v>45129.845540231734</v>
          </cell>
          <cell r="AC112">
            <v>0</v>
          </cell>
          <cell r="AD112">
            <v>45130</v>
          </cell>
          <cell r="AL112">
            <v>94.772999999999996</v>
          </cell>
          <cell r="AM112">
            <v>94.772999999999996</v>
          </cell>
          <cell r="AN112">
            <v>35</v>
          </cell>
          <cell r="AQ112">
            <v>17245.618309107223</v>
          </cell>
          <cell r="AR112">
            <v>27884.227231124511</v>
          </cell>
        </row>
        <row r="113">
          <cell r="A113" t="str">
            <v>8160-01-215</v>
          </cell>
          <cell r="B113" t="str">
            <v>Guy Caspary</v>
          </cell>
          <cell r="C113" t="str">
            <v>027473156</v>
          </cell>
          <cell r="D113" t="e">
            <v>#REF!</v>
          </cell>
          <cell r="F113" t="str">
            <v>גיא כספרי</v>
          </cell>
          <cell r="G113" t="str">
            <v>III</v>
          </cell>
          <cell r="H113" t="str">
            <v>Meitav</v>
          </cell>
          <cell r="I113">
            <v>279997</v>
          </cell>
          <cell r="J113">
            <v>3.8291579884025049E-3</v>
          </cell>
          <cell r="K113">
            <v>5237.7993925096052</v>
          </cell>
          <cell r="L113">
            <v>52199.570433527966</v>
          </cell>
          <cell r="M113">
            <v>57437.369826037568</v>
          </cell>
          <cell r="O113">
            <v>0</v>
          </cell>
          <cell r="R113">
            <v>0</v>
          </cell>
          <cell r="S113" t="str">
            <v>IRA</v>
          </cell>
          <cell r="T113">
            <v>0</v>
          </cell>
          <cell r="U113">
            <v>57437</v>
          </cell>
          <cell r="V113" t="str">
            <v>#REF!</v>
          </cell>
          <cell r="W113" t="str">
            <v>#REF!</v>
          </cell>
          <cell r="X113" t="str">
            <v>#REF!</v>
          </cell>
          <cell r="Y113" t="str">
            <v>#REF!</v>
          </cell>
          <cell r="Z113" t="str">
            <v>#REF!</v>
          </cell>
          <cell r="AA113" t="str">
            <v>Zero investment in 2019</v>
          </cell>
          <cell r="AB113">
            <v>57437.369826037568</v>
          </cell>
          <cell r="AC113">
            <v>0</v>
          </cell>
          <cell r="AD113">
            <v>57437</v>
          </cell>
          <cell r="AL113">
            <v>120.6177</v>
          </cell>
          <cell r="AM113">
            <v>120.6177</v>
          </cell>
          <cell r="AN113">
            <v>35</v>
          </cell>
          <cell r="AQ113">
            <v>21948.733589523159</v>
          </cell>
          <cell r="AR113">
            <v>35488.636236514409</v>
          </cell>
        </row>
        <row r="114">
          <cell r="A114" t="str">
            <v>8160-01-216</v>
          </cell>
          <cell r="B114" t="str">
            <v>Shmuel (Muli) Ben Zvi - IRA</v>
          </cell>
          <cell r="C114" t="str">
            <v>056231475</v>
          </cell>
          <cell r="D114" t="e">
            <v>#REF!</v>
          </cell>
          <cell r="F114" t="str">
            <v>שמואל בן צבי</v>
          </cell>
          <cell r="G114" t="str">
            <v>III</v>
          </cell>
          <cell r="H114" t="str">
            <v>Meitav</v>
          </cell>
          <cell r="I114">
            <v>100000</v>
          </cell>
          <cell r="J114">
            <v>1.3675710769767194E-3</v>
          </cell>
          <cell r="K114">
            <v>1870.6626829964625</v>
          </cell>
          <cell r="L114">
            <v>18642.903471654328</v>
          </cell>
          <cell r="M114">
            <v>20513.566154650791</v>
          </cell>
          <cell r="O114">
            <v>0</v>
          </cell>
          <cell r="R114">
            <v>0</v>
          </cell>
          <cell r="S114" t="str">
            <v>IRA</v>
          </cell>
          <cell r="T114">
            <v>0</v>
          </cell>
          <cell r="U114">
            <v>20514</v>
          </cell>
          <cell r="V114" t="str">
            <v>#REF!</v>
          </cell>
          <cell r="W114" t="str">
            <v>#REF!</v>
          </cell>
          <cell r="X114" t="str">
            <v>#REF!</v>
          </cell>
          <cell r="Y114" t="str">
            <v>#REF!</v>
          </cell>
          <cell r="Z114" t="str">
            <v>#REF!</v>
          </cell>
          <cell r="AA114" t="str">
            <v>Zero investment in 2019</v>
          </cell>
          <cell r="AB114">
            <v>20513.566154650791</v>
          </cell>
          <cell r="AC114">
            <v>0</v>
          </cell>
          <cell r="AD114">
            <v>20514</v>
          </cell>
          <cell r="AL114">
            <v>43.0794</v>
          </cell>
          <cell r="AM114">
            <v>43.0794</v>
          </cell>
          <cell r="AN114">
            <v>35</v>
          </cell>
          <cell r="AQ114">
            <v>7838.9174132305561</v>
          </cell>
          <cell r="AR114">
            <v>12674.648741420235</v>
          </cell>
        </row>
        <row r="115">
          <cell r="A115" t="str">
            <v>8160-01-217</v>
          </cell>
          <cell r="B115" t="str">
            <v>Yehiel Tal</v>
          </cell>
          <cell r="C115" t="str">
            <v>054125224</v>
          </cell>
          <cell r="D115" t="e">
            <v>#REF!</v>
          </cell>
          <cell r="F115" t="str">
            <v>יחיאל טל</v>
          </cell>
          <cell r="G115" t="str">
            <v>III</v>
          </cell>
          <cell r="H115" t="str">
            <v>Meitav</v>
          </cell>
          <cell r="I115">
            <v>250000</v>
          </cell>
          <cell r="J115">
            <v>3.4189276924417983E-3</v>
          </cell>
          <cell r="K115">
            <v>4676.6567074911563</v>
          </cell>
          <cell r="L115">
            <v>46607.258679135819</v>
          </cell>
          <cell r="M115">
            <v>51283.915386626977</v>
          </cell>
          <cell r="O115">
            <v>0</v>
          </cell>
          <cell r="R115">
            <v>0</v>
          </cell>
          <cell r="S115" t="str">
            <v>IRA</v>
          </cell>
          <cell r="T115">
            <v>0</v>
          </cell>
          <cell r="U115">
            <v>51284</v>
          </cell>
          <cell r="V115" t="str">
            <v>#REF!</v>
          </cell>
          <cell r="W115" t="str">
            <v>#REF!</v>
          </cell>
          <cell r="X115" t="str">
            <v>#REF!</v>
          </cell>
          <cell r="Y115" t="str">
            <v>#REF!</v>
          </cell>
          <cell r="Z115" t="str">
            <v>#REF!</v>
          </cell>
          <cell r="AA115" t="str">
            <v>Zero investment in 2019</v>
          </cell>
          <cell r="AB115">
            <v>51283.915386626977</v>
          </cell>
          <cell r="AC115">
            <v>0</v>
          </cell>
          <cell r="AD115">
            <v>51284</v>
          </cell>
          <cell r="AL115">
            <v>107.6964</v>
          </cell>
          <cell r="AM115">
            <v>107.6964</v>
          </cell>
          <cell r="AN115">
            <v>35</v>
          </cell>
          <cell r="AQ115">
            <v>19597.293533076387</v>
          </cell>
          <cell r="AR115">
            <v>31686.62185355059</v>
          </cell>
        </row>
        <row r="116">
          <cell r="A116" t="str">
            <v>8160-01-218</v>
          </cell>
          <cell r="B116" t="str">
            <v>Dror HaCham</v>
          </cell>
          <cell r="C116" t="str">
            <v>022383210</v>
          </cell>
          <cell r="D116" t="e">
            <v>#REF!</v>
          </cell>
          <cell r="F116" t="str">
            <v>דרורי חכם</v>
          </cell>
          <cell r="G116" t="str">
            <v>III</v>
          </cell>
          <cell r="H116" t="str">
            <v>Phoenix</v>
          </cell>
          <cell r="I116">
            <v>250000</v>
          </cell>
          <cell r="J116">
            <v>3.4189276924417983E-3</v>
          </cell>
          <cell r="K116">
            <v>4676.6567074911563</v>
          </cell>
          <cell r="L116">
            <v>46607.258679135819</v>
          </cell>
          <cell r="M116">
            <v>51283.915386626977</v>
          </cell>
          <cell r="O116">
            <v>0</v>
          </cell>
          <cell r="R116">
            <v>0</v>
          </cell>
          <cell r="S116" t="str">
            <v>IRA</v>
          </cell>
          <cell r="T116">
            <v>0</v>
          </cell>
          <cell r="U116">
            <v>51284</v>
          </cell>
          <cell r="V116" t="str">
            <v>#REF!</v>
          </cell>
          <cell r="W116" t="str">
            <v>#REF!</v>
          </cell>
          <cell r="X116" t="str">
            <v>#REF!</v>
          </cell>
          <cell r="Y116" t="str">
            <v>#REF!</v>
          </cell>
          <cell r="Z116" t="str">
            <v>#REF!</v>
          </cell>
          <cell r="AA116" t="str">
            <v>Zero investment in 2019</v>
          </cell>
          <cell r="AB116">
            <v>51283.915386626977</v>
          </cell>
          <cell r="AC116">
            <v>0</v>
          </cell>
          <cell r="AD116">
            <v>51284</v>
          </cell>
          <cell r="AL116">
            <v>107.6964</v>
          </cell>
          <cell r="AM116">
            <v>107.6964</v>
          </cell>
          <cell r="AN116">
            <v>35</v>
          </cell>
          <cell r="AQ116">
            <v>19597.293533076387</v>
          </cell>
          <cell r="AR116">
            <v>31686.62185355059</v>
          </cell>
        </row>
        <row r="117">
          <cell r="A117" t="str">
            <v>8160-01-219</v>
          </cell>
          <cell r="B117" t="str">
            <v>Ornit Goren Agmon</v>
          </cell>
          <cell r="C117" t="str">
            <v>057671869</v>
          </cell>
          <cell r="D117" t="e">
            <v>#REF!</v>
          </cell>
          <cell r="F117" t="str">
            <v>אורנית גורן אגמון</v>
          </cell>
          <cell r="G117" t="str">
            <v>III</v>
          </cell>
          <cell r="I117">
            <v>250000</v>
          </cell>
          <cell r="J117">
            <v>3.4189276924417983E-3</v>
          </cell>
          <cell r="K117">
            <v>4676.6567074911563</v>
          </cell>
          <cell r="L117">
            <v>46607.258679135819</v>
          </cell>
          <cell r="M117">
            <v>51283.915386626977</v>
          </cell>
          <cell r="N117">
            <v>1169.1641768727891</v>
          </cell>
          <cell r="O117">
            <v>0</v>
          </cell>
          <cell r="P117">
            <v>0</v>
          </cell>
          <cell r="Q117">
            <v>1169.1641768727891</v>
          </cell>
          <cell r="R117">
            <v>1169.1641768727891</v>
          </cell>
          <cell r="S117" t="str">
            <v>X</v>
          </cell>
          <cell r="U117">
            <v>50115</v>
          </cell>
          <cell r="V117" t="str">
            <v>#REF!</v>
          </cell>
          <cell r="W117" t="str">
            <v>#REF!</v>
          </cell>
          <cell r="X117" t="str">
            <v>#REF!</v>
          </cell>
          <cell r="Y117" t="str">
            <v>#REF!</v>
          </cell>
          <cell r="Z117" t="str">
            <v>#REF!</v>
          </cell>
          <cell r="AA117" t="str">
            <v>Zero investment in 2019</v>
          </cell>
          <cell r="AB117">
            <v>51283.915386626977</v>
          </cell>
          <cell r="AC117">
            <v>1169.1641768727891</v>
          </cell>
          <cell r="AD117">
            <v>50115</v>
          </cell>
          <cell r="AL117">
            <v>105.24149999999999</v>
          </cell>
          <cell r="AM117">
            <v>105.24149999999999</v>
          </cell>
          <cell r="AN117">
            <v>35</v>
          </cell>
          <cell r="AQ117">
            <v>19597.293533076387</v>
          </cell>
          <cell r="AR117">
            <v>31686.62185355059</v>
          </cell>
        </row>
        <row r="118">
          <cell r="A118" t="str">
            <v>8160-01-220</v>
          </cell>
          <cell r="B118" t="str">
            <v>Ron Segre</v>
          </cell>
          <cell r="C118" t="str">
            <v>027239847</v>
          </cell>
          <cell r="D118" t="e">
            <v>#REF!</v>
          </cell>
          <cell r="F118" t="str">
            <v>רון סגרה</v>
          </cell>
          <cell r="G118" t="str">
            <v>III</v>
          </cell>
          <cell r="I118">
            <v>250000</v>
          </cell>
          <cell r="J118">
            <v>3.4189276924417983E-3</v>
          </cell>
          <cell r="K118">
            <v>4676.6567074911563</v>
          </cell>
          <cell r="L118">
            <v>46607.258679135819</v>
          </cell>
          <cell r="M118">
            <v>51283.915386626977</v>
          </cell>
          <cell r="N118">
            <v>1169.1641768727891</v>
          </cell>
          <cell r="O118">
            <v>0</v>
          </cell>
          <cell r="P118">
            <v>0</v>
          </cell>
          <cell r="Q118">
            <v>1169.1641768727891</v>
          </cell>
          <cell r="R118">
            <v>1169.1641768727891</v>
          </cell>
          <cell r="S118" t="str">
            <v>X</v>
          </cell>
          <cell r="U118">
            <v>50115</v>
          </cell>
          <cell r="V118" t="str">
            <v>#REF!</v>
          </cell>
          <cell r="W118" t="str">
            <v>#REF!</v>
          </cell>
          <cell r="X118" t="str">
            <v>#REF!</v>
          </cell>
          <cell r="Y118" t="str">
            <v>#REF!</v>
          </cell>
          <cell r="Z118" t="str">
            <v>#REF!</v>
          </cell>
          <cell r="AA118" t="str">
            <v>Zero investment in 2019</v>
          </cell>
          <cell r="AB118">
            <v>51283.915386626977</v>
          </cell>
          <cell r="AC118">
            <v>1169.1641768727891</v>
          </cell>
          <cell r="AD118">
            <v>50115</v>
          </cell>
          <cell r="AF118" t="str">
            <v>לא מקבלים כסף</v>
          </cell>
          <cell r="AL118">
            <v>105.24149999999999</v>
          </cell>
          <cell r="AM118">
            <v>105.24149999999999</v>
          </cell>
          <cell r="AN118">
            <v>35</v>
          </cell>
          <cell r="AQ118">
            <v>19597.293533076387</v>
          </cell>
          <cell r="AR118">
            <v>31686.62185355059</v>
          </cell>
        </row>
        <row r="119">
          <cell r="A119" t="str">
            <v>8160-01-221</v>
          </cell>
          <cell r="B119" t="str">
            <v>Shmuel (Muli) Ben Zvi</v>
          </cell>
          <cell r="C119" t="str">
            <v>056231475</v>
          </cell>
          <cell r="D119" t="e">
            <v>#REF!</v>
          </cell>
          <cell r="F119" t="str">
            <v>שמואל בן צבי</v>
          </cell>
          <cell r="G119" t="str">
            <v>III</v>
          </cell>
          <cell r="I119">
            <v>150000</v>
          </cell>
          <cell r="J119">
            <v>2.0513566154650789E-3</v>
          </cell>
          <cell r="K119">
            <v>2805.9940244946933</v>
          </cell>
          <cell r="L119">
            <v>27964.355207481487</v>
          </cell>
          <cell r="M119">
            <v>30770.349231976179</v>
          </cell>
          <cell r="N119">
            <v>701.49850612367334</v>
          </cell>
          <cell r="O119">
            <v>0</v>
          </cell>
          <cell r="P119">
            <v>0</v>
          </cell>
          <cell r="Q119">
            <v>701.49850612367334</v>
          </cell>
          <cell r="R119">
            <v>701.49850612367334</v>
          </cell>
          <cell r="S119" t="str">
            <v>X</v>
          </cell>
          <cell r="U119">
            <v>30069</v>
          </cell>
          <cell r="V119" t="str">
            <v>#REF!</v>
          </cell>
          <cell r="W119" t="str">
            <v>#REF!</v>
          </cell>
          <cell r="X119" t="str">
            <v>#REF!</v>
          </cell>
          <cell r="Y119" t="str">
            <v>#REF!</v>
          </cell>
          <cell r="Z119" t="str">
            <v>#REF!</v>
          </cell>
          <cell r="AA119" t="str">
            <v>Zero investment in 2019</v>
          </cell>
          <cell r="AB119">
            <v>30770.349231976179</v>
          </cell>
          <cell r="AC119">
            <v>701.49850612367334</v>
          </cell>
          <cell r="AD119">
            <v>30069</v>
          </cell>
          <cell r="AL119">
            <v>63.144899999999993</v>
          </cell>
          <cell r="AM119">
            <v>63.144899999999993</v>
          </cell>
          <cell r="AN119">
            <v>35</v>
          </cell>
          <cell r="AQ119">
            <v>11758.376119845832</v>
          </cell>
          <cell r="AR119">
            <v>19011.973112130348</v>
          </cell>
        </row>
        <row r="120">
          <cell r="A120" t="str">
            <v>8160-01-222</v>
          </cell>
          <cell r="B120" t="str">
            <v>Nihshei Mishpahat Spivak</v>
          </cell>
          <cell r="C120">
            <v>512359852</v>
          </cell>
          <cell r="D120" t="e">
            <v>#REF!</v>
          </cell>
          <cell r="E120" t="str">
            <v>Nihshei Mishpahat Spivak</v>
          </cell>
          <cell r="F120" t="str">
            <v>נכסי משפחת ספיבק בע"מ</v>
          </cell>
          <cell r="G120" t="str">
            <v>III</v>
          </cell>
          <cell r="I120">
            <v>250000</v>
          </cell>
          <cell r="J120">
            <v>3.4189276924417983E-3</v>
          </cell>
          <cell r="K120">
            <v>4676.6567074911563</v>
          </cell>
          <cell r="L120">
            <v>46607.258679135819</v>
          </cell>
          <cell r="M120">
            <v>51283.915386626977</v>
          </cell>
          <cell r="O120">
            <v>0</v>
          </cell>
          <cell r="R120">
            <v>0</v>
          </cell>
          <cell r="S120" t="str">
            <v>V</v>
          </cell>
          <cell r="U120">
            <v>51284</v>
          </cell>
          <cell r="V120" t="str">
            <v>#REF!</v>
          </cell>
          <cell r="W120" t="str">
            <v>#REF!</v>
          </cell>
          <cell r="X120" t="str">
            <v>#REF!</v>
          </cell>
          <cell r="Y120" t="str">
            <v>#REF!</v>
          </cell>
          <cell r="Z120" t="str">
            <v>#REF!</v>
          </cell>
          <cell r="AA120" t="str">
            <v>Zero investment in 2019</v>
          </cell>
          <cell r="AB120">
            <v>51283.915386626977</v>
          </cell>
          <cell r="AC120">
            <v>0</v>
          </cell>
          <cell r="AD120">
            <v>51284</v>
          </cell>
          <cell r="AL120">
            <v>107.6964</v>
          </cell>
          <cell r="AM120">
            <v>107.6964</v>
          </cell>
          <cell r="AN120">
            <v>35</v>
          </cell>
          <cell r="AQ120">
            <v>19597.293533076387</v>
          </cell>
          <cell r="AR120">
            <v>31686.62185355059</v>
          </cell>
        </row>
        <row r="121">
          <cell r="A121" t="str">
            <v>8160-01-223</v>
          </cell>
          <cell r="B121" t="str">
            <v>Uri Mishol</v>
          </cell>
          <cell r="C121" t="str">
            <v>033452475</v>
          </cell>
          <cell r="D121" t="e">
            <v>#REF!</v>
          </cell>
          <cell r="F121" t="str">
            <v>אורי משעול</v>
          </cell>
          <cell r="G121" t="str">
            <v>III</v>
          </cell>
          <cell r="I121">
            <v>300000</v>
          </cell>
          <cell r="J121">
            <v>4.1027132309301578E-3</v>
          </cell>
          <cell r="K121">
            <v>5611.9880489893867</v>
          </cell>
          <cell r="L121">
            <v>55928.710414962974</v>
          </cell>
          <cell r="M121">
            <v>61540.698463952358</v>
          </cell>
          <cell r="N121">
            <v>1402.9970122473467</v>
          </cell>
          <cell r="O121">
            <v>0</v>
          </cell>
          <cell r="P121">
            <v>0</v>
          </cell>
          <cell r="Q121">
            <v>1402.9970122473467</v>
          </cell>
          <cell r="R121">
            <v>1402.9970122473467</v>
          </cell>
          <cell r="S121" t="str">
            <v>X</v>
          </cell>
          <cell r="U121">
            <v>60138</v>
          </cell>
          <cell r="V121" t="str">
            <v>#REF!</v>
          </cell>
          <cell r="W121" t="str">
            <v>#REF!</v>
          </cell>
          <cell r="X121" t="str">
            <v>#REF!</v>
          </cell>
          <cell r="Y121" t="str">
            <v>#REF!</v>
          </cell>
          <cell r="Z121" t="str">
            <v>#REF!</v>
          </cell>
          <cell r="AA121" t="str">
            <v>Zero investment in 2019</v>
          </cell>
          <cell r="AB121">
            <v>61540.698463952358</v>
          </cell>
          <cell r="AC121">
            <v>1402.9970122473467</v>
          </cell>
          <cell r="AD121">
            <v>60138</v>
          </cell>
          <cell r="AL121">
            <v>126.28979999999999</v>
          </cell>
          <cell r="AM121">
            <v>126.28979999999999</v>
          </cell>
          <cell r="AN121">
            <v>35</v>
          </cell>
          <cell r="AQ121">
            <v>23516.752239691665</v>
          </cell>
          <cell r="AR121">
            <v>38023.946224260697</v>
          </cell>
        </row>
        <row r="122">
          <cell r="A122" t="str">
            <v>8160-01-224</v>
          </cell>
          <cell r="B122" t="str">
            <v>Yochai Tiroche</v>
          </cell>
          <cell r="C122" t="str">
            <v>051033256</v>
          </cell>
          <cell r="D122" t="e">
            <v>#REF!</v>
          </cell>
          <cell r="F122" t="str">
            <v>יוחאי תירוש</v>
          </cell>
          <cell r="G122" t="str">
            <v>III</v>
          </cell>
          <cell r="I122">
            <v>400000</v>
          </cell>
          <cell r="J122">
            <v>5.4702843079068777E-3</v>
          </cell>
          <cell r="K122">
            <v>7482.6507319858501</v>
          </cell>
          <cell r="L122">
            <v>74571.613886617313</v>
          </cell>
          <cell r="M122">
            <v>82054.264618603163</v>
          </cell>
          <cell r="N122">
            <v>1870.6626829964625</v>
          </cell>
          <cell r="O122">
            <v>0</v>
          </cell>
          <cell r="P122">
            <v>0</v>
          </cell>
          <cell r="Q122">
            <v>1870.6626829964625</v>
          </cell>
          <cell r="R122">
            <v>1870.6626829964625</v>
          </cell>
          <cell r="S122" t="str">
            <v>X</v>
          </cell>
          <cell r="U122">
            <v>80184</v>
          </cell>
          <cell r="V122" t="str">
            <v>#REF!</v>
          </cell>
          <cell r="W122" t="str">
            <v>#REF!</v>
          </cell>
          <cell r="X122" t="str">
            <v>#REF!</v>
          </cell>
          <cell r="Y122" t="str">
            <v>#REF!</v>
          </cell>
          <cell r="Z122" t="str">
            <v>#REF!</v>
          </cell>
          <cell r="AA122" t="str">
            <v>Zero investment in 2019</v>
          </cell>
          <cell r="AB122">
            <v>82054.264618603163</v>
          </cell>
          <cell r="AC122">
            <v>1870.6626829964625</v>
          </cell>
          <cell r="AD122">
            <v>80184</v>
          </cell>
          <cell r="AL122">
            <v>168.38639999999998</v>
          </cell>
          <cell r="AM122">
            <v>168.38639999999998</v>
          </cell>
          <cell r="AN122">
            <v>35</v>
          </cell>
          <cell r="AQ122">
            <v>31355.669652922224</v>
          </cell>
          <cell r="AR122">
            <v>50698.594965680939</v>
          </cell>
        </row>
        <row r="123">
          <cell r="A123" t="str">
            <v>8160-01-225</v>
          </cell>
          <cell r="B123" t="str">
            <v>Aki Ratner</v>
          </cell>
          <cell r="C123" t="str">
            <v>054040977</v>
          </cell>
          <cell r="D123" t="e">
            <v>#REF!</v>
          </cell>
          <cell r="F123" t="str">
            <v>יצחק איזיק רטנר</v>
          </cell>
          <cell r="G123" t="str">
            <v>IV</v>
          </cell>
          <cell r="I123">
            <v>250000</v>
          </cell>
          <cell r="J123">
            <v>3.4189276924417983E-3</v>
          </cell>
          <cell r="K123">
            <v>4676.6567074911563</v>
          </cell>
          <cell r="L123">
            <v>46607.258679135819</v>
          </cell>
          <cell r="M123">
            <v>51283.915386626977</v>
          </cell>
          <cell r="N123">
            <v>1169.1641768727891</v>
          </cell>
          <cell r="O123">
            <v>0</v>
          </cell>
          <cell r="P123">
            <v>0</v>
          </cell>
          <cell r="Q123">
            <v>1169.1641768727891</v>
          </cell>
          <cell r="R123">
            <v>1169.1641768727891</v>
          </cell>
          <cell r="S123" t="str">
            <v>X</v>
          </cell>
          <cell r="U123">
            <v>50115</v>
          </cell>
          <cell r="V123" t="str">
            <v>#REF!</v>
          </cell>
          <cell r="W123" t="str">
            <v>#REF!</v>
          </cell>
          <cell r="X123" t="str">
            <v>#REF!</v>
          </cell>
          <cell r="Y123" t="str">
            <v>#REF!</v>
          </cell>
          <cell r="Z123" t="str">
            <v>#REF!</v>
          </cell>
          <cell r="AA123" t="str">
            <v>Zero investment in 2019</v>
          </cell>
          <cell r="AB123">
            <v>51283.915386626977</v>
          </cell>
          <cell r="AC123">
            <v>1169.1641768727891</v>
          </cell>
          <cell r="AD123">
            <v>50115</v>
          </cell>
          <cell r="AL123">
            <v>105.24149999999999</v>
          </cell>
          <cell r="AM123">
            <v>105.24149999999999</v>
          </cell>
          <cell r="AN123">
            <v>35</v>
          </cell>
          <cell r="AQ123">
            <v>19597.293533076387</v>
          </cell>
          <cell r="AR123">
            <v>31686.62185355059</v>
          </cell>
        </row>
        <row r="124">
          <cell r="A124" t="str">
            <v>8160-01-226</v>
          </cell>
          <cell r="B124" t="str">
            <v>Amos &amp; Gili Weizman</v>
          </cell>
          <cell r="C124" t="str">
            <v>Amos - '008128910
Gili - '053387239</v>
          </cell>
          <cell r="D124" t="e">
            <v>#REF!</v>
          </cell>
          <cell r="F124" t="str">
            <v>עמוס זוסיא ויצמן וגילי ויצמן עפרון</v>
          </cell>
          <cell r="G124" t="str">
            <v>IV</v>
          </cell>
          <cell r="I124">
            <v>250000</v>
          </cell>
          <cell r="J124">
            <v>3.4189276924417983E-3</v>
          </cell>
          <cell r="K124">
            <v>4676.6567074911563</v>
          </cell>
          <cell r="L124">
            <v>46607.258679135819</v>
          </cell>
          <cell r="M124">
            <v>51283.915386626977</v>
          </cell>
          <cell r="N124">
            <v>1169.1641768727891</v>
          </cell>
          <cell r="O124">
            <v>0</v>
          </cell>
          <cell r="P124">
            <v>0</v>
          </cell>
          <cell r="Q124">
            <v>1169.1641768727891</v>
          </cell>
          <cell r="R124">
            <v>1169.1641768727891</v>
          </cell>
          <cell r="S124" t="str">
            <v>X</v>
          </cell>
          <cell r="U124">
            <v>50115</v>
          </cell>
          <cell r="V124" t="str">
            <v>#REF!</v>
          </cell>
          <cell r="W124" t="str">
            <v>#REF!</v>
          </cell>
          <cell r="X124" t="str">
            <v>#REF!</v>
          </cell>
          <cell r="Y124" t="str">
            <v>#REF!</v>
          </cell>
          <cell r="Z124" t="str">
            <v>#REF!</v>
          </cell>
          <cell r="AA124" t="str">
            <v>Zero investment in 2019</v>
          </cell>
          <cell r="AB124">
            <v>51283.915386626977</v>
          </cell>
          <cell r="AC124">
            <v>1169.1641768727891</v>
          </cell>
          <cell r="AD124">
            <v>50115</v>
          </cell>
          <cell r="AL124">
            <v>105.24149999999999</v>
          </cell>
          <cell r="AM124">
            <v>105.24149999999999</v>
          </cell>
          <cell r="AN124">
            <v>35</v>
          </cell>
          <cell r="AQ124">
            <v>19597.293533076387</v>
          </cell>
          <cell r="AR124">
            <v>31686.62185355059</v>
          </cell>
        </row>
        <row r="125">
          <cell r="A125" t="str">
            <v>8160-01-227</v>
          </cell>
          <cell r="B125" t="str">
            <v>Ben Zion Zilberfarb</v>
          </cell>
          <cell r="C125" t="str">
            <v>030134605</v>
          </cell>
          <cell r="D125" t="e">
            <v>#REF!</v>
          </cell>
          <cell r="F125" t="str">
            <v>בן ציון זילברפארב</v>
          </cell>
          <cell r="G125" t="str">
            <v>IV</v>
          </cell>
          <cell r="I125">
            <v>250000</v>
          </cell>
          <cell r="J125">
            <v>3.4189276924417983E-3</v>
          </cell>
          <cell r="K125">
            <v>4676.6567074911563</v>
          </cell>
          <cell r="L125">
            <v>46607.258679135819</v>
          </cell>
          <cell r="M125">
            <v>51283.915386626977</v>
          </cell>
          <cell r="N125">
            <v>1169.1641768727891</v>
          </cell>
          <cell r="O125">
            <v>0</v>
          </cell>
          <cell r="P125">
            <v>0</v>
          </cell>
          <cell r="Q125">
            <v>1169.1641768727891</v>
          </cell>
          <cell r="R125">
            <v>1169.1641768727891</v>
          </cell>
          <cell r="S125" t="str">
            <v>X</v>
          </cell>
          <cell r="U125">
            <v>50115</v>
          </cell>
          <cell r="V125" t="str">
            <v>#REF!</v>
          </cell>
          <cell r="W125" t="str">
            <v>#REF!</v>
          </cell>
          <cell r="X125" t="str">
            <v>#REF!</v>
          </cell>
          <cell r="Y125" t="str">
            <v>#REF!</v>
          </cell>
          <cell r="Z125" t="str">
            <v>#REF!</v>
          </cell>
          <cell r="AA125" t="str">
            <v>Zero investment in 2019</v>
          </cell>
          <cell r="AB125">
            <v>51283.915386626977</v>
          </cell>
          <cell r="AC125">
            <v>1169.1641768727891</v>
          </cell>
          <cell r="AD125">
            <v>50115</v>
          </cell>
          <cell r="AL125">
            <v>105.24149999999999</v>
          </cell>
          <cell r="AM125">
            <v>105.24149999999999</v>
          </cell>
          <cell r="AN125">
            <v>35</v>
          </cell>
          <cell r="AQ125">
            <v>19597.293533076387</v>
          </cell>
          <cell r="AR125">
            <v>31686.62185355059</v>
          </cell>
        </row>
        <row r="126">
          <cell r="A126" t="str">
            <v>8160-01-228</v>
          </cell>
          <cell r="B126" t="str">
            <v>D. Pasternak Managment and Holdings LTD</v>
          </cell>
          <cell r="C126">
            <v>515305746</v>
          </cell>
          <cell r="D126" t="e">
            <v>#REF!</v>
          </cell>
          <cell r="E126" t="str">
            <v>D. Pasternak Managment and Holdings LTD</v>
          </cell>
          <cell r="F126" t="str">
            <v>ד. פסטרנק ניהול ואחזקות בע"מ</v>
          </cell>
          <cell r="G126" t="str">
            <v>IV</v>
          </cell>
          <cell r="I126">
            <v>250000</v>
          </cell>
          <cell r="J126">
            <v>3.4189276924417983E-3</v>
          </cell>
          <cell r="K126">
            <v>4676.6567074911563</v>
          </cell>
          <cell r="L126">
            <v>46607.258679135819</v>
          </cell>
          <cell r="M126">
            <v>51283.915386626977</v>
          </cell>
          <cell r="O126">
            <v>0</v>
          </cell>
          <cell r="R126">
            <v>0</v>
          </cell>
          <cell r="S126" t="str">
            <v>V</v>
          </cell>
          <cell r="T126">
            <v>0</v>
          </cell>
          <cell r="U126">
            <v>51284</v>
          </cell>
          <cell r="V126" t="str">
            <v>#REF!</v>
          </cell>
          <cell r="W126" t="str">
            <v>#REF!</v>
          </cell>
          <cell r="X126" t="str">
            <v>#REF!</v>
          </cell>
          <cell r="Y126" t="str">
            <v>#REF!</v>
          </cell>
          <cell r="Z126" t="str">
            <v>#REF!</v>
          </cell>
          <cell r="AA126" t="str">
            <v>Zero investment in 2019</v>
          </cell>
          <cell r="AB126">
            <v>51283.915386626977</v>
          </cell>
          <cell r="AC126">
            <v>0</v>
          </cell>
          <cell r="AD126">
            <v>51284</v>
          </cell>
          <cell r="AL126">
            <v>107.6964</v>
          </cell>
          <cell r="AM126">
            <v>107.6964</v>
          </cell>
          <cell r="AN126">
            <v>35</v>
          </cell>
          <cell r="AQ126">
            <v>19597.293533076387</v>
          </cell>
          <cell r="AR126">
            <v>31686.62185355059</v>
          </cell>
        </row>
        <row r="127">
          <cell r="A127" t="str">
            <v>8160-01-229</v>
          </cell>
          <cell r="B127" t="str">
            <v>Doron &amp; Yaffa Shalit</v>
          </cell>
          <cell r="C127" t="str">
            <v>Doron - 053971701
Yaffa - 054237763</v>
          </cell>
          <cell r="D127" t="e">
            <v>#REF!</v>
          </cell>
          <cell r="F127" t="str">
            <v>דורון שליט ויפה שליט</v>
          </cell>
          <cell r="G127" t="str">
            <v>IV</v>
          </cell>
          <cell r="I127">
            <v>250000</v>
          </cell>
          <cell r="J127">
            <v>3.4189276924417983E-3</v>
          </cell>
          <cell r="K127">
            <v>4676.6567074911563</v>
          </cell>
          <cell r="L127">
            <v>46607.258679135819</v>
          </cell>
          <cell r="M127">
            <v>51283.915386626977</v>
          </cell>
          <cell r="N127">
            <v>1169.1641768727891</v>
          </cell>
          <cell r="O127">
            <v>0</v>
          </cell>
          <cell r="P127">
            <v>0</v>
          </cell>
          <cell r="Q127">
            <v>1169.1641768727891</v>
          </cell>
          <cell r="R127">
            <v>1169.1641768727891</v>
          </cell>
          <cell r="S127" t="str">
            <v>X</v>
          </cell>
          <cell r="U127">
            <v>50115</v>
          </cell>
          <cell r="V127" t="str">
            <v>#REF!</v>
          </cell>
          <cell r="W127" t="str">
            <v>#REF!</v>
          </cell>
          <cell r="X127" t="str">
            <v>#REF!</v>
          </cell>
          <cell r="Y127" t="str">
            <v>#REF!</v>
          </cell>
          <cell r="Z127" t="str">
            <v>#REF!</v>
          </cell>
          <cell r="AA127" t="str">
            <v>Zero investment in 2019</v>
          </cell>
          <cell r="AB127">
            <v>51283.915386626977</v>
          </cell>
          <cell r="AC127">
            <v>1169.1641768727891</v>
          </cell>
          <cell r="AD127">
            <v>50115</v>
          </cell>
          <cell r="AL127">
            <v>105.24149999999999</v>
          </cell>
          <cell r="AM127">
            <v>105.24149999999999</v>
          </cell>
          <cell r="AN127">
            <v>35</v>
          </cell>
          <cell r="AQ127">
            <v>19597.293533076387</v>
          </cell>
          <cell r="AR127">
            <v>31686.62185355059</v>
          </cell>
        </row>
        <row r="128">
          <cell r="A128" t="str">
            <v>8160-01-230</v>
          </cell>
          <cell r="B128" t="str">
            <v>Eran Brener</v>
          </cell>
          <cell r="C128" t="str">
            <v>027310887</v>
          </cell>
          <cell r="D128" t="e">
            <v>#REF!</v>
          </cell>
          <cell r="F128" t="str">
            <v>ערן יוחנן ברנר</v>
          </cell>
          <cell r="G128" t="str">
            <v>IV</v>
          </cell>
          <cell r="I128">
            <v>150000</v>
          </cell>
          <cell r="J128">
            <v>2.0513566154650789E-3</v>
          </cell>
          <cell r="K128">
            <v>2805.9940244946933</v>
          </cell>
          <cell r="L128">
            <v>27964.355207481487</v>
          </cell>
          <cell r="M128">
            <v>30770.349231976179</v>
          </cell>
          <cell r="N128">
            <v>701.49850612367334</v>
          </cell>
          <cell r="O128">
            <v>0</v>
          </cell>
          <cell r="P128">
            <v>0</v>
          </cell>
          <cell r="Q128">
            <v>701.49850612367334</v>
          </cell>
          <cell r="R128">
            <v>701.49850612367334</v>
          </cell>
          <cell r="S128" t="str">
            <v>X</v>
          </cell>
          <cell r="U128">
            <v>30069</v>
          </cell>
          <cell r="V128" t="str">
            <v>#REF!</v>
          </cell>
          <cell r="W128" t="str">
            <v>#REF!</v>
          </cell>
          <cell r="X128" t="str">
            <v>#REF!</v>
          </cell>
          <cell r="Y128" t="str">
            <v>#REF!</v>
          </cell>
          <cell r="Z128" t="str">
            <v>#REF!</v>
          </cell>
          <cell r="AA128" t="str">
            <v>Zero investment in 2019</v>
          </cell>
          <cell r="AB128">
            <v>30770.349231976179</v>
          </cell>
          <cell r="AC128">
            <v>701.49850612367334</v>
          </cell>
          <cell r="AD128">
            <v>30069</v>
          </cell>
          <cell r="AL128">
            <v>63.144899999999993</v>
          </cell>
          <cell r="AM128">
            <v>63.144899999999993</v>
          </cell>
          <cell r="AN128">
            <v>35</v>
          </cell>
          <cell r="AQ128">
            <v>11758.376119845832</v>
          </cell>
          <cell r="AR128">
            <v>19011.973112130348</v>
          </cell>
        </row>
        <row r="129">
          <cell r="A129" t="str">
            <v>8160-01-231</v>
          </cell>
          <cell r="B129" t="str">
            <v>Gad Graff</v>
          </cell>
          <cell r="C129" t="str">
            <v>057520074</v>
          </cell>
          <cell r="D129" t="e">
            <v>#REF!</v>
          </cell>
          <cell r="F129" t="str">
            <v>גד גרף</v>
          </cell>
          <cell r="G129" t="str">
            <v>IV</v>
          </cell>
          <cell r="I129">
            <v>200000</v>
          </cell>
          <cell r="J129">
            <v>2.7351421539534388E-3</v>
          </cell>
          <cell r="K129">
            <v>3741.3253659929251</v>
          </cell>
          <cell r="L129">
            <v>37285.806943308657</v>
          </cell>
          <cell r="M129">
            <v>41027.132309301582</v>
          </cell>
          <cell r="N129">
            <v>935.33134149823127</v>
          </cell>
          <cell r="O129">
            <v>0</v>
          </cell>
          <cell r="P129">
            <v>0</v>
          </cell>
          <cell r="Q129">
            <v>935.33134149823127</v>
          </cell>
          <cell r="R129">
            <v>935.33134149823127</v>
          </cell>
          <cell r="S129" t="str">
            <v>X</v>
          </cell>
          <cell r="U129">
            <v>40092</v>
          </cell>
          <cell r="V129" t="str">
            <v>#REF!</v>
          </cell>
          <cell r="W129" t="str">
            <v>#REF!</v>
          </cell>
          <cell r="X129" t="str">
            <v>#REF!</v>
          </cell>
          <cell r="Y129" t="str">
            <v>#REF!</v>
          </cell>
          <cell r="Z129" t="str">
            <v>#REF!</v>
          </cell>
          <cell r="AA129" t="str">
            <v>Zero investment in 2019</v>
          </cell>
          <cell r="AB129">
            <v>41027.132309301582</v>
          </cell>
          <cell r="AC129">
            <v>935.33134149823127</v>
          </cell>
          <cell r="AD129">
            <v>40092</v>
          </cell>
          <cell r="AL129">
            <v>84.19319999999999</v>
          </cell>
          <cell r="AM129">
            <v>84.19319999999999</v>
          </cell>
          <cell r="AN129">
            <v>35</v>
          </cell>
          <cell r="AQ129">
            <v>15677.834826461112</v>
          </cell>
          <cell r="AR129">
            <v>25349.297482840469</v>
          </cell>
        </row>
        <row r="130">
          <cell r="A130" t="str">
            <v>8160-01-232</v>
          </cell>
          <cell r="B130" t="str">
            <v>Tamar &amp; Shimon Gesundheit</v>
          </cell>
          <cell r="C130" t="str">
            <v>Tamar - 012426821
Shimon - 014762710</v>
          </cell>
          <cell r="D130" t="e">
            <v>#REF!</v>
          </cell>
          <cell r="F130" t="str">
            <v>תמר גזונדהייט ושמעון גזונדהייט</v>
          </cell>
          <cell r="G130" t="str">
            <v>IV</v>
          </cell>
          <cell r="I130">
            <v>1500000</v>
          </cell>
          <cell r="J130">
            <v>2.0513566154650789E-2</v>
          </cell>
          <cell r="K130">
            <v>28059.940244946934</v>
          </cell>
          <cell r="L130">
            <v>279643.55207481486</v>
          </cell>
          <cell r="M130">
            <v>307703.49231976178</v>
          </cell>
          <cell r="N130">
            <v>7014.9850612367336</v>
          </cell>
          <cell r="O130">
            <v>0</v>
          </cell>
          <cell r="P130">
            <v>0</v>
          </cell>
          <cell r="Q130">
            <v>7014.9850612367336</v>
          </cell>
          <cell r="R130">
            <v>7014.9850612367336</v>
          </cell>
          <cell r="S130" t="str">
            <v>X</v>
          </cell>
          <cell r="U130">
            <v>300689</v>
          </cell>
          <cell r="V130" t="str">
            <v>#REF!</v>
          </cell>
          <cell r="W130" t="str">
            <v>#REF!</v>
          </cell>
          <cell r="X130" t="str">
            <v>#REF!</v>
          </cell>
          <cell r="Y130" t="str">
            <v>#REF!</v>
          </cell>
          <cell r="Z130" t="str">
            <v>#REF!</v>
          </cell>
          <cell r="AA130" t="str">
            <v>Zero investment in 2019</v>
          </cell>
          <cell r="AB130">
            <v>307703.49231976178</v>
          </cell>
          <cell r="AC130">
            <v>7014.9850612367336</v>
          </cell>
          <cell r="AD130">
            <v>300689</v>
          </cell>
          <cell r="AL130">
            <v>631.44689999999991</v>
          </cell>
          <cell r="AM130">
            <v>631.44689999999991</v>
          </cell>
          <cell r="AN130">
            <v>35</v>
          </cell>
          <cell r="AQ130">
            <v>117583.76119845832</v>
          </cell>
          <cell r="AR130">
            <v>190119.73112130346</v>
          </cell>
        </row>
        <row r="131">
          <cell r="A131" t="str">
            <v>8160-01-233</v>
          </cell>
          <cell r="B131" t="str">
            <v>Harlap Holdings LTD</v>
          </cell>
          <cell r="C131">
            <v>513262063</v>
          </cell>
          <cell r="D131" t="e">
            <v>#REF!</v>
          </cell>
          <cell r="E131" t="str">
            <v>Harlap Holdings LTD</v>
          </cell>
          <cell r="F131" t="str">
            <v>חרל"פ אחזקות בע"מ</v>
          </cell>
          <cell r="G131" t="str">
            <v>IV</v>
          </cell>
          <cell r="I131">
            <v>280000</v>
          </cell>
          <cell r="J131">
            <v>3.829199015534814E-3</v>
          </cell>
          <cell r="K131">
            <v>5237.8555123900942</v>
          </cell>
          <cell r="L131">
            <v>52200.129720632111</v>
          </cell>
          <cell r="M131">
            <v>57437.985233022206</v>
          </cell>
          <cell r="O131">
            <v>0</v>
          </cell>
          <cell r="R131">
            <v>0</v>
          </cell>
          <cell r="S131" t="str">
            <v>V</v>
          </cell>
          <cell r="T131">
            <v>0</v>
          </cell>
          <cell r="U131">
            <v>57438</v>
          </cell>
          <cell r="V131" t="str">
            <v>#REF!</v>
          </cell>
          <cell r="W131" t="str">
            <v>#REF!</v>
          </cell>
          <cell r="X131" t="str">
            <v>#REF!</v>
          </cell>
          <cell r="Y131" t="str">
            <v>#REF!</v>
          </cell>
          <cell r="Z131" t="str">
            <v>#REF!</v>
          </cell>
          <cell r="AA131" t="str">
            <v>Zero investment in 2019</v>
          </cell>
          <cell r="AB131">
            <v>57437.985233022206</v>
          </cell>
          <cell r="AC131">
            <v>0</v>
          </cell>
          <cell r="AD131">
            <v>57438</v>
          </cell>
          <cell r="AL131">
            <v>120.6198</v>
          </cell>
          <cell r="AM131">
            <v>120.6198</v>
          </cell>
          <cell r="AN131">
            <v>35</v>
          </cell>
          <cell r="AQ131">
            <v>21948.968757045554</v>
          </cell>
          <cell r="AR131">
            <v>35489.016475976649</v>
          </cell>
        </row>
        <row r="132">
          <cell r="A132" t="str">
            <v>8160-01-234</v>
          </cell>
          <cell r="B132" t="str">
            <v>Avraham Fried</v>
          </cell>
          <cell r="C132" t="str">
            <v>056166804</v>
          </cell>
          <cell r="D132" t="e">
            <v>#REF!</v>
          </cell>
          <cell r="F132" t="str">
            <v>אברהם פריד</v>
          </cell>
          <cell r="G132" t="str">
            <v>IV</v>
          </cell>
          <cell r="H132" t="str">
            <v>Meitav</v>
          </cell>
          <cell r="I132">
            <v>1000000</v>
          </cell>
          <cell r="J132">
            <v>1.3675710769767193E-2</v>
          </cell>
          <cell r="K132">
            <v>18706.626829964625</v>
          </cell>
          <cell r="L132">
            <v>186429.03471654328</v>
          </cell>
          <cell r="M132">
            <v>205135.66154650791</v>
          </cell>
          <cell r="O132">
            <v>0</v>
          </cell>
          <cell r="R132">
            <v>0</v>
          </cell>
          <cell r="S132" t="str">
            <v>IRA</v>
          </cell>
          <cell r="T132">
            <v>0</v>
          </cell>
          <cell r="U132">
            <v>205136</v>
          </cell>
          <cell r="V132" t="str">
            <v>#REF!</v>
          </cell>
          <cell r="W132" t="str">
            <v>#REF!</v>
          </cell>
          <cell r="X132" t="str">
            <v>#REF!</v>
          </cell>
          <cell r="Y132" t="str">
            <v>#REF!</v>
          </cell>
          <cell r="Z132" t="str">
            <v>#REF!</v>
          </cell>
          <cell r="AA132" t="str">
            <v>Zero investment in 2019</v>
          </cell>
          <cell r="AB132">
            <v>205135.66154650791</v>
          </cell>
          <cell r="AC132">
            <v>0</v>
          </cell>
          <cell r="AD132">
            <v>205136</v>
          </cell>
          <cell r="AL132">
            <v>430.78559999999999</v>
          </cell>
          <cell r="AM132">
            <v>430.78559999999999</v>
          </cell>
          <cell r="AN132">
            <v>35</v>
          </cell>
          <cell r="AQ132">
            <v>78389.174132305547</v>
          </cell>
          <cell r="AR132">
            <v>126746.48741420236</v>
          </cell>
        </row>
        <row r="133">
          <cell r="A133" t="str">
            <v>8160-01-235</v>
          </cell>
          <cell r="B133" t="str">
            <v>Meir Benyamin Hershkovitz</v>
          </cell>
          <cell r="C133" t="str">
            <v>030319610</v>
          </cell>
          <cell r="D133" t="e">
            <v>#REF!</v>
          </cell>
          <cell r="F133" t="str">
            <v>מאיר בנימין הרשקוביץ</v>
          </cell>
          <cell r="G133" t="str">
            <v>IV</v>
          </cell>
          <cell r="H133" t="str">
            <v>Meitav</v>
          </cell>
          <cell r="I133">
            <v>500000</v>
          </cell>
          <cell r="J133">
            <v>6.8378553848835967E-3</v>
          </cell>
          <cell r="K133">
            <v>9353.3134149823127</v>
          </cell>
          <cell r="L133">
            <v>93214.517358271638</v>
          </cell>
          <cell r="M133">
            <v>102567.83077325395</v>
          </cell>
          <cell r="O133">
            <v>0</v>
          </cell>
          <cell r="R133">
            <v>0</v>
          </cell>
          <cell r="S133" t="str">
            <v>IRA</v>
          </cell>
          <cell r="T133">
            <v>0</v>
          </cell>
          <cell r="U133">
            <v>102568</v>
          </cell>
          <cell r="V133" t="str">
            <v>#REF!</v>
          </cell>
          <cell r="W133" t="str">
            <v>#REF!</v>
          </cell>
          <cell r="X133" t="str">
            <v>#REF!</v>
          </cell>
          <cell r="Y133" t="str">
            <v>#REF!</v>
          </cell>
          <cell r="Z133" t="str">
            <v>#REF!</v>
          </cell>
          <cell r="AA133" t="str">
            <v>Zero investment in 2019</v>
          </cell>
          <cell r="AB133">
            <v>102567.83077325395</v>
          </cell>
          <cell r="AC133">
            <v>0</v>
          </cell>
          <cell r="AD133">
            <v>102568</v>
          </cell>
          <cell r="AL133">
            <v>215.39279999999999</v>
          </cell>
          <cell r="AM133">
            <v>215.39279999999999</v>
          </cell>
          <cell r="AN133">
            <v>35</v>
          </cell>
          <cell r="AQ133">
            <v>39194.587066152773</v>
          </cell>
          <cell r="AR133">
            <v>63373.243707101181</v>
          </cell>
        </row>
        <row r="134">
          <cell r="A134" t="str">
            <v>8160-01-236</v>
          </cell>
          <cell r="B134" t="str">
            <v>Avraham Zivony</v>
          </cell>
          <cell r="C134" t="str">
            <v>051598373</v>
          </cell>
          <cell r="D134" t="e">
            <v>#REF!</v>
          </cell>
          <cell r="F134" t="str">
            <v>אברהם צבעוני</v>
          </cell>
          <cell r="G134" t="str">
            <v>IV</v>
          </cell>
          <cell r="H134" t="str">
            <v>Meitav</v>
          </cell>
          <cell r="I134">
            <v>250000</v>
          </cell>
          <cell r="J134">
            <v>3.4189276924417983E-3</v>
          </cell>
          <cell r="K134">
            <v>4676.6567074911563</v>
          </cell>
          <cell r="L134">
            <v>46607.258679135819</v>
          </cell>
          <cell r="M134">
            <v>51283.915386626977</v>
          </cell>
          <cell r="O134">
            <v>0</v>
          </cell>
          <cell r="R134">
            <v>0</v>
          </cell>
          <cell r="S134" t="str">
            <v>IRA</v>
          </cell>
          <cell r="T134">
            <v>0</v>
          </cell>
          <cell r="U134">
            <v>51284</v>
          </cell>
          <cell r="V134" t="str">
            <v>#REF!</v>
          </cell>
          <cell r="W134" t="str">
            <v>#REF!</v>
          </cell>
          <cell r="X134" t="str">
            <v>#REF!</v>
          </cell>
          <cell r="Y134" t="str">
            <v>#REF!</v>
          </cell>
          <cell r="Z134" t="str">
            <v>#REF!</v>
          </cell>
          <cell r="AA134" t="str">
            <v>Zero investment in 2019</v>
          </cell>
          <cell r="AB134">
            <v>51283.915386626977</v>
          </cell>
          <cell r="AC134">
            <v>0</v>
          </cell>
          <cell r="AD134">
            <v>51284</v>
          </cell>
          <cell r="AL134">
            <v>107.6964</v>
          </cell>
          <cell r="AM134">
            <v>107.6964</v>
          </cell>
          <cell r="AN134">
            <v>35</v>
          </cell>
          <cell r="AQ134">
            <v>19597.293533076387</v>
          </cell>
          <cell r="AR134">
            <v>31686.62185355059</v>
          </cell>
        </row>
        <row r="135">
          <cell r="A135" t="str">
            <v>8160-01-237</v>
          </cell>
          <cell r="B135" t="str">
            <v>Limor Ariel Yakobi</v>
          </cell>
          <cell r="C135" t="str">
            <v>054934567</v>
          </cell>
          <cell r="D135" t="e">
            <v>#REF!</v>
          </cell>
          <cell r="F135" t="str">
            <v>לימור אריאל יעקבי</v>
          </cell>
          <cell r="G135" t="str">
            <v>IV</v>
          </cell>
          <cell r="H135" t="str">
            <v>Meitav</v>
          </cell>
          <cell r="I135">
            <v>300000</v>
          </cell>
          <cell r="J135">
            <v>4.1027132309301578E-3</v>
          </cell>
          <cell r="K135">
            <v>5611.9880489893867</v>
          </cell>
          <cell r="L135">
            <v>55928.710414962974</v>
          </cell>
          <cell r="M135">
            <v>61540.698463952358</v>
          </cell>
          <cell r="O135">
            <v>0</v>
          </cell>
          <cell r="R135">
            <v>0</v>
          </cell>
          <cell r="S135" t="str">
            <v>IRA</v>
          </cell>
          <cell r="T135">
            <v>0</v>
          </cell>
          <cell r="U135">
            <v>61541</v>
          </cell>
          <cell r="V135" t="str">
            <v>#REF!</v>
          </cell>
          <cell r="W135" t="str">
            <v>#REF!</v>
          </cell>
          <cell r="X135" t="str">
            <v>#REF!</v>
          </cell>
          <cell r="Y135" t="str">
            <v>#REF!</v>
          </cell>
          <cell r="Z135" t="str">
            <v>#REF!</v>
          </cell>
          <cell r="AA135" t="str">
            <v>Zero investment in 2019</v>
          </cell>
          <cell r="AB135">
            <v>61540.698463952358</v>
          </cell>
          <cell r="AC135">
            <v>0</v>
          </cell>
          <cell r="AD135">
            <v>61541</v>
          </cell>
          <cell r="AL135">
            <v>129.23609999999999</v>
          </cell>
          <cell r="AM135">
            <v>129.23609999999999</v>
          </cell>
          <cell r="AN135">
            <v>35</v>
          </cell>
          <cell r="AQ135">
            <v>23516.752239691665</v>
          </cell>
          <cell r="AR135">
            <v>38023.946224260697</v>
          </cell>
        </row>
        <row r="136">
          <cell r="A136" t="str">
            <v>8160-01-238</v>
          </cell>
          <cell r="B136" t="str">
            <v>Gila Klinger</v>
          </cell>
          <cell r="C136" t="str">
            <v>022692370</v>
          </cell>
          <cell r="D136" t="e">
            <v>#REF!</v>
          </cell>
          <cell r="F136" t="str">
            <v>גילה קלינגר</v>
          </cell>
          <cell r="G136" t="str">
            <v>IV</v>
          </cell>
          <cell r="H136" t="str">
            <v>Meitav</v>
          </cell>
          <cell r="I136">
            <v>200000</v>
          </cell>
          <cell r="J136">
            <v>2.7351421539534388E-3</v>
          </cell>
          <cell r="K136">
            <v>3741.3253659929251</v>
          </cell>
          <cell r="L136">
            <v>37285.806943308657</v>
          </cell>
          <cell r="M136">
            <v>41027.132309301582</v>
          </cell>
          <cell r="O136">
            <v>0</v>
          </cell>
          <cell r="R136">
            <v>0</v>
          </cell>
          <cell r="S136" t="str">
            <v>IRA</v>
          </cell>
          <cell r="T136">
            <v>0</v>
          </cell>
          <cell r="U136">
            <v>41027</v>
          </cell>
          <cell r="V136" t="str">
            <v>#REF!</v>
          </cell>
          <cell r="W136" t="str">
            <v>#REF!</v>
          </cell>
          <cell r="X136" t="str">
            <v>#REF!</v>
          </cell>
          <cell r="Y136" t="str">
            <v>#REF!</v>
          </cell>
          <cell r="Z136" t="str">
            <v>#REF!</v>
          </cell>
          <cell r="AA136" t="str">
            <v>Zero investment in 2019</v>
          </cell>
          <cell r="AB136">
            <v>41027.132309301582</v>
          </cell>
          <cell r="AC136">
            <v>0</v>
          </cell>
          <cell r="AD136">
            <v>41027</v>
          </cell>
          <cell r="AL136">
            <v>86.156700000000001</v>
          </cell>
          <cell r="AM136">
            <v>86.156700000000001</v>
          </cell>
          <cell r="AN136">
            <v>35</v>
          </cell>
          <cell r="AQ136">
            <v>15677.834826461112</v>
          </cell>
          <cell r="AR136">
            <v>25349.297482840469</v>
          </cell>
        </row>
        <row r="137">
          <cell r="A137" t="str">
            <v>8160-01-239</v>
          </cell>
          <cell r="B137" t="str">
            <v>Nachshon Gal</v>
          </cell>
          <cell r="C137" t="str">
            <v>054502901</v>
          </cell>
          <cell r="D137" t="e">
            <v>#REF!</v>
          </cell>
          <cell r="F137" t="str">
            <v>נחשון גל</v>
          </cell>
          <cell r="G137" t="str">
            <v>IV</v>
          </cell>
          <cell r="H137" t="str">
            <v>Meitav</v>
          </cell>
          <cell r="I137">
            <v>250000</v>
          </cell>
          <cell r="J137">
            <v>3.4189276924417983E-3</v>
          </cell>
          <cell r="K137">
            <v>4676.6567074911563</v>
          </cell>
          <cell r="L137">
            <v>46607.258679135819</v>
          </cell>
          <cell r="M137">
            <v>51283.915386626977</v>
          </cell>
          <cell r="O137">
            <v>0</v>
          </cell>
          <cell r="R137">
            <v>0</v>
          </cell>
          <cell r="S137" t="str">
            <v>IRA</v>
          </cell>
          <cell r="T137">
            <v>0</v>
          </cell>
          <cell r="U137">
            <v>51284</v>
          </cell>
          <cell r="V137" t="str">
            <v>#REF!</v>
          </cell>
          <cell r="W137" t="str">
            <v>#REF!</v>
          </cell>
          <cell r="X137" t="str">
            <v>#REF!</v>
          </cell>
          <cell r="Y137" t="str">
            <v>#REF!</v>
          </cell>
          <cell r="Z137" t="str">
            <v>#REF!</v>
          </cell>
          <cell r="AA137" t="str">
            <v>Zero investment in 2019</v>
          </cell>
          <cell r="AB137">
            <v>51283.915386626977</v>
          </cell>
          <cell r="AC137">
            <v>0</v>
          </cell>
          <cell r="AD137">
            <v>51284</v>
          </cell>
          <cell r="AL137">
            <v>107.6964</v>
          </cell>
          <cell r="AM137">
            <v>107.6964</v>
          </cell>
          <cell r="AN137">
            <v>35</v>
          </cell>
          <cell r="AQ137">
            <v>19597.293533076387</v>
          </cell>
          <cell r="AR137">
            <v>31686.62185355059</v>
          </cell>
        </row>
        <row r="138">
          <cell r="A138" t="str">
            <v>8160-01-240</v>
          </cell>
          <cell r="B138" t="str">
            <v>Reuven Nir</v>
          </cell>
          <cell r="C138" t="str">
            <v>050499839</v>
          </cell>
          <cell r="D138" t="e">
            <v>#REF!</v>
          </cell>
          <cell r="F138" t="str">
            <v>ראובן ניר</v>
          </cell>
          <cell r="G138" t="str">
            <v>IV</v>
          </cell>
          <cell r="H138" t="str">
            <v>Meitav</v>
          </cell>
          <cell r="I138">
            <v>400000</v>
          </cell>
          <cell r="J138">
            <v>5.4702843079068777E-3</v>
          </cell>
          <cell r="K138">
            <v>7482.6507319858501</v>
          </cell>
          <cell r="L138">
            <v>74571.613886617313</v>
          </cell>
          <cell r="M138">
            <v>82054.264618603163</v>
          </cell>
          <cell r="O138">
            <v>0</v>
          </cell>
          <cell r="R138">
            <v>0</v>
          </cell>
          <cell r="S138" t="str">
            <v>IRA</v>
          </cell>
          <cell r="T138">
            <v>0</v>
          </cell>
          <cell r="U138">
            <v>82054</v>
          </cell>
          <cell r="V138" t="str">
            <v>#REF!</v>
          </cell>
          <cell r="W138" t="str">
            <v>#REF!</v>
          </cell>
          <cell r="X138" t="str">
            <v>#REF!</v>
          </cell>
          <cell r="Y138" t="str">
            <v>#REF!</v>
          </cell>
          <cell r="Z138" t="str">
            <v>#REF!</v>
          </cell>
          <cell r="AA138" t="str">
            <v>Zero investment in 2019</v>
          </cell>
          <cell r="AB138">
            <v>82054.264618603163</v>
          </cell>
          <cell r="AC138">
            <v>0</v>
          </cell>
          <cell r="AD138">
            <v>82054</v>
          </cell>
          <cell r="AL138">
            <v>172.3134</v>
          </cell>
          <cell r="AM138">
            <v>172.3134</v>
          </cell>
          <cell r="AN138">
            <v>35</v>
          </cell>
          <cell r="AQ138">
            <v>31355.669652922224</v>
          </cell>
          <cell r="AR138">
            <v>50698.594965680939</v>
          </cell>
        </row>
        <row r="139">
          <cell r="A139" t="str">
            <v>8160-01-241</v>
          </cell>
          <cell r="B139" t="str">
            <v>Shevach Zeev Tentzer</v>
          </cell>
          <cell r="C139" t="str">
            <v>053665899</v>
          </cell>
          <cell r="D139" t="e">
            <v>#REF!</v>
          </cell>
          <cell r="F139" t="str">
            <v>שבח זאב טנצר</v>
          </cell>
          <cell r="G139" t="str">
            <v>IV</v>
          </cell>
          <cell r="H139" t="str">
            <v>Meitav</v>
          </cell>
          <cell r="I139">
            <v>250000</v>
          </cell>
          <cell r="J139">
            <v>3.4189276924417983E-3</v>
          </cell>
          <cell r="K139">
            <v>4676.6567074911563</v>
          </cell>
          <cell r="L139">
            <v>46607.258679135819</v>
          </cell>
          <cell r="M139">
            <v>51283.915386626977</v>
          </cell>
          <cell r="O139">
            <v>0</v>
          </cell>
          <cell r="R139">
            <v>0</v>
          </cell>
          <cell r="S139" t="str">
            <v>IRA</v>
          </cell>
          <cell r="T139">
            <v>0</v>
          </cell>
          <cell r="U139">
            <v>51284</v>
          </cell>
          <cell r="V139" t="str">
            <v>#REF!</v>
          </cell>
          <cell r="W139" t="str">
            <v>#REF!</v>
          </cell>
          <cell r="X139" t="str">
            <v>#REF!</v>
          </cell>
          <cell r="Y139" t="str">
            <v>#REF!</v>
          </cell>
          <cell r="Z139" t="str">
            <v>#REF!</v>
          </cell>
          <cell r="AA139" t="str">
            <v>Zero investment in 2019</v>
          </cell>
          <cell r="AB139">
            <v>51283.915386626977</v>
          </cell>
          <cell r="AC139">
            <v>0</v>
          </cell>
          <cell r="AD139">
            <v>51284</v>
          </cell>
          <cell r="AL139">
            <v>107.6964</v>
          </cell>
          <cell r="AM139">
            <v>107.6964</v>
          </cell>
          <cell r="AN139">
            <v>35</v>
          </cell>
          <cell r="AQ139">
            <v>19597.293533076387</v>
          </cell>
          <cell r="AR139">
            <v>31686.62185355059</v>
          </cell>
        </row>
        <row r="140">
          <cell r="A140" t="str">
            <v>8160-01-242</v>
          </cell>
          <cell r="B140" t="str">
            <v>Yona Fogel</v>
          </cell>
          <cell r="C140" t="str">
            <v>052102001</v>
          </cell>
          <cell r="D140" t="e">
            <v>#REF!</v>
          </cell>
          <cell r="F140" t="str">
            <v>יונה פוגל</v>
          </cell>
          <cell r="G140" t="str">
            <v>IV</v>
          </cell>
          <cell r="H140" t="str">
            <v>Meitav</v>
          </cell>
          <cell r="I140">
            <v>175011</v>
          </cell>
          <cell r="J140">
            <v>2.3933998175277266E-3</v>
          </cell>
          <cell r="K140">
            <v>3273.8654681389394</v>
          </cell>
          <cell r="L140">
            <v>32627.131794776957</v>
          </cell>
          <cell r="M140">
            <v>35900.997262915895</v>
          </cell>
          <cell r="O140">
            <v>0</v>
          </cell>
          <cell r="R140">
            <v>0</v>
          </cell>
          <cell r="S140" t="str">
            <v>IRA</v>
          </cell>
          <cell r="T140">
            <v>0</v>
          </cell>
          <cell r="U140">
            <v>35901</v>
          </cell>
          <cell r="V140" t="str">
            <v>#REF!</v>
          </cell>
          <cell r="W140" t="str">
            <v>#REF!</v>
          </cell>
          <cell r="X140" t="str">
            <v>#REF!</v>
          </cell>
          <cell r="Y140" t="str">
            <v>#REF!</v>
          </cell>
          <cell r="Z140" t="str">
            <v>#REF!</v>
          </cell>
          <cell r="AA140" t="str">
            <v>Zero investment in 2019</v>
          </cell>
          <cell r="AB140">
            <v>35900.997262915895</v>
          </cell>
          <cell r="AC140">
            <v>0</v>
          </cell>
          <cell r="AD140">
            <v>35901</v>
          </cell>
          <cell r="AL140">
            <v>75.392099999999999</v>
          </cell>
          <cell r="AM140">
            <v>75.392099999999999</v>
          </cell>
          <cell r="AN140">
            <v>35</v>
          </cell>
          <cell r="AQ140">
            <v>13718.967754068928</v>
          </cell>
          <cell r="AR140">
            <v>22182.029508846965</v>
          </cell>
        </row>
        <row r="141">
          <cell r="A141" t="str">
            <v>8160-01-243</v>
          </cell>
          <cell r="B141" t="str">
            <v>Monica Iancu</v>
          </cell>
          <cell r="C141" t="str">
            <v>016641623</v>
          </cell>
          <cell r="D141" t="e">
            <v>#REF!</v>
          </cell>
          <cell r="F141" t="str">
            <v>מוניקה ינקו</v>
          </cell>
          <cell r="G141" t="str">
            <v>IV</v>
          </cell>
          <cell r="H141" t="str">
            <v>Meitav</v>
          </cell>
          <cell r="I141">
            <v>300000</v>
          </cell>
          <cell r="J141">
            <v>4.1027132309301578E-3</v>
          </cell>
          <cell r="K141">
            <v>5611.9880489893867</v>
          </cell>
          <cell r="L141">
            <v>55928.710414962974</v>
          </cell>
          <cell r="M141">
            <v>61540.698463952358</v>
          </cell>
          <cell r="O141">
            <v>0</v>
          </cell>
          <cell r="R141">
            <v>0</v>
          </cell>
          <cell r="S141" t="str">
            <v>IRA</v>
          </cell>
          <cell r="T141">
            <v>0</v>
          </cell>
          <cell r="U141">
            <v>61541</v>
          </cell>
          <cell r="V141" t="str">
            <v>#REF!</v>
          </cell>
          <cell r="W141" t="str">
            <v>#REF!</v>
          </cell>
          <cell r="X141" t="str">
            <v>#REF!</v>
          </cell>
          <cell r="Y141" t="str">
            <v>#REF!</v>
          </cell>
          <cell r="Z141" t="str">
            <v>#REF!</v>
          </cell>
          <cell r="AA141" t="str">
            <v>Zero investment in 2019</v>
          </cell>
          <cell r="AB141">
            <v>61540.698463952358</v>
          </cell>
          <cell r="AC141">
            <v>0</v>
          </cell>
          <cell r="AD141">
            <v>61541</v>
          </cell>
          <cell r="AL141">
            <v>129.23609999999999</v>
          </cell>
          <cell r="AM141">
            <v>129.23609999999999</v>
          </cell>
          <cell r="AN141">
            <v>35</v>
          </cell>
          <cell r="AQ141">
            <v>23516.752239691665</v>
          </cell>
          <cell r="AR141">
            <v>38023.946224260697</v>
          </cell>
        </row>
        <row r="142">
          <cell r="A142" t="str">
            <v>8160-01-244</v>
          </cell>
          <cell r="B142" t="str">
            <v>Oron Stern</v>
          </cell>
          <cell r="C142" t="str">
            <v>054336698</v>
          </cell>
          <cell r="D142" t="e">
            <v>#REF!</v>
          </cell>
          <cell r="F142" t="str">
            <v>אורון משה שטר</v>
          </cell>
          <cell r="G142" t="str">
            <v>IV</v>
          </cell>
          <cell r="H142" t="str">
            <v>Meitav</v>
          </cell>
          <cell r="I142">
            <v>250000</v>
          </cell>
          <cell r="J142">
            <v>3.4189276924417983E-3</v>
          </cell>
          <cell r="K142">
            <v>4676.6567074911563</v>
          </cell>
          <cell r="L142">
            <v>46607.258679135819</v>
          </cell>
          <cell r="M142">
            <v>51283.915386626977</v>
          </cell>
          <cell r="O142">
            <v>0</v>
          </cell>
          <cell r="R142">
            <v>0</v>
          </cell>
          <cell r="S142" t="str">
            <v>IRA</v>
          </cell>
          <cell r="T142">
            <v>0</v>
          </cell>
          <cell r="U142">
            <v>51284</v>
          </cell>
          <cell r="V142" t="str">
            <v>#REF!</v>
          </cell>
          <cell r="W142" t="str">
            <v>#REF!</v>
          </cell>
          <cell r="X142" t="str">
            <v>#REF!</v>
          </cell>
          <cell r="Y142" t="str">
            <v>#REF!</v>
          </cell>
          <cell r="Z142" t="str">
            <v>#REF!</v>
          </cell>
          <cell r="AA142" t="str">
            <v>Zero investment in 2019</v>
          </cell>
          <cell r="AB142">
            <v>51283.915386626977</v>
          </cell>
          <cell r="AC142">
            <v>0</v>
          </cell>
          <cell r="AD142">
            <v>51284</v>
          </cell>
          <cell r="AL142">
            <v>107.6964</v>
          </cell>
          <cell r="AM142">
            <v>107.6964</v>
          </cell>
          <cell r="AN142">
            <v>35</v>
          </cell>
          <cell r="AQ142">
            <v>19597.293533076387</v>
          </cell>
          <cell r="AR142">
            <v>31686.62185355059</v>
          </cell>
        </row>
        <row r="143">
          <cell r="A143" t="str">
            <v>8160-01-245</v>
          </cell>
          <cell r="B143" t="str">
            <v>Itay Shalom Brener</v>
          </cell>
          <cell r="C143" t="str">
            <v>025232448</v>
          </cell>
          <cell r="D143" t="e">
            <v>#REF!</v>
          </cell>
          <cell r="F143" t="str">
            <v>איתי שלום ברנר</v>
          </cell>
          <cell r="G143" t="str">
            <v>IV</v>
          </cell>
          <cell r="I143">
            <v>150000</v>
          </cell>
          <cell r="J143">
            <v>2.0513566154650789E-3</v>
          </cell>
          <cell r="K143">
            <v>2805.9940244946933</v>
          </cell>
          <cell r="L143">
            <v>27964.355207481487</v>
          </cell>
          <cell r="M143">
            <v>30770.349231976179</v>
          </cell>
          <cell r="N143">
            <v>701.49850612367334</v>
          </cell>
          <cell r="O143">
            <v>0</v>
          </cell>
          <cell r="P143">
            <v>0</v>
          </cell>
          <cell r="Q143">
            <v>701.49850612367334</v>
          </cell>
          <cell r="R143">
            <v>701.49850612367334</v>
          </cell>
          <cell r="S143" t="str">
            <v>X</v>
          </cell>
          <cell r="U143">
            <v>30069</v>
          </cell>
          <cell r="V143" t="str">
            <v>#REF!</v>
          </cell>
          <cell r="W143" t="str">
            <v>#REF!</v>
          </cell>
          <cell r="X143" t="str">
            <v>#REF!</v>
          </cell>
          <cell r="Y143" t="str">
            <v>#REF!</v>
          </cell>
          <cell r="Z143" t="str">
            <v>#REF!</v>
          </cell>
          <cell r="AA143" t="str">
            <v>Zero investment in 2019</v>
          </cell>
          <cell r="AB143">
            <v>30770.349231976179</v>
          </cell>
          <cell r="AC143">
            <v>701.49850612367334</v>
          </cell>
          <cell r="AD143">
            <v>30069</v>
          </cell>
          <cell r="AL143">
            <v>63.144899999999993</v>
          </cell>
          <cell r="AM143">
            <v>63.144899999999993</v>
          </cell>
          <cell r="AN143">
            <v>35</v>
          </cell>
          <cell r="AQ143">
            <v>11758.376119845832</v>
          </cell>
          <cell r="AR143">
            <v>19011.973112130348</v>
          </cell>
        </row>
        <row r="144">
          <cell r="A144" t="str">
            <v>8160-01-246</v>
          </cell>
          <cell r="B144" t="str">
            <v>Kibbutz Ein Hashofet</v>
          </cell>
          <cell r="C144">
            <v>570001511</v>
          </cell>
          <cell r="D144" t="e">
            <v>#REF!</v>
          </cell>
          <cell r="E144" t="str">
            <v>Kibbutz Ein Hashofet</v>
          </cell>
          <cell r="F144" t="str">
            <v>קיבוץ עין השופט</v>
          </cell>
          <cell r="G144" t="str">
            <v>IV</v>
          </cell>
          <cell r="I144">
            <v>500000</v>
          </cell>
          <cell r="J144">
            <v>6.8378553848835967E-3</v>
          </cell>
          <cell r="K144">
            <v>9353.3134149823127</v>
          </cell>
          <cell r="L144">
            <v>93214.517358271638</v>
          </cell>
          <cell r="M144">
            <v>102567.83077325395</v>
          </cell>
          <cell r="O144">
            <v>0</v>
          </cell>
          <cell r="R144">
            <v>0</v>
          </cell>
          <cell r="S144" t="str">
            <v>V</v>
          </cell>
          <cell r="T144">
            <v>0</v>
          </cell>
          <cell r="U144">
            <v>102568</v>
          </cell>
          <cell r="V144" t="str">
            <v>#REF!</v>
          </cell>
          <cell r="W144" t="str">
            <v>#REF!</v>
          </cell>
          <cell r="X144" t="str">
            <v>#REF!</v>
          </cell>
          <cell r="Y144" t="str">
            <v>#REF!</v>
          </cell>
          <cell r="Z144" t="str">
            <v>#REF!</v>
          </cell>
          <cell r="AA144" t="str">
            <v>Zero investment in 2019</v>
          </cell>
          <cell r="AB144">
            <v>102567.83077325395</v>
          </cell>
          <cell r="AC144">
            <v>0</v>
          </cell>
          <cell r="AD144">
            <v>102568</v>
          </cell>
          <cell r="AL144">
            <v>215.39279999999999</v>
          </cell>
          <cell r="AM144">
            <v>215.39279999999999</v>
          </cell>
          <cell r="AN144">
            <v>35</v>
          </cell>
          <cell r="AQ144">
            <v>39194.587066152773</v>
          </cell>
          <cell r="AR144">
            <v>63373.243707101181</v>
          </cell>
        </row>
        <row r="145">
          <cell r="A145" t="str">
            <v>8160-01-247</v>
          </cell>
          <cell r="B145" t="str">
            <v>Kibbutz Givat Oz</v>
          </cell>
          <cell r="C145">
            <v>570008565</v>
          </cell>
          <cell r="D145" t="e">
            <v>#REF!</v>
          </cell>
          <cell r="E145" t="str">
            <v>Kibbutz Givat Oz</v>
          </cell>
          <cell r="F145" t="str">
            <v>קיבוץ גבעת עז</v>
          </cell>
          <cell r="G145" t="str">
            <v>IV</v>
          </cell>
          <cell r="I145">
            <v>580000</v>
          </cell>
          <cell r="J145">
            <v>7.9319122464649727E-3</v>
          </cell>
          <cell r="K145">
            <v>10849.843561379483</v>
          </cell>
          <cell r="L145">
            <v>108128.84013559511</v>
          </cell>
          <cell r="M145">
            <v>118978.68369697459</v>
          </cell>
          <cell r="O145">
            <v>0</v>
          </cell>
          <cell r="R145">
            <v>0</v>
          </cell>
          <cell r="S145" t="str">
            <v>V</v>
          </cell>
          <cell r="T145">
            <v>0</v>
          </cell>
          <cell r="U145">
            <v>118979</v>
          </cell>
          <cell r="V145" t="str">
            <v>#REF!</v>
          </cell>
          <cell r="W145" t="str">
            <v>#REF!</v>
          </cell>
          <cell r="X145" t="str">
            <v>#REF!</v>
          </cell>
          <cell r="Y145" t="str">
            <v>#REF!</v>
          </cell>
          <cell r="Z145" t="str">
            <v>#REF!</v>
          </cell>
          <cell r="AA145" t="str">
            <v>Zero investment in 2019</v>
          </cell>
          <cell r="AB145">
            <v>118978.68369697459</v>
          </cell>
          <cell r="AC145">
            <v>0</v>
          </cell>
          <cell r="AD145">
            <v>118979</v>
          </cell>
          <cell r="AL145">
            <v>249.85589999999999</v>
          </cell>
          <cell r="AM145">
            <v>249.85589999999999</v>
          </cell>
          <cell r="AN145">
            <v>35</v>
          </cell>
          <cell r="AQ145">
            <v>45465.720996737226</v>
          </cell>
          <cell r="AR145">
            <v>73512.962700237375</v>
          </cell>
        </row>
        <row r="146">
          <cell r="A146" t="str">
            <v>8160-01-248</v>
          </cell>
          <cell r="B146" t="str">
            <v>Mordechai Katz</v>
          </cell>
          <cell r="C146">
            <v>4598538</v>
          </cell>
          <cell r="D146" t="e">
            <v>#REF!</v>
          </cell>
          <cell r="F146" t="str">
            <v>מרדכי כץ</v>
          </cell>
          <cell r="G146" t="str">
            <v>IV</v>
          </cell>
          <cell r="I146">
            <v>230000</v>
          </cell>
          <cell r="J146">
            <v>3.1454134770464545E-3</v>
          </cell>
          <cell r="K146">
            <v>4302.5241708918638</v>
          </cell>
          <cell r="L146">
            <v>42878.677984804948</v>
          </cell>
          <cell r="M146">
            <v>47181.20215569681</v>
          </cell>
          <cell r="N146">
            <v>1075.631042722966</v>
          </cell>
          <cell r="O146">
            <v>0</v>
          </cell>
          <cell r="P146">
            <v>0</v>
          </cell>
          <cell r="Q146">
            <v>1075.631042722966</v>
          </cell>
          <cell r="R146">
            <v>1075.631042722966</v>
          </cell>
          <cell r="S146" t="str">
            <v>X</v>
          </cell>
          <cell r="U146">
            <v>46106</v>
          </cell>
          <cell r="V146" t="str">
            <v>#REF!</v>
          </cell>
          <cell r="W146" t="str">
            <v>#REF!</v>
          </cell>
          <cell r="X146" t="str">
            <v>#REF!</v>
          </cell>
          <cell r="Y146" t="str">
            <v>#REF!</v>
          </cell>
          <cell r="Z146" t="str">
            <v>#REF!</v>
          </cell>
          <cell r="AA146" t="str">
            <v>Zero investment in 2019</v>
          </cell>
          <cell r="AB146">
            <v>47181.20215569681</v>
          </cell>
          <cell r="AC146">
            <v>1075.631042722966</v>
          </cell>
          <cell r="AD146">
            <v>46106</v>
          </cell>
          <cell r="AL146">
            <v>96.822599999999994</v>
          </cell>
          <cell r="AM146">
            <v>96.822599999999994</v>
          </cell>
          <cell r="AN146">
            <v>35</v>
          </cell>
          <cell r="AQ146">
            <v>18029.510050430279</v>
          </cell>
          <cell r="AR146">
            <v>29151.692105266531</v>
          </cell>
        </row>
        <row r="147">
          <cell r="A147" t="str">
            <v>8160-01-249</v>
          </cell>
          <cell r="B147" t="str">
            <v xml:space="preserve">Narita Company for Commerce and Investments Ltd
</v>
          </cell>
          <cell r="C147">
            <v>511927485</v>
          </cell>
          <cell r="D147" t="e">
            <v>#REF!</v>
          </cell>
          <cell r="E147" t="str">
            <v xml:space="preserve">Narita Company for Commerce and Investments Ltd
</v>
          </cell>
          <cell r="F147" t="str">
            <v>נריטה חברה למסחר והשקעות בע"מ</v>
          </cell>
          <cell r="G147" t="str">
            <v>IV</v>
          </cell>
          <cell r="I147">
            <v>500000</v>
          </cell>
          <cell r="J147">
            <v>6.8378553848835967E-3</v>
          </cell>
          <cell r="K147">
            <v>9353.3134149823127</v>
          </cell>
          <cell r="L147">
            <v>93214.517358271638</v>
          </cell>
          <cell r="M147">
            <v>102567.83077325395</v>
          </cell>
          <cell r="O147">
            <v>0</v>
          </cell>
          <cell r="R147">
            <v>0</v>
          </cell>
          <cell r="S147" t="str">
            <v>V</v>
          </cell>
          <cell r="T147">
            <v>0</v>
          </cell>
          <cell r="U147">
            <v>102568</v>
          </cell>
          <cell r="V147" t="str">
            <v>#REF!</v>
          </cell>
          <cell r="W147" t="str">
            <v>#REF!</v>
          </cell>
          <cell r="X147" t="str">
            <v>#REF!</v>
          </cell>
          <cell r="Y147" t="str">
            <v>#REF!</v>
          </cell>
          <cell r="Z147" t="str">
            <v>#REF!</v>
          </cell>
          <cell r="AA147" t="str">
            <v>Zero investment in 2019</v>
          </cell>
          <cell r="AB147">
            <v>102567.83077325395</v>
          </cell>
          <cell r="AC147">
            <v>0</v>
          </cell>
          <cell r="AD147">
            <v>102568</v>
          </cell>
          <cell r="AL147">
            <v>215.39279999999999</v>
          </cell>
          <cell r="AM147">
            <v>215.39279999999999</v>
          </cell>
          <cell r="AN147">
            <v>35</v>
          </cell>
          <cell r="AQ147">
            <v>39194.587066152773</v>
          </cell>
          <cell r="AR147">
            <v>63373.243707101181</v>
          </cell>
        </row>
        <row r="148">
          <cell r="A148" t="str">
            <v>8160-01-250</v>
          </cell>
          <cell r="B148" t="str">
            <v>Ran &amp; Anat Rothschild</v>
          </cell>
          <cell r="C148" t="str">
            <v>Anat - 034069815
Ran - 032330474</v>
          </cell>
          <cell r="D148" t="e">
            <v>#REF!</v>
          </cell>
          <cell r="F148" t="str">
            <v>רן רוטשילד וענת סולומון רוטשילד</v>
          </cell>
          <cell r="G148" t="str">
            <v>IV</v>
          </cell>
          <cell r="I148">
            <v>250000</v>
          </cell>
          <cell r="J148">
            <v>3.4189276924417983E-3</v>
          </cell>
          <cell r="K148">
            <v>4676.6567074911563</v>
          </cell>
          <cell r="L148">
            <v>46607.258679135819</v>
          </cell>
          <cell r="M148">
            <v>51283.915386626977</v>
          </cell>
          <cell r="N148">
            <v>1169.1641768727891</v>
          </cell>
          <cell r="O148">
            <v>0</v>
          </cell>
          <cell r="P148">
            <v>0</v>
          </cell>
          <cell r="Q148">
            <v>1169.1641768727891</v>
          </cell>
          <cell r="R148">
            <v>1169.1641768727891</v>
          </cell>
          <cell r="S148" t="str">
            <v>X</v>
          </cell>
          <cell r="U148">
            <v>50115</v>
          </cell>
          <cell r="V148" t="str">
            <v>#REF!</v>
          </cell>
          <cell r="W148" t="str">
            <v>#REF!</v>
          </cell>
          <cell r="X148" t="str">
            <v>#REF!</v>
          </cell>
          <cell r="Y148" t="str">
            <v>#REF!</v>
          </cell>
          <cell r="Z148" t="str">
            <v>#REF!</v>
          </cell>
          <cell r="AA148" t="str">
            <v>Zero investment in 2019</v>
          </cell>
          <cell r="AB148">
            <v>51283.915386626977</v>
          </cell>
          <cell r="AC148">
            <v>1169.1641768727891</v>
          </cell>
          <cell r="AD148">
            <v>50115</v>
          </cell>
          <cell r="AL148">
            <v>105.24149999999999</v>
          </cell>
          <cell r="AM148">
            <v>105.24149999999999</v>
          </cell>
          <cell r="AN148">
            <v>35</v>
          </cell>
          <cell r="AQ148">
            <v>19597.293533076387</v>
          </cell>
          <cell r="AR148">
            <v>31686.62185355059</v>
          </cell>
        </row>
        <row r="149">
          <cell r="A149" t="str">
            <v>8160-01-251</v>
          </cell>
          <cell r="B149" t="str">
            <v>Tomer Kariv</v>
          </cell>
          <cell r="C149">
            <v>56778194</v>
          </cell>
          <cell r="D149" t="e">
            <v>#REF!</v>
          </cell>
          <cell r="F149" t="str">
            <v>תומר קריב</v>
          </cell>
          <cell r="G149" t="str">
            <v>IV</v>
          </cell>
          <cell r="I149">
            <v>250000</v>
          </cell>
          <cell r="J149">
            <v>3.4189276924417983E-3</v>
          </cell>
          <cell r="K149">
            <v>4676.6567074911563</v>
          </cell>
          <cell r="L149">
            <v>46607.258679135819</v>
          </cell>
          <cell r="M149">
            <v>51283.915386626977</v>
          </cell>
          <cell r="N149">
            <v>1169.1641768727891</v>
          </cell>
          <cell r="O149">
            <v>0</v>
          </cell>
          <cell r="P149">
            <v>0</v>
          </cell>
          <cell r="Q149">
            <v>1169.1641768727891</v>
          </cell>
          <cell r="R149">
            <v>1169.1641768727891</v>
          </cell>
          <cell r="S149" t="str">
            <v>X</v>
          </cell>
          <cell r="U149">
            <v>50115</v>
          </cell>
          <cell r="V149" t="str">
            <v>#REF!</v>
          </cell>
          <cell r="W149" t="str">
            <v>#REF!</v>
          </cell>
          <cell r="X149" t="str">
            <v>#REF!</v>
          </cell>
          <cell r="Y149" t="str">
            <v>#REF!</v>
          </cell>
          <cell r="Z149" t="str">
            <v>#REF!</v>
          </cell>
          <cell r="AA149" t="str">
            <v>Zero investment in 2019</v>
          </cell>
          <cell r="AB149">
            <v>51283.915386626977</v>
          </cell>
          <cell r="AC149">
            <v>1169.1641768727891</v>
          </cell>
          <cell r="AD149">
            <v>50115</v>
          </cell>
          <cell r="AL149">
            <v>105.24149999999999</v>
          </cell>
          <cell r="AM149">
            <v>105.24149999999999</v>
          </cell>
          <cell r="AN149">
            <v>35</v>
          </cell>
          <cell r="AQ149">
            <v>19597.293533076387</v>
          </cell>
          <cell r="AR149">
            <v>31686.62185355059</v>
          </cell>
        </row>
        <row r="150">
          <cell r="A150" t="str">
            <v>8160-01-252</v>
          </cell>
          <cell r="B150" t="str">
            <v>Y Brener Technologies LTD</v>
          </cell>
          <cell r="C150">
            <v>513026492</v>
          </cell>
          <cell r="D150" t="e">
            <v>#REF!</v>
          </cell>
          <cell r="E150" t="str">
            <v>Y Brener Technologies LTD</v>
          </cell>
          <cell r="F150" t="str">
            <v>י. ברנר טכנולוגיות בע"מ</v>
          </cell>
          <cell r="G150" t="str">
            <v>IV</v>
          </cell>
          <cell r="I150">
            <v>290000</v>
          </cell>
          <cell r="J150">
            <v>3.9659561232324864E-3</v>
          </cell>
          <cell r="K150">
            <v>5424.9217806897414</v>
          </cell>
          <cell r="L150">
            <v>54064.420067797553</v>
          </cell>
          <cell r="M150">
            <v>59489.341848487296</v>
          </cell>
          <cell r="O150">
            <v>0</v>
          </cell>
          <cell r="R150">
            <v>0</v>
          </cell>
          <cell r="S150" t="str">
            <v>V</v>
          </cell>
          <cell r="T150">
            <v>0</v>
          </cell>
          <cell r="U150">
            <v>59489</v>
          </cell>
          <cell r="V150" t="str">
            <v>#REF!</v>
          </cell>
          <cell r="W150" t="str">
            <v>#REF!</v>
          </cell>
          <cell r="X150" t="str">
            <v>#REF!</v>
          </cell>
          <cell r="Y150" t="str">
            <v>#REF!</v>
          </cell>
          <cell r="Z150" t="str">
            <v>#REF!</v>
          </cell>
          <cell r="AA150" t="str">
            <v>Zero investment in 2019</v>
          </cell>
          <cell r="AB150">
            <v>59489.341848487296</v>
          </cell>
          <cell r="AC150">
            <v>0</v>
          </cell>
          <cell r="AD150">
            <v>59489</v>
          </cell>
          <cell r="AL150">
            <v>124.92689999999999</v>
          </cell>
          <cell r="AM150">
            <v>124.92689999999999</v>
          </cell>
          <cell r="AN150">
            <v>35</v>
          </cell>
          <cell r="AQ150">
            <v>22732.860498368613</v>
          </cell>
          <cell r="AR150">
            <v>36756.481350118687</v>
          </cell>
        </row>
        <row r="151">
          <cell r="A151" t="str">
            <v>8160-01-253</v>
          </cell>
          <cell r="B151" t="str">
            <v>Yuval Fuchs</v>
          </cell>
          <cell r="G151" t="e">
            <v>#N/A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T151">
            <v>0</v>
          </cell>
          <cell r="U151">
            <v>0</v>
          </cell>
          <cell r="AB151">
            <v>0</v>
          </cell>
          <cell r="AC151">
            <v>0</v>
          </cell>
          <cell r="AD151">
            <v>0</v>
          </cell>
          <cell r="AQ151">
            <v>0</v>
          </cell>
          <cell r="AR151">
            <v>0</v>
          </cell>
        </row>
        <row r="152">
          <cell r="A152" t="str">
            <v>8160-01-254</v>
          </cell>
          <cell r="B152" t="str">
            <v>Yaacov Zitser</v>
          </cell>
          <cell r="C152" t="str">
            <v>051224236</v>
          </cell>
          <cell r="D152" t="e">
            <v>#REF!</v>
          </cell>
          <cell r="F152" t="str">
            <v>יעקב זיצר</v>
          </cell>
          <cell r="G152" t="str">
            <v>I</v>
          </cell>
          <cell r="H152" t="str">
            <v>Phoenix</v>
          </cell>
          <cell r="I152">
            <v>250000</v>
          </cell>
          <cell r="J152">
            <v>3.4189276924417983E-3</v>
          </cell>
          <cell r="K152">
            <v>4676.6567074911563</v>
          </cell>
          <cell r="L152">
            <v>46607.258679135819</v>
          </cell>
          <cell r="M152">
            <v>51283.915386626977</v>
          </cell>
          <cell r="O152">
            <v>0</v>
          </cell>
          <cell r="R152">
            <v>0</v>
          </cell>
          <cell r="S152" t="str">
            <v>IRA</v>
          </cell>
          <cell r="T152">
            <v>0</v>
          </cell>
          <cell r="U152">
            <v>51284</v>
          </cell>
          <cell r="V152" t="str">
            <v>#REF!</v>
          </cell>
          <cell r="W152" t="str">
            <v>#REF!</v>
          </cell>
          <cell r="X152" t="str">
            <v>#REF!</v>
          </cell>
          <cell r="Y152" t="str">
            <v>#REF!</v>
          </cell>
          <cell r="Z152" t="str">
            <v>#REF!</v>
          </cell>
          <cell r="AA152" t="e">
            <v>#REF!</v>
          </cell>
          <cell r="AB152">
            <v>51283.915386626977</v>
          </cell>
          <cell r="AC152">
            <v>0</v>
          </cell>
          <cell r="AD152">
            <v>51284</v>
          </cell>
          <cell r="AL152">
            <v>107.6964</v>
          </cell>
          <cell r="AM152">
            <v>107.6964</v>
          </cell>
          <cell r="AN152">
            <v>35</v>
          </cell>
          <cell r="AQ152">
            <v>19597.293533076387</v>
          </cell>
          <cell r="AR152">
            <v>31686.62185355059</v>
          </cell>
        </row>
        <row r="153">
          <cell r="A153" t="str">
            <v>8160-01-255</v>
          </cell>
          <cell r="B153" t="str">
            <v>A.N.T - 10 LTD</v>
          </cell>
          <cell r="C153">
            <v>512903311</v>
          </cell>
          <cell r="D153" t="e">
            <v>#REF!</v>
          </cell>
          <cell r="E153" t="str">
            <v>A.N.T - 10 LTD</v>
          </cell>
          <cell r="F153" t="str">
            <v>א.נ.ט - 10 בע"מ</v>
          </cell>
          <cell r="G153" t="str">
            <v>V</v>
          </cell>
          <cell r="I153">
            <v>300000</v>
          </cell>
          <cell r="J153">
            <v>4.1027132309301578E-3</v>
          </cell>
          <cell r="K153">
            <v>5611.9880489893867</v>
          </cell>
          <cell r="L153">
            <v>55928.710414962974</v>
          </cell>
          <cell r="M153">
            <v>61540.698463952358</v>
          </cell>
          <cell r="O153">
            <v>0</v>
          </cell>
          <cell r="R153">
            <v>0</v>
          </cell>
          <cell r="S153" t="str">
            <v>V</v>
          </cell>
          <cell r="T153">
            <v>0</v>
          </cell>
          <cell r="U153">
            <v>61541</v>
          </cell>
          <cell r="V153" t="str">
            <v>#REF!</v>
          </cell>
          <cell r="W153" t="str">
            <v>#REF!</v>
          </cell>
          <cell r="X153" t="str">
            <v>#REF!</v>
          </cell>
          <cell r="Y153" t="str">
            <v>#REF!</v>
          </cell>
          <cell r="Z153" t="str">
            <v>#REF!</v>
          </cell>
          <cell r="AA153" t="str">
            <v>Zero investment in 2019</v>
          </cell>
          <cell r="AB153">
            <v>61540.698463952358</v>
          </cell>
          <cell r="AC153">
            <v>0</v>
          </cell>
          <cell r="AD153">
            <v>61541</v>
          </cell>
          <cell r="AL153">
            <v>129.23609999999999</v>
          </cell>
          <cell r="AM153">
            <v>129.23609999999999</v>
          </cell>
          <cell r="AN153">
            <v>35</v>
          </cell>
          <cell r="AQ153">
            <v>23516.752239691665</v>
          </cell>
          <cell r="AR153">
            <v>38023.946224260697</v>
          </cell>
        </row>
        <row r="154">
          <cell r="A154" t="str">
            <v>8160-01-257</v>
          </cell>
          <cell r="B154" t="str">
            <v>Arieh &amp; Varda Saban</v>
          </cell>
          <cell r="C154" t="str">
            <v>Arieh 064902083     Varda 050403963</v>
          </cell>
          <cell r="D154" t="e">
            <v>#REF!</v>
          </cell>
          <cell r="F154" t="str">
            <v>אריה סבן וורדה סבן</v>
          </cell>
          <cell r="G154" t="str">
            <v>V</v>
          </cell>
          <cell r="I154">
            <v>500000</v>
          </cell>
          <cell r="J154">
            <v>6.8378553848835967E-3</v>
          </cell>
          <cell r="K154">
            <v>9353.3134149823127</v>
          </cell>
          <cell r="L154">
            <v>93214.517358271638</v>
          </cell>
          <cell r="M154">
            <v>102567.83077325395</v>
          </cell>
          <cell r="N154">
            <v>2338.3283537455782</v>
          </cell>
          <cell r="O154">
            <v>0</v>
          </cell>
          <cell r="P154">
            <v>0</v>
          </cell>
          <cell r="Q154">
            <v>2338.3283537455782</v>
          </cell>
          <cell r="R154">
            <v>2338.3283537455782</v>
          </cell>
          <cell r="S154" t="str">
            <v>X</v>
          </cell>
          <cell r="U154">
            <v>100230</v>
          </cell>
          <cell r="V154" t="str">
            <v>#REF!</v>
          </cell>
          <cell r="W154" t="str">
            <v>#REF!</v>
          </cell>
          <cell r="X154" t="str">
            <v>#REF!</v>
          </cell>
          <cell r="Y154" t="str">
            <v>#REF!</v>
          </cell>
          <cell r="Z154" t="str">
            <v>#REF!</v>
          </cell>
          <cell r="AA154" t="str">
            <v>Zero investment in 2019</v>
          </cell>
          <cell r="AB154">
            <v>102567.83077325395</v>
          </cell>
          <cell r="AC154">
            <v>2338.3283537455782</v>
          </cell>
          <cell r="AD154">
            <v>100230</v>
          </cell>
          <cell r="AL154">
            <v>210.48299999999998</v>
          </cell>
          <cell r="AM154">
            <v>210.48299999999998</v>
          </cell>
          <cell r="AN154">
            <v>35</v>
          </cell>
          <cell r="AQ154">
            <v>39194.587066152773</v>
          </cell>
          <cell r="AR154">
            <v>63373.243707101181</v>
          </cell>
        </row>
        <row r="155">
          <cell r="A155" t="str">
            <v>8160-01-258</v>
          </cell>
          <cell r="B155" t="str">
            <v>Atlas Lending Fund L.P</v>
          </cell>
          <cell r="C155" t="str">
            <v>OG-90357</v>
          </cell>
          <cell r="D155" t="e">
            <v>#REF!</v>
          </cell>
          <cell r="E155" t="str">
            <v>Atlas Lending Fund L.P</v>
          </cell>
          <cell r="G155" t="str">
            <v>V</v>
          </cell>
          <cell r="I155">
            <v>500000</v>
          </cell>
          <cell r="J155">
            <v>6.8378553848835967E-3</v>
          </cell>
          <cell r="K155">
            <v>9353.3134149823127</v>
          </cell>
          <cell r="L155">
            <v>93214.517358271638</v>
          </cell>
          <cell r="M155">
            <v>102567.83077325395</v>
          </cell>
          <cell r="O155">
            <v>0</v>
          </cell>
          <cell r="R155">
            <v>0</v>
          </cell>
          <cell r="S155" t="str">
            <v>V</v>
          </cell>
          <cell r="U155">
            <v>102568</v>
          </cell>
          <cell r="V155" t="str">
            <v>#REF!</v>
          </cell>
          <cell r="W155" t="str">
            <v>#REF!</v>
          </cell>
          <cell r="X155" t="str">
            <v>#REF!</v>
          </cell>
          <cell r="Y155" t="str">
            <v>#REF!</v>
          </cell>
          <cell r="Z155" t="str">
            <v>#REF!</v>
          </cell>
          <cell r="AA155" t="str">
            <v>Zero investment in 2019</v>
          </cell>
          <cell r="AB155">
            <v>102567.83077325395</v>
          </cell>
          <cell r="AC155">
            <v>0</v>
          </cell>
          <cell r="AD155">
            <v>102568</v>
          </cell>
          <cell r="AL155">
            <v>215.39279999999999</v>
          </cell>
          <cell r="AM155">
            <v>215.39279999999999</v>
          </cell>
          <cell r="AN155">
            <v>35</v>
          </cell>
          <cell r="AQ155">
            <v>39194.587066152773</v>
          </cell>
          <cell r="AR155">
            <v>63373.243707101181</v>
          </cell>
        </row>
        <row r="156">
          <cell r="A156" t="str">
            <v>8160-01-259</v>
          </cell>
          <cell r="B156" t="str">
            <v>Bibars Natcho</v>
          </cell>
          <cell r="C156">
            <v>301281531</v>
          </cell>
          <cell r="D156">
            <v>301281531</v>
          </cell>
          <cell r="F156" t="str">
            <v>נאתכו ביברס</v>
          </cell>
          <cell r="G156" t="str">
            <v>V</v>
          </cell>
          <cell r="I156">
            <v>500000</v>
          </cell>
          <cell r="J156">
            <v>6.8378553848835967E-3</v>
          </cell>
          <cell r="K156">
            <v>9353.3134149823127</v>
          </cell>
          <cell r="L156">
            <v>93214.517358271638</v>
          </cell>
          <cell r="M156">
            <v>102567.83077325395</v>
          </cell>
          <cell r="N156">
            <v>2338.3283537455782</v>
          </cell>
          <cell r="O156">
            <v>0</v>
          </cell>
          <cell r="P156">
            <v>0</v>
          </cell>
          <cell r="Q156">
            <v>2338.3283537455782</v>
          </cell>
          <cell r="R156">
            <v>2338.3283537455782</v>
          </cell>
          <cell r="S156" t="str">
            <v>X</v>
          </cell>
          <cell r="U156">
            <v>100230</v>
          </cell>
          <cell r="V156" t="str">
            <v>#REF!</v>
          </cell>
          <cell r="W156" t="str">
            <v>#REF!</v>
          </cell>
          <cell r="X156" t="str">
            <v>#REF!</v>
          </cell>
          <cell r="Y156" t="str">
            <v>#REF!</v>
          </cell>
          <cell r="Z156" t="str">
            <v>#REF!</v>
          </cell>
          <cell r="AA156" t="str">
            <v>Zero investment in 2019</v>
          </cell>
          <cell r="AB156">
            <v>102567.83077325395</v>
          </cell>
          <cell r="AC156">
            <v>2338.3283537455782</v>
          </cell>
          <cell r="AD156">
            <v>100230</v>
          </cell>
          <cell r="AL156">
            <v>210.48299999999998</v>
          </cell>
          <cell r="AM156">
            <v>210.48299999999998</v>
          </cell>
          <cell r="AN156">
            <v>35</v>
          </cell>
          <cell r="AQ156">
            <v>39194.587066152773</v>
          </cell>
          <cell r="AR156">
            <v>63373.243707101181</v>
          </cell>
        </row>
        <row r="157">
          <cell r="A157" t="str">
            <v>8160-01-260</v>
          </cell>
          <cell r="B157" t="str">
            <v>Haim Livne</v>
          </cell>
          <cell r="C157" t="str">
            <v>064561459</v>
          </cell>
          <cell r="D157" t="e">
            <v>#REF!</v>
          </cell>
          <cell r="F157" t="str">
            <v>חיים לבנה</v>
          </cell>
          <cell r="G157" t="str">
            <v>V</v>
          </cell>
          <cell r="I157">
            <v>250000</v>
          </cell>
          <cell r="J157">
            <v>3.4189276924417983E-3</v>
          </cell>
          <cell r="K157">
            <v>4676.6567074911563</v>
          </cell>
          <cell r="L157">
            <v>46607.258679135819</v>
          </cell>
          <cell r="M157">
            <v>51283.915386626977</v>
          </cell>
          <cell r="N157">
            <v>1169.1641768727891</v>
          </cell>
          <cell r="O157">
            <v>0</v>
          </cell>
          <cell r="P157">
            <v>0</v>
          </cell>
          <cell r="Q157">
            <v>1169.1641768727891</v>
          </cell>
          <cell r="R157">
            <v>1169.1641768727891</v>
          </cell>
          <cell r="S157" t="str">
            <v>X</v>
          </cell>
          <cell r="U157">
            <v>50115</v>
          </cell>
          <cell r="V157" t="str">
            <v>#REF!</v>
          </cell>
          <cell r="W157" t="str">
            <v>#REF!</v>
          </cell>
          <cell r="X157" t="str">
            <v>#REF!</v>
          </cell>
          <cell r="Y157" t="str">
            <v>#REF!</v>
          </cell>
          <cell r="Z157" t="str">
            <v>#REF!</v>
          </cell>
          <cell r="AA157" t="str">
            <v>Zero investment in 2019</v>
          </cell>
          <cell r="AB157">
            <v>51283.915386626977</v>
          </cell>
          <cell r="AC157">
            <v>1169.1641768727891</v>
          </cell>
          <cell r="AD157">
            <v>50115</v>
          </cell>
          <cell r="AL157">
            <v>105.24149999999999</v>
          </cell>
          <cell r="AM157">
            <v>105.24149999999999</v>
          </cell>
          <cell r="AN157">
            <v>35</v>
          </cell>
          <cell r="AQ157">
            <v>19597.293533076387</v>
          </cell>
          <cell r="AR157">
            <v>31686.62185355059</v>
          </cell>
        </row>
        <row r="158">
          <cell r="A158" t="str">
            <v>8160-01-261</v>
          </cell>
          <cell r="B158" t="str">
            <v>Ifat Zahava Fish</v>
          </cell>
          <cell r="C158" t="str">
            <v>024507048</v>
          </cell>
          <cell r="D158" t="e">
            <v>#REF!</v>
          </cell>
          <cell r="F158" t="str">
            <v>יפעת זהבה פיש</v>
          </cell>
          <cell r="G158" t="str">
            <v>V</v>
          </cell>
          <cell r="I158">
            <v>300000</v>
          </cell>
          <cell r="J158">
            <v>4.1027132309301578E-3</v>
          </cell>
          <cell r="K158">
            <v>5611.9880489893867</v>
          </cell>
          <cell r="L158">
            <v>55928.710414962974</v>
          </cell>
          <cell r="M158">
            <v>61540.698463952358</v>
          </cell>
          <cell r="N158">
            <v>1402.9970122473467</v>
          </cell>
          <cell r="O158">
            <v>0</v>
          </cell>
          <cell r="P158">
            <v>0</v>
          </cell>
          <cell r="Q158">
            <v>1402.9970122473467</v>
          </cell>
          <cell r="R158">
            <v>1402.9970122473467</v>
          </cell>
          <cell r="S158" t="str">
            <v>X</v>
          </cell>
          <cell r="U158">
            <v>60138</v>
          </cell>
          <cell r="V158" t="str">
            <v>#REF!</v>
          </cell>
          <cell r="W158" t="str">
            <v>#REF!</v>
          </cell>
          <cell r="X158" t="str">
            <v>#REF!</v>
          </cell>
          <cell r="Y158" t="str">
            <v>#REF!</v>
          </cell>
          <cell r="Z158" t="str">
            <v>#REF!</v>
          </cell>
          <cell r="AA158" t="str">
            <v>Zero investment in 2019</v>
          </cell>
          <cell r="AB158">
            <v>61540.698463952358</v>
          </cell>
          <cell r="AC158">
            <v>1402.9970122473467</v>
          </cell>
          <cell r="AD158">
            <v>60138</v>
          </cell>
          <cell r="AL158">
            <v>126.28979999999999</v>
          </cell>
          <cell r="AM158">
            <v>126.28979999999999</v>
          </cell>
          <cell r="AN158">
            <v>35</v>
          </cell>
          <cell r="AQ158">
            <v>23516.752239691665</v>
          </cell>
          <cell r="AR158">
            <v>38023.946224260697</v>
          </cell>
        </row>
        <row r="159">
          <cell r="A159" t="str">
            <v>8160-01-262</v>
          </cell>
          <cell r="B159" t="str">
            <v>Meron Man</v>
          </cell>
          <cell r="C159" t="str">
            <v>050699727</v>
          </cell>
          <cell r="D159" t="e">
            <v>#REF!</v>
          </cell>
          <cell r="F159" t="str">
            <v>מירון מן</v>
          </cell>
          <cell r="G159" t="str">
            <v>V</v>
          </cell>
          <cell r="H159" t="str">
            <v>Phoenix</v>
          </cell>
          <cell r="I159">
            <v>700000</v>
          </cell>
          <cell r="J159">
            <v>9.5729975388370355E-3</v>
          </cell>
          <cell r="K159">
            <v>13094.638780975238</v>
          </cell>
          <cell r="L159">
            <v>130500.32430158029</v>
          </cell>
          <cell r="M159">
            <v>143594.96308255554</v>
          </cell>
          <cell r="O159">
            <v>0</v>
          </cell>
          <cell r="R159">
            <v>0</v>
          </cell>
          <cell r="S159" t="str">
            <v>IRA</v>
          </cell>
          <cell r="T159">
            <v>0</v>
          </cell>
          <cell r="U159">
            <v>143595</v>
          </cell>
          <cell r="V159" t="str">
            <v>#REF!</v>
          </cell>
          <cell r="W159" t="str">
            <v>#REF!</v>
          </cell>
          <cell r="X159" t="str">
            <v>#REF!</v>
          </cell>
          <cell r="Y159" t="str">
            <v>#REF!</v>
          </cell>
          <cell r="Z159" t="str">
            <v>#REF!</v>
          </cell>
          <cell r="AA159" t="str">
            <v>Zero investment in 2019</v>
          </cell>
          <cell r="AB159">
            <v>143594.96308255554</v>
          </cell>
          <cell r="AC159">
            <v>0</v>
          </cell>
          <cell r="AD159">
            <v>143595</v>
          </cell>
          <cell r="AL159">
            <v>301.54949999999997</v>
          </cell>
          <cell r="AM159">
            <v>301.54949999999997</v>
          </cell>
          <cell r="AN159">
            <v>35</v>
          </cell>
          <cell r="AQ159">
            <v>54872.421892613886</v>
          </cell>
          <cell r="AR159">
            <v>88722.54118994165</v>
          </cell>
        </row>
        <row r="160">
          <cell r="A160" t="str">
            <v>8160-01-263</v>
          </cell>
          <cell r="B160" t="str">
            <v>Dan Schmorak</v>
          </cell>
          <cell r="C160" t="str">
            <v>006785984</v>
          </cell>
          <cell r="D160" t="e">
            <v>#REF!</v>
          </cell>
          <cell r="F160" t="str">
            <v>דן שמורק</v>
          </cell>
          <cell r="G160" t="str">
            <v>V</v>
          </cell>
          <cell r="H160" t="str">
            <v>Meitav</v>
          </cell>
          <cell r="I160">
            <v>250000</v>
          </cell>
          <cell r="J160">
            <v>3.4189276924417983E-3</v>
          </cell>
          <cell r="K160">
            <v>4676.6567074911563</v>
          </cell>
          <cell r="L160">
            <v>46607.258679135819</v>
          </cell>
          <cell r="M160">
            <v>51283.915386626977</v>
          </cell>
          <cell r="O160">
            <v>0</v>
          </cell>
          <cell r="R160">
            <v>0</v>
          </cell>
          <cell r="S160" t="str">
            <v>IRA</v>
          </cell>
          <cell r="T160">
            <v>0</v>
          </cell>
          <cell r="U160">
            <v>51284</v>
          </cell>
          <cell r="V160" t="str">
            <v>#REF!</v>
          </cell>
          <cell r="W160" t="str">
            <v>#REF!</v>
          </cell>
          <cell r="X160" t="str">
            <v>#REF!</v>
          </cell>
          <cell r="Y160" t="str">
            <v>#REF!</v>
          </cell>
          <cell r="Z160" t="str">
            <v>#REF!</v>
          </cell>
          <cell r="AA160" t="str">
            <v>Zero investment in 2019</v>
          </cell>
          <cell r="AB160">
            <v>51283.915386626977</v>
          </cell>
          <cell r="AC160">
            <v>0</v>
          </cell>
          <cell r="AD160">
            <v>51284</v>
          </cell>
          <cell r="AL160">
            <v>107.6964</v>
          </cell>
          <cell r="AM160">
            <v>107.6964</v>
          </cell>
          <cell r="AN160">
            <v>35</v>
          </cell>
          <cell r="AQ160">
            <v>19597.293533076387</v>
          </cell>
          <cell r="AR160">
            <v>31686.62185355059</v>
          </cell>
        </row>
        <row r="161">
          <cell r="A161" t="str">
            <v>8160-01-264</v>
          </cell>
          <cell r="B161" t="str">
            <v>Eyal Amitai</v>
          </cell>
          <cell r="C161" t="str">
            <v>012159844</v>
          </cell>
          <cell r="D161" t="e">
            <v>#REF!</v>
          </cell>
          <cell r="F161" t="str">
            <v>איל אמיתי</v>
          </cell>
          <cell r="G161" t="str">
            <v>V</v>
          </cell>
          <cell r="H161" t="str">
            <v>Meitav</v>
          </cell>
          <cell r="I161">
            <v>250000</v>
          </cell>
          <cell r="J161">
            <v>3.4189276924417983E-3</v>
          </cell>
          <cell r="K161">
            <v>4676.6567074911563</v>
          </cell>
          <cell r="L161">
            <v>46607.258679135819</v>
          </cell>
          <cell r="M161">
            <v>51283.915386626977</v>
          </cell>
          <cell r="O161">
            <v>0</v>
          </cell>
          <cell r="R161">
            <v>0</v>
          </cell>
          <cell r="S161" t="str">
            <v>IRA</v>
          </cell>
          <cell r="T161">
            <v>0</v>
          </cell>
          <cell r="U161">
            <v>51284</v>
          </cell>
          <cell r="V161" t="str">
            <v>#REF!</v>
          </cell>
          <cell r="W161" t="str">
            <v>#REF!</v>
          </cell>
          <cell r="X161" t="str">
            <v>#REF!</v>
          </cell>
          <cell r="Y161" t="str">
            <v>#REF!</v>
          </cell>
          <cell r="Z161" t="str">
            <v>#REF!</v>
          </cell>
          <cell r="AA161" t="str">
            <v>Zero investment in 2019</v>
          </cell>
          <cell r="AB161">
            <v>51283.915386626977</v>
          </cell>
          <cell r="AC161">
            <v>0</v>
          </cell>
          <cell r="AD161">
            <v>51284</v>
          </cell>
          <cell r="AL161">
            <v>107.6964</v>
          </cell>
          <cell r="AM161">
            <v>107.6964</v>
          </cell>
          <cell r="AN161">
            <v>35</v>
          </cell>
          <cell r="AQ161">
            <v>19597.293533076387</v>
          </cell>
          <cell r="AR161">
            <v>31686.62185355059</v>
          </cell>
        </row>
        <row r="162">
          <cell r="A162" t="str">
            <v>8160-01-265</v>
          </cell>
          <cell r="B162" t="str">
            <v>Gil Vardi</v>
          </cell>
          <cell r="C162" t="str">
            <v>001424928</v>
          </cell>
          <cell r="D162" t="e">
            <v>#REF!</v>
          </cell>
          <cell r="F162" t="str">
            <v>גיל ורדי</v>
          </cell>
          <cell r="G162" t="str">
            <v>V</v>
          </cell>
          <cell r="H162" t="str">
            <v>Meitav</v>
          </cell>
          <cell r="I162">
            <v>300000</v>
          </cell>
          <cell r="J162">
            <v>4.1027132309301578E-3</v>
          </cell>
          <cell r="K162">
            <v>5611.9880489893867</v>
          </cell>
          <cell r="L162">
            <v>55928.710414962974</v>
          </cell>
          <cell r="M162">
            <v>61540.698463952358</v>
          </cell>
          <cell r="O162">
            <v>0</v>
          </cell>
          <cell r="R162">
            <v>0</v>
          </cell>
          <cell r="S162" t="str">
            <v>IRA</v>
          </cell>
          <cell r="T162">
            <v>0</v>
          </cell>
          <cell r="U162">
            <v>61541</v>
          </cell>
          <cell r="V162" t="str">
            <v>#REF!</v>
          </cell>
          <cell r="W162" t="str">
            <v>#REF!</v>
          </cell>
          <cell r="X162" t="str">
            <v>#REF!</v>
          </cell>
          <cell r="Y162" t="str">
            <v>#REF!</v>
          </cell>
          <cell r="Z162" t="str">
            <v>#REF!</v>
          </cell>
          <cell r="AA162" t="str">
            <v>Zero investment in 2019</v>
          </cell>
          <cell r="AB162">
            <v>61540.698463952358</v>
          </cell>
          <cell r="AC162">
            <v>0</v>
          </cell>
          <cell r="AD162">
            <v>61541</v>
          </cell>
          <cell r="AL162">
            <v>129.23609999999999</v>
          </cell>
          <cell r="AM162">
            <v>129.23609999999999</v>
          </cell>
          <cell r="AN162">
            <v>35</v>
          </cell>
          <cell r="AQ162">
            <v>23516.752239691665</v>
          </cell>
          <cell r="AR162">
            <v>38023.946224260697</v>
          </cell>
        </row>
        <row r="163">
          <cell r="A163" t="str">
            <v>8160-01-266</v>
          </cell>
          <cell r="B163" t="str">
            <v>Haim Shiniger</v>
          </cell>
          <cell r="C163" t="str">
            <v>043451640</v>
          </cell>
          <cell r="D163" t="e">
            <v>#REF!</v>
          </cell>
          <cell r="F163" t="str">
            <v>חיים שיניגר</v>
          </cell>
          <cell r="G163" t="str">
            <v>V</v>
          </cell>
          <cell r="H163" t="str">
            <v>Meitav</v>
          </cell>
          <cell r="I163">
            <v>250000</v>
          </cell>
          <cell r="J163">
            <v>3.4189276924417983E-3</v>
          </cell>
          <cell r="K163">
            <v>4676.6567074911563</v>
          </cell>
          <cell r="L163">
            <v>46607.258679135819</v>
          </cell>
          <cell r="M163">
            <v>51283.915386626977</v>
          </cell>
          <cell r="O163">
            <v>0</v>
          </cell>
          <cell r="R163">
            <v>0</v>
          </cell>
          <cell r="S163" t="str">
            <v>IRA</v>
          </cell>
          <cell r="T163">
            <v>0</v>
          </cell>
          <cell r="U163">
            <v>51284</v>
          </cell>
          <cell r="V163" t="str">
            <v>#REF!</v>
          </cell>
          <cell r="W163" t="str">
            <v>#REF!</v>
          </cell>
          <cell r="X163" t="str">
            <v>#REF!</v>
          </cell>
          <cell r="Y163" t="str">
            <v>#REF!</v>
          </cell>
          <cell r="Z163" t="str">
            <v>#REF!</v>
          </cell>
          <cell r="AA163" t="str">
            <v>Zero investment in 2019</v>
          </cell>
          <cell r="AB163">
            <v>51283.915386626977</v>
          </cell>
          <cell r="AC163">
            <v>0</v>
          </cell>
          <cell r="AD163">
            <v>51284</v>
          </cell>
          <cell r="AL163">
            <v>107.6964</v>
          </cell>
          <cell r="AM163">
            <v>107.6964</v>
          </cell>
          <cell r="AN163">
            <v>35</v>
          </cell>
          <cell r="AQ163">
            <v>19597.293533076387</v>
          </cell>
          <cell r="AR163">
            <v>31686.62185355059</v>
          </cell>
        </row>
        <row r="164">
          <cell r="A164" t="str">
            <v>8160-01-267</v>
          </cell>
          <cell r="B164" t="str">
            <v>Dov Stempler</v>
          </cell>
          <cell r="C164" t="str">
            <v>050267475</v>
          </cell>
          <cell r="D164" t="e">
            <v>#REF!</v>
          </cell>
          <cell r="F164" t="str">
            <v>דב סטמפלר</v>
          </cell>
          <cell r="G164" t="str">
            <v>V</v>
          </cell>
          <cell r="H164" t="str">
            <v>Meitav</v>
          </cell>
          <cell r="I164">
            <v>250000</v>
          </cell>
          <cell r="J164">
            <v>3.4189276924417983E-3</v>
          </cell>
          <cell r="K164">
            <v>4676.6567074911563</v>
          </cell>
          <cell r="L164">
            <v>46607.258679135819</v>
          </cell>
          <cell r="M164">
            <v>51283.915386626977</v>
          </cell>
          <cell r="O164">
            <v>0</v>
          </cell>
          <cell r="R164">
            <v>0</v>
          </cell>
          <cell r="S164" t="str">
            <v>IRA</v>
          </cell>
          <cell r="T164">
            <v>0</v>
          </cell>
          <cell r="U164">
            <v>51284</v>
          </cell>
          <cell r="V164" t="str">
            <v>#REF!</v>
          </cell>
          <cell r="W164" t="str">
            <v>#REF!</v>
          </cell>
          <cell r="X164" t="str">
            <v>#REF!</v>
          </cell>
          <cell r="Y164" t="str">
            <v>#REF!</v>
          </cell>
          <cell r="Z164" t="str">
            <v>#REF!</v>
          </cell>
          <cell r="AA164" t="str">
            <v>Zero investment in 2019</v>
          </cell>
          <cell r="AB164">
            <v>51283.915386626977</v>
          </cell>
          <cell r="AC164">
            <v>0</v>
          </cell>
          <cell r="AD164">
            <v>51284</v>
          </cell>
          <cell r="AL164">
            <v>107.6964</v>
          </cell>
          <cell r="AM164">
            <v>107.6964</v>
          </cell>
          <cell r="AN164">
            <v>35</v>
          </cell>
          <cell r="AQ164">
            <v>19597.293533076387</v>
          </cell>
          <cell r="AR164">
            <v>31686.62185355059</v>
          </cell>
        </row>
        <row r="165">
          <cell r="A165" t="str">
            <v>8160-01-269</v>
          </cell>
          <cell r="B165" t="str">
            <v>Rafael Yosef and Gila Aravot</v>
          </cell>
          <cell r="C165" t="str">
            <v>Rafael 052294170  Gila 054197835</v>
          </cell>
          <cell r="D165" t="e">
            <v>#REF!</v>
          </cell>
          <cell r="F165" t="str">
            <v>רפאל יוסף ערבות וגילה ערבות</v>
          </cell>
          <cell r="G165" t="str">
            <v>V</v>
          </cell>
          <cell r="I165">
            <v>150000</v>
          </cell>
          <cell r="J165">
            <v>2.0513566154650789E-3</v>
          </cell>
          <cell r="K165">
            <v>2805.9940244946933</v>
          </cell>
          <cell r="L165">
            <v>27964.355207481487</v>
          </cell>
          <cell r="M165">
            <v>30770.349231976179</v>
          </cell>
          <cell r="N165">
            <v>701.49850612367334</v>
          </cell>
          <cell r="O165">
            <v>0</v>
          </cell>
          <cell r="P165">
            <v>0</v>
          </cell>
          <cell r="Q165">
            <v>701.49850612367334</v>
          </cell>
          <cell r="R165">
            <v>701.49850612367334</v>
          </cell>
          <cell r="S165" t="str">
            <v>X</v>
          </cell>
          <cell r="U165">
            <v>30069</v>
          </cell>
          <cell r="V165" t="str">
            <v>#REF!</v>
          </cell>
          <cell r="W165" t="str">
            <v>#REF!</v>
          </cell>
          <cell r="X165" t="str">
            <v>#REF!</v>
          </cell>
          <cell r="Y165" t="str">
            <v>#REF!</v>
          </cell>
          <cell r="Z165" t="str">
            <v>#REF!</v>
          </cell>
          <cell r="AA165" t="str">
            <v>Zero investment in 2019</v>
          </cell>
          <cell r="AB165">
            <v>30770.349231976179</v>
          </cell>
          <cell r="AC165">
            <v>701.49850612367334</v>
          </cell>
          <cell r="AD165">
            <v>30069</v>
          </cell>
          <cell r="AL165">
            <v>63.144899999999993</v>
          </cell>
          <cell r="AM165">
            <v>63.144899999999993</v>
          </cell>
          <cell r="AN165">
            <v>35</v>
          </cell>
          <cell r="AQ165">
            <v>11758.376119845832</v>
          </cell>
          <cell r="AR165">
            <v>19011.973112130348</v>
          </cell>
        </row>
        <row r="166">
          <cell r="A166" t="str">
            <v>8160-01-271</v>
          </cell>
          <cell r="B166" t="str">
            <v>Sergio Edelsztein</v>
          </cell>
          <cell r="C166" t="str">
            <v>013834031</v>
          </cell>
          <cell r="D166" t="e">
            <v>#REF!</v>
          </cell>
          <cell r="F166" t="str">
            <v>סרג'יו אדלשטיין</v>
          </cell>
          <cell r="G166" t="str">
            <v>V</v>
          </cell>
          <cell r="I166">
            <v>250000</v>
          </cell>
          <cell r="J166">
            <v>3.4189276924417983E-3</v>
          </cell>
          <cell r="K166">
            <v>4676.6567074911563</v>
          </cell>
          <cell r="L166">
            <v>46607.258679135819</v>
          </cell>
          <cell r="M166">
            <v>51283.915386626977</v>
          </cell>
          <cell r="N166">
            <v>1169.1641768727891</v>
          </cell>
          <cell r="O166">
            <v>0</v>
          </cell>
          <cell r="P166">
            <v>0</v>
          </cell>
          <cell r="Q166">
            <v>1169.1641768727891</v>
          </cell>
          <cell r="R166">
            <v>1169.1641768727891</v>
          </cell>
          <cell r="S166" t="str">
            <v>X</v>
          </cell>
          <cell r="U166">
            <v>50115</v>
          </cell>
          <cell r="V166" t="str">
            <v>#REF!</v>
          </cell>
          <cell r="W166" t="str">
            <v>#REF!</v>
          </cell>
          <cell r="X166" t="str">
            <v>#REF!</v>
          </cell>
          <cell r="Y166" t="str">
            <v>#REF!</v>
          </cell>
          <cell r="Z166" t="str">
            <v>#REF!</v>
          </cell>
          <cell r="AA166" t="str">
            <v>Zero investment in 2019</v>
          </cell>
          <cell r="AB166">
            <v>51283.915386626977</v>
          </cell>
          <cell r="AC166">
            <v>1169.1641768727891</v>
          </cell>
          <cell r="AD166">
            <v>50115</v>
          </cell>
          <cell r="AL166">
            <v>105.24149999999999</v>
          </cell>
          <cell r="AM166">
            <v>105.24149999999999</v>
          </cell>
          <cell r="AN166">
            <v>35</v>
          </cell>
          <cell r="AQ166">
            <v>19597.293533076387</v>
          </cell>
          <cell r="AR166">
            <v>31686.62185355059</v>
          </cell>
        </row>
        <row r="167">
          <cell r="A167" t="str">
            <v>8160-01-273</v>
          </cell>
          <cell r="B167" t="str">
            <v>Silvia &amp; Ehud Portiansky</v>
          </cell>
          <cell r="C167" t="str">
            <v>Silvia 017378886   Ehud 015133382</v>
          </cell>
          <cell r="D167" t="e">
            <v>#REF!</v>
          </cell>
          <cell r="F167" t="str">
            <v>סילביה הלנה פורטיאנסקי ואהוד פורטיאנסקי</v>
          </cell>
          <cell r="G167" t="str">
            <v>V</v>
          </cell>
          <cell r="I167">
            <v>250000</v>
          </cell>
          <cell r="J167">
            <v>3.4189276924417983E-3</v>
          </cell>
          <cell r="K167">
            <v>4676.6567074911563</v>
          </cell>
          <cell r="L167">
            <v>46607.258679135819</v>
          </cell>
          <cell r="M167">
            <v>51283.915386626977</v>
          </cell>
          <cell r="N167">
            <v>1169.1641768727891</v>
          </cell>
          <cell r="O167">
            <v>0</v>
          </cell>
          <cell r="P167">
            <v>0</v>
          </cell>
          <cell r="Q167">
            <v>1169.1641768727891</v>
          </cell>
          <cell r="R167">
            <v>1169.1641768727891</v>
          </cell>
          <cell r="S167" t="str">
            <v>X</v>
          </cell>
          <cell r="U167">
            <v>50115</v>
          </cell>
          <cell r="V167" t="str">
            <v>#REF!</v>
          </cell>
          <cell r="W167" t="str">
            <v>#REF!</v>
          </cell>
          <cell r="X167" t="str">
            <v>#REF!</v>
          </cell>
          <cell r="Y167" t="str">
            <v>#REF!</v>
          </cell>
          <cell r="Z167" t="str">
            <v>#REF!</v>
          </cell>
          <cell r="AA167" t="str">
            <v>Zero investment in 2019</v>
          </cell>
          <cell r="AB167">
            <v>51283.915386626977</v>
          </cell>
          <cell r="AC167">
            <v>1169.1641768727891</v>
          </cell>
          <cell r="AD167">
            <v>50115</v>
          </cell>
          <cell r="AL167">
            <v>105.24149999999999</v>
          </cell>
          <cell r="AM167">
            <v>105.24149999999999</v>
          </cell>
          <cell r="AN167">
            <v>35</v>
          </cell>
          <cell r="AQ167">
            <v>19597.293533076387</v>
          </cell>
          <cell r="AR167">
            <v>31686.62185355059</v>
          </cell>
        </row>
        <row r="168">
          <cell r="A168" t="str">
            <v>8160-01-275</v>
          </cell>
          <cell r="B168" t="str">
            <v>Yishai Levanoni</v>
          </cell>
          <cell r="C168" t="str">
            <v>023634496</v>
          </cell>
          <cell r="D168" t="e">
            <v>#REF!</v>
          </cell>
          <cell r="F168" t="str">
            <v>ישי לבנוני</v>
          </cell>
          <cell r="G168" t="str">
            <v>V</v>
          </cell>
          <cell r="I168">
            <v>120000</v>
          </cell>
          <cell r="J168">
            <v>1.6410852923720632E-3</v>
          </cell>
          <cell r="K168">
            <v>2244.795219595755</v>
          </cell>
          <cell r="L168">
            <v>22371.484165985192</v>
          </cell>
          <cell r="M168">
            <v>24616.279385580947</v>
          </cell>
          <cell r="N168">
            <v>561.19880489893876</v>
          </cell>
          <cell r="O168">
            <v>0</v>
          </cell>
          <cell r="P168">
            <v>0</v>
          </cell>
          <cell r="Q168">
            <v>561.19880489893876</v>
          </cell>
          <cell r="R168">
            <v>561.19880489893876</v>
          </cell>
          <cell r="S168" t="str">
            <v>X</v>
          </cell>
          <cell r="U168">
            <v>24055</v>
          </cell>
          <cell r="V168" t="e">
            <v>#N/A</v>
          </cell>
          <cell r="W168" t="str">
            <v>#REF!</v>
          </cell>
          <cell r="X168" t="str">
            <v>#REF!</v>
          </cell>
          <cell r="Y168" t="str">
            <v>#REF!</v>
          </cell>
          <cell r="Z168" t="str">
            <v>#REF!</v>
          </cell>
          <cell r="AA168" t="str">
            <v>Zero investment in 2019</v>
          </cell>
          <cell r="AB168">
            <v>24616.279385580947</v>
          </cell>
          <cell r="AC168">
            <v>561.19880489893876</v>
          </cell>
          <cell r="AD168">
            <v>24055</v>
          </cell>
          <cell r="AL168">
            <v>50.515499999999996</v>
          </cell>
          <cell r="AM168">
            <v>50.515499999999996</v>
          </cell>
          <cell r="AN168">
            <v>35</v>
          </cell>
          <cell r="AQ168">
            <v>9406.7008958766655</v>
          </cell>
          <cell r="AR168">
            <v>15209.578489704281</v>
          </cell>
        </row>
        <row r="169">
          <cell r="A169" t="str">
            <v>8160-01-276</v>
          </cell>
          <cell r="B169" t="str">
            <v>Viatcheslav Brecht</v>
          </cell>
          <cell r="C169">
            <v>309826329</v>
          </cell>
          <cell r="D169" t="e">
            <v>#REF!</v>
          </cell>
          <cell r="G169" t="str">
            <v>V</v>
          </cell>
          <cell r="I169">
            <v>500000</v>
          </cell>
          <cell r="J169">
            <v>6.8378553848835967E-3</v>
          </cell>
          <cell r="K169">
            <v>9353.3134149823127</v>
          </cell>
          <cell r="L169">
            <v>93214.517358271638</v>
          </cell>
          <cell r="M169">
            <v>102567.83077325395</v>
          </cell>
          <cell r="N169">
            <v>2338.3283537455782</v>
          </cell>
          <cell r="O169">
            <v>0</v>
          </cell>
          <cell r="P169">
            <v>0</v>
          </cell>
          <cell r="Q169">
            <v>2338.3283537455782</v>
          </cell>
          <cell r="R169">
            <v>2338.3283537455782</v>
          </cell>
          <cell r="S169" t="str">
            <v>X</v>
          </cell>
          <cell r="U169">
            <v>100230</v>
          </cell>
          <cell r="V169" t="str">
            <v>#REF!</v>
          </cell>
          <cell r="W169" t="str">
            <v>#REF!</v>
          </cell>
          <cell r="X169" t="str">
            <v>#REF!</v>
          </cell>
          <cell r="Y169" t="str">
            <v>#REF!</v>
          </cell>
          <cell r="Z169" t="str">
            <v>#REF!</v>
          </cell>
          <cell r="AA169" t="str">
            <v>Zero investment in 2019</v>
          </cell>
          <cell r="AB169">
            <v>102567.83077325395</v>
          </cell>
          <cell r="AC169">
            <v>2338.3283537455782</v>
          </cell>
          <cell r="AD169">
            <v>100230</v>
          </cell>
          <cell r="AL169">
            <v>210.48299999999998</v>
          </cell>
          <cell r="AM169">
            <v>210.48299999999998</v>
          </cell>
          <cell r="AN169">
            <v>35</v>
          </cell>
          <cell r="AQ169">
            <v>39194.587066152773</v>
          </cell>
          <cell r="AR169">
            <v>63373.243707101181</v>
          </cell>
        </row>
        <row r="170">
          <cell r="A170" t="str">
            <v>8160-01-278</v>
          </cell>
          <cell r="B170" t="str">
            <v>Ori Etkovitz</v>
          </cell>
          <cell r="C170" t="str">
            <v>024817801</v>
          </cell>
          <cell r="D170" t="e">
            <v>#REF!</v>
          </cell>
          <cell r="F170" t="str">
            <v>אורי אטקוביץ</v>
          </cell>
          <cell r="G170" t="str">
            <v>V</v>
          </cell>
          <cell r="I170">
            <v>120000</v>
          </cell>
          <cell r="J170">
            <v>1.6410852923720632E-3</v>
          </cell>
          <cell r="K170">
            <v>2244.795219595755</v>
          </cell>
          <cell r="L170">
            <v>22371.484165985192</v>
          </cell>
          <cell r="M170">
            <v>24616.279385580947</v>
          </cell>
          <cell r="N170">
            <v>561.19880489893876</v>
          </cell>
          <cell r="O170">
            <v>0</v>
          </cell>
          <cell r="P170">
            <v>0</v>
          </cell>
          <cell r="Q170">
            <v>561.19880489893876</v>
          </cell>
          <cell r="R170">
            <v>561.19880489893876</v>
          </cell>
          <cell r="S170" t="str">
            <v>X</v>
          </cell>
          <cell r="U170">
            <v>24055</v>
          </cell>
          <cell r="V170" t="str">
            <v>#REF!</v>
          </cell>
          <cell r="W170" t="str">
            <v>#REF!</v>
          </cell>
          <cell r="X170" t="str">
            <v>#REF!</v>
          </cell>
          <cell r="Y170" t="str">
            <v>#REF!</v>
          </cell>
          <cell r="Z170" t="str">
            <v>#REF!</v>
          </cell>
          <cell r="AA170" t="str">
            <v>Zero investment in 2019</v>
          </cell>
          <cell r="AB170">
            <v>24616.279385580947</v>
          </cell>
          <cell r="AC170">
            <v>561.19880489893876</v>
          </cell>
          <cell r="AD170">
            <v>24055</v>
          </cell>
          <cell r="AL170">
            <v>50.515499999999996</v>
          </cell>
          <cell r="AM170">
            <v>50.515499999999996</v>
          </cell>
          <cell r="AN170">
            <v>35</v>
          </cell>
          <cell r="AQ170">
            <v>9406.7008958766655</v>
          </cell>
          <cell r="AR170">
            <v>15209.578489704281</v>
          </cell>
        </row>
        <row r="171">
          <cell r="A171" t="str">
            <v>8160-01-279</v>
          </cell>
          <cell r="B171" t="str">
            <v>Jacob Ofnagel</v>
          </cell>
          <cell r="C171" t="str">
            <v>054604533</v>
          </cell>
          <cell r="D171" t="e">
            <v>#REF!</v>
          </cell>
          <cell r="F171" t="str">
            <v>יעקב אופנגל</v>
          </cell>
          <cell r="G171" t="str">
            <v>V</v>
          </cell>
          <cell r="I171">
            <v>250000</v>
          </cell>
          <cell r="J171">
            <v>3.4189276924417983E-3</v>
          </cell>
          <cell r="K171">
            <v>4676.6567074911563</v>
          </cell>
          <cell r="L171">
            <v>46607.258679135819</v>
          </cell>
          <cell r="M171">
            <v>51283.915386626977</v>
          </cell>
          <cell r="N171">
            <v>1169.1641768727891</v>
          </cell>
          <cell r="O171">
            <v>0</v>
          </cell>
          <cell r="P171">
            <v>0</v>
          </cell>
          <cell r="Q171">
            <v>1169.1641768727891</v>
          </cell>
          <cell r="R171">
            <v>1169.1641768727891</v>
          </cell>
          <cell r="S171" t="str">
            <v>X</v>
          </cell>
          <cell r="U171">
            <v>50115</v>
          </cell>
          <cell r="V171" t="str">
            <v>#REF!</v>
          </cell>
          <cell r="W171" t="str">
            <v>#REF!</v>
          </cell>
          <cell r="X171" t="str">
            <v>#REF!</v>
          </cell>
          <cell r="Y171" t="str">
            <v>#REF!</v>
          </cell>
          <cell r="Z171" t="str">
            <v>#REF!</v>
          </cell>
          <cell r="AA171" t="str">
            <v>Zero investment in 2019</v>
          </cell>
          <cell r="AB171">
            <v>51283.915386626977</v>
          </cell>
          <cell r="AC171">
            <v>1169.1641768727891</v>
          </cell>
          <cell r="AD171">
            <v>50115</v>
          </cell>
          <cell r="AL171">
            <v>105.24149999999999</v>
          </cell>
          <cell r="AM171">
            <v>105.24149999999999</v>
          </cell>
          <cell r="AN171">
            <v>35</v>
          </cell>
          <cell r="AQ171">
            <v>19597.293533076387</v>
          </cell>
          <cell r="AR171">
            <v>31686.62185355059</v>
          </cell>
        </row>
        <row r="172">
          <cell r="A172" t="str">
            <v>8160-01-280</v>
          </cell>
          <cell r="B172" t="str">
            <v>Itzchak Rosenberg</v>
          </cell>
          <cell r="C172" t="str">
            <v>005288253</v>
          </cell>
          <cell r="D172" t="e">
            <v>#REF!</v>
          </cell>
          <cell r="F172" t="str">
            <v>יצחק רוזנברג</v>
          </cell>
          <cell r="G172" t="str">
            <v>V</v>
          </cell>
          <cell r="H172" t="str">
            <v>Meitav</v>
          </cell>
          <cell r="I172">
            <v>600000</v>
          </cell>
          <cell r="J172">
            <v>8.2054264618603157E-3</v>
          </cell>
          <cell r="K172">
            <v>11223.976097978773</v>
          </cell>
          <cell r="L172">
            <v>111857.42082992595</v>
          </cell>
          <cell r="M172">
            <v>123081.39692790472</v>
          </cell>
          <cell r="O172">
            <v>0</v>
          </cell>
          <cell r="R172">
            <v>0</v>
          </cell>
          <cell r="S172" t="str">
            <v>IRA</v>
          </cell>
          <cell r="T172">
            <v>0</v>
          </cell>
          <cell r="U172">
            <v>123081</v>
          </cell>
          <cell r="V172" t="str">
            <v>#REF!</v>
          </cell>
          <cell r="W172" t="str">
            <v>#REF!</v>
          </cell>
          <cell r="X172" t="str">
            <v>#REF!</v>
          </cell>
          <cell r="Y172" t="str">
            <v>#REF!</v>
          </cell>
          <cell r="Z172" t="str">
            <v>#REF!</v>
          </cell>
          <cell r="AA172" t="str">
            <v>Zero investment in 2019</v>
          </cell>
          <cell r="AB172">
            <v>123081.39692790472</v>
          </cell>
          <cell r="AC172">
            <v>0</v>
          </cell>
          <cell r="AD172">
            <v>123081</v>
          </cell>
          <cell r="AL172">
            <v>258.4701</v>
          </cell>
          <cell r="AM172">
            <v>258.4701</v>
          </cell>
          <cell r="AN172">
            <v>35</v>
          </cell>
          <cell r="AQ172">
            <v>47033.504479383329</v>
          </cell>
          <cell r="AR172">
            <v>76047.892448521394</v>
          </cell>
        </row>
        <row r="173">
          <cell r="A173" t="str">
            <v>8160-01-281</v>
          </cell>
          <cell r="B173" t="str">
            <v>Liat Atlas</v>
          </cell>
          <cell r="C173" t="str">
            <v>024506933</v>
          </cell>
          <cell r="D173" t="e">
            <v>#REF!</v>
          </cell>
          <cell r="F173" t="str">
            <v>חיה ליאת אטלס</v>
          </cell>
          <cell r="G173" t="str">
            <v>VI</v>
          </cell>
          <cell r="I173">
            <v>250000</v>
          </cell>
          <cell r="J173">
            <v>3.4189276924417983E-3</v>
          </cell>
          <cell r="K173">
            <v>4676.6567074911563</v>
          </cell>
          <cell r="L173">
            <v>46607.258679135819</v>
          </cell>
          <cell r="M173">
            <v>51283.915386626977</v>
          </cell>
          <cell r="N173">
            <v>1169.1641768727891</v>
          </cell>
          <cell r="O173">
            <v>0</v>
          </cell>
          <cell r="P173">
            <v>0</v>
          </cell>
          <cell r="Q173">
            <v>1169.1641768727891</v>
          </cell>
          <cell r="R173">
            <v>1169.1641768727891</v>
          </cell>
          <cell r="S173" t="str">
            <v>X</v>
          </cell>
          <cell r="U173">
            <v>50115</v>
          </cell>
          <cell r="AA173" t="str">
            <v>Zero investment in 2019</v>
          </cell>
          <cell r="AB173">
            <v>51283.915386626977</v>
          </cell>
          <cell r="AC173">
            <v>1169.1641768727891</v>
          </cell>
          <cell r="AD173">
            <v>50115</v>
          </cell>
          <cell r="AL173">
            <v>105.24149999999999</v>
          </cell>
          <cell r="AM173">
            <v>105.24149999999999</v>
          </cell>
          <cell r="AN173">
            <v>35</v>
          </cell>
          <cell r="AQ173">
            <v>19597.293533076387</v>
          </cell>
          <cell r="AR173">
            <v>31686.62185355059</v>
          </cell>
        </row>
        <row r="174">
          <cell r="A174" t="str">
            <v>8160-01-282</v>
          </cell>
          <cell r="B174" t="str">
            <v>Ron Gabor</v>
          </cell>
          <cell r="C174" t="str">
            <v>029641537</v>
          </cell>
          <cell r="D174" t="e">
            <v>#REF!</v>
          </cell>
          <cell r="F174" t="str">
            <v>רון גבור</v>
          </cell>
          <cell r="G174" t="str">
            <v>VI</v>
          </cell>
          <cell r="I174">
            <v>150000</v>
          </cell>
          <cell r="J174">
            <v>2.0513566154650789E-3</v>
          </cell>
          <cell r="K174">
            <v>2805.9940244946933</v>
          </cell>
          <cell r="L174">
            <v>27964.355207481487</v>
          </cell>
          <cell r="M174">
            <v>30770.349231976179</v>
          </cell>
          <cell r="N174">
            <v>701.49850612367334</v>
          </cell>
          <cell r="O174">
            <v>0</v>
          </cell>
          <cell r="P174">
            <v>0</v>
          </cell>
          <cell r="Q174">
            <v>701.49850612367334</v>
          </cell>
          <cell r="R174">
            <v>701.49850612367334</v>
          </cell>
          <cell r="S174" t="str">
            <v>X</v>
          </cell>
          <cell r="U174">
            <v>30069</v>
          </cell>
          <cell r="AA174" t="str">
            <v>Zero investment in 2019</v>
          </cell>
          <cell r="AB174">
            <v>30770.349231976179</v>
          </cell>
          <cell r="AC174">
            <v>701.49850612367334</v>
          </cell>
          <cell r="AD174">
            <v>30069</v>
          </cell>
          <cell r="AL174">
            <v>63.144899999999993</v>
          </cell>
          <cell r="AM174">
            <v>63.144899999999993</v>
          </cell>
          <cell r="AN174">
            <v>35</v>
          </cell>
          <cell r="AQ174">
            <v>11758.376119845832</v>
          </cell>
          <cell r="AR174">
            <v>19011.973112130348</v>
          </cell>
        </row>
        <row r="175">
          <cell r="A175" t="str">
            <v>8160-01-283</v>
          </cell>
          <cell r="B175" t="str">
            <v>Yair Liel</v>
          </cell>
          <cell r="C175" t="str">
            <v>030380372</v>
          </cell>
          <cell r="D175" t="e">
            <v>#REF!</v>
          </cell>
          <cell r="F175" t="str">
            <v>יאיר אברהם ליאל</v>
          </cell>
          <cell r="G175" t="str">
            <v>VI</v>
          </cell>
          <cell r="I175">
            <v>200000</v>
          </cell>
          <cell r="J175">
            <v>2.7351421539534388E-3</v>
          </cell>
          <cell r="K175">
            <v>3741.3253659929251</v>
          </cell>
          <cell r="L175">
            <v>37285.806943308657</v>
          </cell>
          <cell r="M175">
            <v>41027.132309301582</v>
          </cell>
          <cell r="N175">
            <v>935.33134149823127</v>
          </cell>
          <cell r="O175">
            <v>0</v>
          </cell>
          <cell r="P175">
            <v>0</v>
          </cell>
          <cell r="Q175">
            <v>935.33134149823127</v>
          </cell>
          <cell r="R175">
            <v>935.33134149823127</v>
          </cell>
          <cell r="S175" t="str">
            <v>X</v>
          </cell>
          <cell r="U175">
            <v>40092</v>
          </cell>
          <cell r="AA175" t="str">
            <v>Zero investment in 2019</v>
          </cell>
          <cell r="AB175">
            <v>41027.132309301582</v>
          </cell>
          <cell r="AC175">
            <v>935.33134149823127</v>
          </cell>
          <cell r="AD175">
            <v>40092</v>
          </cell>
          <cell r="AL175">
            <v>84.19319999999999</v>
          </cell>
          <cell r="AM175">
            <v>84.19319999999999</v>
          </cell>
          <cell r="AN175">
            <v>35</v>
          </cell>
          <cell r="AQ175">
            <v>15677.834826461112</v>
          </cell>
          <cell r="AR175">
            <v>25349.297482840469</v>
          </cell>
        </row>
        <row r="176">
          <cell r="A176" t="str">
            <v>8160-01-284</v>
          </cell>
          <cell r="B176" t="str">
            <v xml:space="preserve">AMI - Government Employees Provident Fund Management Company Ltd
</v>
          </cell>
          <cell r="C176">
            <v>520042581</v>
          </cell>
          <cell r="D176" t="e">
            <v>#REF!</v>
          </cell>
          <cell r="E176" t="str">
            <v xml:space="preserve">AMI - Government Employees Provident Fund Management Company Ltd
</v>
          </cell>
          <cell r="F176" t="str">
            <v>עמ"י - חברה לניהול קופת גמל מפעלית בע"מ</v>
          </cell>
          <cell r="G176" t="str">
            <v>VI</v>
          </cell>
          <cell r="I176">
            <v>1380000</v>
          </cell>
          <cell r="J176">
            <v>1.8872480862278728E-2</v>
          </cell>
          <cell r="K176">
            <v>25815.145025351183</v>
          </cell>
          <cell r="L176">
            <v>257272.06790882972</v>
          </cell>
          <cell r="M176">
            <v>283087.21293418092</v>
          </cell>
          <cell r="O176">
            <v>0</v>
          </cell>
          <cell r="R176">
            <v>0</v>
          </cell>
          <cell r="S176" t="str">
            <v>V</v>
          </cell>
          <cell r="T176">
            <v>0</v>
          </cell>
          <cell r="U176">
            <v>283087</v>
          </cell>
          <cell r="AA176" t="str">
            <v>Zero investment in 2019</v>
          </cell>
          <cell r="AB176">
            <v>283087.21293418092</v>
          </cell>
          <cell r="AC176">
            <v>0</v>
          </cell>
          <cell r="AD176">
            <v>283087</v>
          </cell>
          <cell r="AL176">
            <v>594.48269999999991</v>
          </cell>
          <cell r="AM176">
            <v>594.48269999999991</v>
          </cell>
          <cell r="AN176">
            <v>35</v>
          </cell>
          <cell r="AQ176">
            <v>108177.06030258167</v>
          </cell>
          <cell r="AR176">
            <v>174910.15263159925</v>
          </cell>
        </row>
        <row r="177">
          <cell r="A177" t="str">
            <v>8160-01-285</v>
          </cell>
          <cell r="B177" t="str">
            <v>Machar - Hevra Lenihul Kupot Gamal Ltd - obo Kupat Gemel Machar</v>
          </cell>
          <cell r="C177">
            <v>500601568</v>
          </cell>
          <cell r="D177" t="e">
            <v>#REF!</v>
          </cell>
          <cell r="E177" t="str">
            <v>Machar - Hevra Lenihul Kupot Gamal Ltd - obo Kupat Gemel Machar</v>
          </cell>
          <cell r="F177" t="str">
            <v>מחר - חברה לניהול קופות גמל בע"מ</v>
          </cell>
          <cell r="G177" t="str">
            <v>VI</v>
          </cell>
          <cell r="I177">
            <v>1000000</v>
          </cell>
          <cell r="J177">
            <v>1.3675710769767193E-2</v>
          </cell>
          <cell r="K177">
            <v>18706.626829964625</v>
          </cell>
          <cell r="L177">
            <v>186429.03471654328</v>
          </cell>
          <cell r="M177">
            <v>205135.66154650791</v>
          </cell>
          <cell r="O177">
            <v>0</v>
          </cell>
          <cell r="R177">
            <v>0</v>
          </cell>
          <cell r="S177" t="str">
            <v>V</v>
          </cell>
          <cell r="T177">
            <v>0</v>
          </cell>
          <cell r="U177">
            <v>205136</v>
          </cell>
          <cell r="AA177" t="str">
            <v>Zero investment in 2019</v>
          </cell>
          <cell r="AB177">
            <v>205135.66154650791</v>
          </cell>
          <cell r="AC177">
            <v>0</v>
          </cell>
          <cell r="AD177">
            <v>205136</v>
          </cell>
          <cell r="AL177">
            <v>430.78559999999999</v>
          </cell>
          <cell r="AM177">
            <v>430.78559999999999</v>
          </cell>
          <cell r="AN177">
            <v>35</v>
          </cell>
          <cell r="AQ177">
            <v>78389.174132305547</v>
          </cell>
          <cell r="AR177">
            <v>126746.48741420236</v>
          </cell>
        </row>
        <row r="178">
          <cell r="A178" t="str">
            <v>8160-01-286</v>
          </cell>
          <cell r="B178" t="str">
            <v xml:space="preserve">I Argento Funds in Israel LP
</v>
          </cell>
          <cell r="C178">
            <v>550244180</v>
          </cell>
          <cell r="D178" t="e">
            <v>#REF!</v>
          </cell>
          <cell r="E178" t="str">
            <v xml:space="preserve">I Argento Funds in Israel LP
</v>
          </cell>
          <cell r="F178" t="str">
            <v>קרן איגרא ארגנטו מנייתית, שותפות מוגבלת</v>
          </cell>
          <cell r="G178" t="str">
            <v>VI</v>
          </cell>
          <cell r="I178">
            <v>1500000</v>
          </cell>
          <cell r="J178">
            <v>2.0513566154650789E-2</v>
          </cell>
          <cell r="K178">
            <v>28059.940244946934</v>
          </cell>
          <cell r="L178">
            <v>279643.55207481486</v>
          </cell>
          <cell r="M178">
            <v>307703.49231976178</v>
          </cell>
          <cell r="O178">
            <v>0</v>
          </cell>
          <cell r="R178">
            <v>0</v>
          </cell>
          <cell r="S178" t="str">
            <v>V</v>
          </cell>
          <cell r="U178">
            <v>307703</v>
          </cell>
          <cell r="AA178" t="str">
            <v>Zero investment in 2019</v>
          </cell>
          <cell r="AB178">
            <v>307703.49231976178</v>
          </cell>
          <cell r="AC178">
            <v>0</v>
          </cell>
          <cell r="AD178">
            <v>307703</v>
          </cell>
          <cell r="AL178">
            <v>646.17629999999997</v>
          </cell>
          <cell r="AM178">
            <v>646.17629999999997</v>
          </cell>
          <cell r="AN178">
            <v>35</v>
          </cell>
          <cell r="AQ178">
            <v>117583.76119845832</v>
          </cell>
          <cell r="AR178">
            <v>190119.73112130346</v>
          </cell>
        </row>
        <row r="179">
          <cell r="A179" t="str">
            <v>8160-01-287</v>
          </cell>
          <cell r="B179" t="str">
            <v xml:space="preserve">Kela - Social Workers Study Fund Management Company Ltd
</v>
          </cell>
          <cell r="C179">
            <v>520030941</v>
          </cell>
          <cell r="D179" t="e">
            <v>#REF!</v>
          </cell>
          <cell r="E179" t="str">
            <v xml:space="preserve">Kela - Social Workers Study Fund Management Company Ltd
</v>
          </cell>
          <cell r="F179" t="str">
            <v>ק.ל.ע חברה לניהול קרן השתלמות לעובדים סוציאלים בע"מ</v>
          </cell>
          <cell r="G179" t="str">
            <v>VI</v>
          </cell>
          <cell r="I179">
            <v>560000</v>
          </cell>
          <cell r="J179">
            <v>7.6583980310696281E-3</v>
          </cell>
          <cell r="K179">
            <v>10475.711024780188</v>
          </cell>
          <cell r="L179">
            <v>104400.25944126422</v>
          </cell>
          <cell r="M179">
            <v>114875.97046604441</v>
          </cell>
          <cell r="O179">
            <v>0</v>
          </cell>
          <cell r="R179">
            <v>0</v>
          </cell>
          <cell r="S179" t="str">
            <v>V</v>
          </cell>
          <cell r="T179">
            <v>0</v>
          </cell>
          <cell r="U179">
            <v>114876</v>
          </cell>
          <cell r="AA179" t="str">
            <v>Zero investment in 2019</v>
          </cell>
          <cell r="AB179">
            <v>114875.97046604441</v>
          </cell>
          <cell r="AC179">
            <v>0</v>
          </cell>
          <cell r="AD179">
            <v>114876</v>
          </cell>
          <cell r="AL179">
            <v>241.2396</v>
          </cell>
          <cell r="AM179">
            <v>241.2396</v>
          </cell>
          <cell r="AN179">
            <v>35</v>
          </cell>
          <cell r="AQ179">
            <v>43897.937514091107</v>
          </cell>
          <cell r="AR179">
            <v>70978.032951953297</v>
          </cell>
        </row>
        <row r="180">
          <cell r="A180" t="str">
            <v>8160-01-288</v>
          </cell>
          <cell r="B180" t="str">
            <v>Michael Lutzky - IRA</v>
          </cell>
          <cell r="C180" t="str">
            <v>017518861</v>
          </cell>
          <cell r="D180" t="e">
            <v>#REF!</v>
          </cell>
          <cell r="F180" t="str">
            <v>מיכאל לוצקי</v>
          </cell>
          <cell r="G180" t="str">
            <v>VI</v>
          </cell>
          <cell r="H180" t="str">
            <v>Meitav</v>
          </cell>
          <cell r="I180">
            <v>200000</v>
          </cell>
          <cell r="J180">
            <v>2.7351421539534388E-3</v>
          </cell>
          <cell r="K180">
            <v>3741.3253659929251</v>
          </cell>
          <cell r="L180">
            <v>37285.806943308657</v>
          </cell>
          <cell r="M180">
            <v>41027.132309301582</v>
          </cell>
          <cell r="O180">
            <v>0</v>
          </cell>
          <cell r="R180">
            <v>0</v>
          </cell>
          <cell r="S180" t="str">
            <v>IRA</v>
          </cell>
          <cell r="T180">
            <v>0</v>
          </cell>
          <cell r="U180">
            <v>41027</v>
          </cell>
          <cell r="AA180" t="str">
            <v>Zero investment in 2019</v>
          </cell>
          <cell r="AB180">
            <v>41027.132309301582</v>
          </cell>
          <cell r="AC180">
            <v>0</v>
          </cell>
          <cell r="AD180">
            <v>41027</v>
          </cell>
          <cell r="AL180">
            <v>86.156700000000001</v>
          </cell>
          <cell r="AM180">
            <v>86.156700000000001</v>
          </cell>
          <cell r="AN180">
            <v>35</v>
          </cell>
          <cell r="AQ180">
            <v>15677.834826461112</v>
          </cell>
          <cell r="AR180">
            <v>25349.297482840469</v>
          </cell>
        </row>
        <row r="181">
          <cell r="A181" t="str">
            <v>8160-01-289</v>
          </cell>
          <cell r="B181" t="str">
            <v>Avner Shaham</v>
          </cell>
          <cell r="C181" t="str">
            <v>051669745</v>
          </cell>
          <cell r="D181" t="e">
            <v>#REF!</v>
          </cell>
          <cell r="F181" t="str">
            <v>אבנר שחם</v>
          </cell>
          <cell r="G181" t="str">
            <v>I</v>
          </cell>
          <cell r="H181" t="str">
            <v>Meitav</v>
          </cell>
          <cell r="I181">
            <v>300000</v>
          </cell>
          <cell r="J181">
            <v>4.1027132309301578E-3</v>
          </cell>
          <cell r="K181">
            <v>5611.9880489893867</v>
          </cell>
          <cell r="L181">
            <v>55928.710414962974</v>
          </cell>
          <cell r="M181">
            <v>61540.698463952358</v>
          </cell>
          <cell r="O181">
            <v>0</v>
          </cell>
          <cell r="R181">
            <v>0</v>
          </cell>
          <cell r="S181" t="str">
            <v>IRA</v>
          </cell>
          <cell r="T181">
            <v>0</v>
          </cell>
          <cell r="U181">
            <v>61541</v>
          </cell>
          <cell r="V181" t="e">
            <v>#N/A</v>
          </cell>
          <cell r="W181" t="e">
            <v>#N/A</v>
          </cell>
          <cell r="X181" t="e">
            <v>#N/A</v>
          </cell>
          <cell r="Y181" t="e">
            <v>#N/A</v>
          </cell>
          <cell r="Z181" t="e">
            <v>#N/A</v>
          </cell>
          <cell r="AA181" t="e">
            <v>#REF!</v>
          </cell>
          <cell r="AB181">
            <v>61540.698463952358</v>
          </cell>
          <cell r="AC181">
            <v>0</v>
          </cell>
          <cell r="AD181">
            <v>61541</v>
          </cell>
          <cell r="AL181">
            <v>129.23609999999999</v>
          </cell>
          <cell r="AM181">
            <v>129.23609999999999</v>
          </cell>
          <cell r="AN181">
            <v>35</v>
          </cell>
          <cell r="AQ181">
            <v>23516.752239691665</v>
          </cell>
          <cell r="AR181">
            <v>38023.946224260697</v>
          </cell>
        </row>
        <row r="182">
          <cell r="A182" t="str">
            <v>8160-01-290</v>
          </cell>
          <cell r="B182" t="str">
            <v>Tomer Shacham</v>
          </cell>
          <cell r="C182" t="str">
            <v>Tomer: 039070487
Avner: 051669745</v>
          </cell>
          <cell r="D182" t="e">
            <v>#REF!</v>
          </cell>
          <cell r="F182" t="str">
            <v>תומר שחם</v>
          </cell>
          <cell r="G182" t="str">
            <v>VI</v>
          </cell>
          <cell r="I182">
            <v>75000</v>
          </cell>
          <cell r="J182">
            <v>1.0256783077325395E-3</v>
          </cell>
          <cell r="K182">
            <v>1402.9970122473467</v>
          </cell>
          <cell r="L182">
            <v>13982.177603740744</v>
          </cell>
          <cell r="M182">
            <v>15385.174615988089</v>
          </cell>
          <cell r="N182">
            <v>350.74925306183667</v>
          </cell>
          <cell r="O182">
            <v>0</v>
          </cell>
          <cell r="P182">
            <v>0</v>
          </cell>
          <cell r="Q182">
            <v>350.74925306183667</v>
          </cell>
          <cell r="R182">
            <v>350.74925306183667</v>
          </cell>
          <cell r="S182" t="str">
            <v>X</v>
          </cell>
          <cell r="U182">
            <v>15034</v>
          </cell>
          <cell r="AA182" t="str">
            <v>Zero investment in 2019</v>
          </cell>
          <cell r="AB182">
            <v>15385.174615988089</v>
          </cell>
          <cell r="AC182">
            <v>350.74925306183667</v>
          </cell>
          <cell r="AD182">
            <v>15034</v>
          </cell>
          <cell r="AL182">
            <v>31.571399999999997</v>
          </cell>
          <cell r="AM182">
            <v>31.571399999999997</v>
          </cell>
          <cell r="AN182">
            <v>35</v>
          </cell>
          <cell r="AQ182">
            <v>5879.1880599229162</v>
          </cell>
          <cell r="AR182">
            <v>9505.9865560651742</v>
          </cell>
        </row>
        <row r="183">
          <cell r="A183" t="e">
            <v>#N/A</v>
          </cell>
          <cell r="I183">
            <v>73122342</v>
          </cell>
          <cell r="J183">
            <v>1</v>
          </cell>
          <cell r="K183">
            <v>1367872.3647270498</v>
          </cell>
          <cell r="L183">
            <v>13632127.635272961</v>
          </cell>
          <cell r="M183">
            <v>15000000.000000011</v>
          </cell>
          <cell r="N183">
            <v>124188.61886742759</v>
          </cell>
          <cell r="O183">
            <v>0</v>
          </cell>
          <cell r="P183">
            <v>0</v>
          </cell>
          <cell r="Q183">
            <v>124188.61886742759</v>
          </cell>
          <cell r="R183">
            <v>124188.61886742759</v>
          </cell>
          <cell r="S183">
            <v>0</v>
          </cell>
          <cell r="T183">
            <v>0</v>
          </cell>
          <cell r="U183">
            <v>14874118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B183">
            <v>15000000.000000011</v>
          </cell>
          <cell r="AC183">
            <v>124188.61886742759</v>
          </cell>
          <cell r="AD183">
            <v>14874118</v>
          </cell>
          <cell r="AL183">
            <v>31235.647799999999</v>
          </cell>
          <cell r="AM183">
            <v>28390.152800000003</v>
          </cell>
          <cell r="AN183">
            <v>6265</v>
          </cell>
          <cell r="AO183">
            <v>-22125.152800000003</v>
          </cell>
        </row>
        <row r="184">
          <cell r="W184" t="str">
            <v>Not Collected amount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1693.3811325840652</v>
          </cell>
        </row>
        <row r="185">
          <cell r="A185" t="str">
            <v>8160-01-253</v>
          </cell>
          <cell r="B185" t="str">
            <v>Yuval Fuchs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S185" t="str">
            <v>ע"פ תקנות'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831F-EAAA-4B81-8B95-349FDEE06363}">
  <dimension ref="A5:T45"/>
  <sheetViews>
    <sheetView showGridLines="0" tabSelected="1" zoomScale="80" zoomScaleNormal="80" workbookViewId="0">
      <selection activeCell="D7" sqref="D7"/>
    </sheetView>
  </sheetViews>
  <sheetFormatPr defaultRowHeight="14.5" x14ac:dyDescent="0.35"/>
  <cols>
    <col min="1" max="1" width="12.26953125" customWidth="1"/>
    <col min="2" max="2" width="40.36328125" bestFit="1" customWidth="1"/>
    <col min="3" max="3" width="14.90625" customWidth="1"/>
    <col min="4" max="4" width="15.81640625" customWidth="1"/>
    <col min="5" max="5" width="17" customWidth="1"/>
    <col min="6" max="6" width="14.453125" bestFit="1" customWidth="1"/>
    <col min="7" max="7" width="16.90625" bestFit="1" customWidth="1"/>
    <col min="8" max="8" width="20.1796875" bestFit="1" customWidth="1"/>
    <col min="9" max="9" width="14.81640625" bestFit="1" customWidth="1"/>
    <col min="10" max="10" width="12.6328125" bestFit="1" customWidth="1"/>
    <col min="11" max="11" width="10.08984375" bestFit="1" customWidth="1"/>
    <col min="12" max="12" width="11.36328125" bestFit="1" customWidth="1"/>
    <col min="13" max="13" width="13.08984375" bestFit="1" customWidth="1"/>
  </cols>
  <sheetData>
    <row r="5" spans="1:20" ht="43.5" x14ac:dyDescent="0.35">
      <c r="A5" s="1" t="s">
        <v>0</v>
      </c>
      <c r="B5" s="1" t="s">
        <v>1</v>
      </c>
      <c r="C5" s="2" t="s">
        <v>2</v>
      </c>
      <c r="D5" s="3" t="s">
        <v>3</v>
      </c>
      <c r="E5" s="4" t="s">
        <v>4</v>
      </c>
      <c r="F5" s="4" t="s">
        <v>5</v>
      </c>
      <c r="G5" s="5" t="s">
        <v>6</v>
      </c>
      <c r="H5" s="4" t="s">
        <v>7</v>
      </c>
      <c r="I5" s="3" t="s">
        <v>8</v>
      </c>
    </row>
    <row r="6" spans="1:20" x14ac:dyDescent="0.35">
      <c r="A6" s="6" t="s">
        <v>10</v>
      </c>
      <c r="B6" s="7" t="str">
        <f>VLOOKUP(A6,[1]Distribution!$1:$1048576,2,FALSE)</f>
        <v>Tamar Marash</v>
      </c>
      <c r="C6" s="7">
        <f>VLOOKUP(A6,[1]Distribution!$1:$1048576,9,FALSE)</f>
        <v>400000</v>
      </c>
      <c r="D6" s="8">
        <f>E6+F6</f>
        <v>82054.264618603163</v>
      </c>
      <c r="E6" s="7">
        <f>VLOOKUP(A6,[1]Distribution!$1:$1048576,43,FALSE)</f>
        <v>31355.669652922224</v>
      </c>
      <c r="F6" s="7">
        <f>VLOOKUP(A6,[1]Distribution!$1:$1048576,44,FALSE)</f>
        <v>50698.594965680939</v>
      </c>
      <c r="G6" s="7">
        <f>VLOOKUP(A6,[1]Distribution!$1:$1048576,11,FALSE)</f>
        <v>7482.6507319858501</v>
      </c>
      <c r="H6" s="8">
        <f>G6*0.25</f>
        <v>1870.6626829964625</v>
      </c>
      <c r="I6" s="7">
        <f>VLOOKUP(A6,[1]Distribution!$1:$1048576,30,FALSE)</f>
        <v>80184</v>
      </c>
    </row>
    <row r="9" spans="1:20" x14ac:dyDescent="0.35">
      <c r="A9" s="9"/>
      <c r="B9" s="10" t="s">
        <v>9</v>
      </c>
      <c r="C9" s="9"/>
      <c r="D9" s="9"/>
      <c r="E9" s="9"/>
      <c r="F9" s="9"/>
      <c r="G9" s="11"/>
      <c r="H9" s="11"/>
      <c r="I9" s="12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5">
      <c r="A10" s="9"/>
      <c r="B10" s="10"/>
      <c r="C10" s="9"/>
      <c r="D10" s="9"/>
      <c r="E10" s="9"/>
      <c r="F10" s="9"/>
      <c r="G10" s="11"/>
      <c r="H10" s="11"/>
      <c r="I10" s="1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5">
      <c r="A11" s="9"/>
      <c r="B11" s="10"/>
      <c r="C11" s="9"/>
      <c r="D11" s="9"/>
      <c r="E11" s="9"/>
      <c r="F11" s="9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5">
      <c r="A12" s="9"/>
      <c r="B12" s="14"/>
      <c r="C12" s="1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5">
      <c r="A13" s="9"/>
      <c r="B13" s="14"/>
      <c r="C13" s="16"/>
      <c r="D13" s="9"/>
      <c r="E13" s="9"/>
      <c r="F13" s="9"/>
      <c r="G13" s="9"/>
      <c r="H13" s="9"/>
      <c r="I13" s="9"/>
      <c r="J13" s="9"/>
      <c r="K13" s="9"/>
      <c r="L13" s="17"/>
      <c r="M13" s="9"/>
      <c r="N13" s="9"/>
      <c r="O13" s="9"/>
      <c r="P13" s="9"/>
      <c r="Q13" s="9"/>
      <c r="R13" s="9"/>
      <c r="S13" s="9"/>
      <c r="T13" s="9"/>
    </row>
    <row r="14" spans="1:20" x14ac:dyDescent="0.35">
      <c r="A14" s="9"/>
      <c r="B14" s="14"/>
      <c r="C14" s="18"/>
      <c r="D14" s="9"/>
      <c r="E14" s="9"/>
      <c r="F14" s="9"/>
      <c r="G14" s="9"/>
      <c r="H14" s="9"/>
      <c r="I14" s="17"/>
      <c r="J14" s="9"/>
      <c r="K14" s="9"/>
      <c r="L14" s="17"/>
      <c r="M14" s="9"/>
      <c r="N14" s="9"/>
      <c r="O14" s="9"/>
      <c r="P14" s="9"/>
      <c r="Q14" s="9"/>
      <c r="R14" s="9"/>
      <c r="S14" s="9"/>
      <c r="T14" s="9"/>
    </row>
    <row r="15" spans="1:20" x14ac:dyDescent="0.35">
      <c r="A15" s="9"/>
      <c r="B15" s="9"/>
      <c r="C15" s="9"/>
      <c r="D15" s="9"/>
      <c r="E15" s="9"/>
      <c r="F15" s="9"/>
      <c r="G15" s="9"/>
      <c r="H15" s="9"/>
      <c r="I15" s="17"/>
      <c r="J15" s="9"/>
      <c r="K15" s="9"/>
      <c r="L15" s="9"/>
      <c r="M15" s="19"/>
      <c r="N15" s="20"/>
      <c r="O15" s="9"/>
      <c r="P15" s="9"/>
      <c r="Q15" s="9"/>
      <c r="R15" s="9"/>
      <c r="S15" s="9"/>
      <c r="T15" s="9"/>
    </row>
    <row r="16" spans="1:20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5">
      <c r="A17" s="9"/>
      <c r="B17" s="21"/>
      <c r="C17" s="2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5">
      <c r="A18" s="21"/>
      <c r="B18" s="21"/>
      <c r="C18" s="23"/>
      <c r="D18" s="23"/>
      <c r="E18" s="24"/>
      <c r="F18" s="23"/>
      <c r="G18" s="24"/>
      <c r="H18" s="24"/>
      <c r="I18" s="23"/>
      <c r="J18" s="23"/>
      <c r="K18" s="9"/>
      <c r="L18" s="23"/>
      <c r="M18" s="9"/>
      <c r="N18" s="9"/>
      <c r="O18" s="9"/>
      <c r="P18" s="9"/>
      <c r="Q18" s="9"/>
      <c r="R18" s="9"/>
      <c r="S18" s="9"/>
      <c r="T18" s="9"/>
    </row>
    <row r="19" spans="1:20" x14ac:dyDescent="0.35">
      <c r="A19" s="9"/>
      <c r="B19" s="9"/>
      <c r="C19" s="17"/>
      <c r="D19" s="17"/>
      <c r="E19" s="9"/>
      <c r="F19" s="1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5">
      <c r="A20" s="25"/>
      <c r="B20" s="25"/>
      <c r="C20" s="26"/>
      <c r="D20" s="26"/>
      <c r="E20" s="26"/>
      <c r="F20" s="26"/>
      <c r="G20" s="26"/>
      <c r="H20" s="26"/>
      <c r="I20" s="26"/>
      <c r="J20" s="26"/>
      <c r="K20" s="9"/>
      <c r="L20" s="26"/>
      <c r="M20" s="9"/>
      <c r="N20" s="9"/>
      <c r="O20" s="9"/>
      <c r="P20" s="9"/>
      <c r="Q20" s="9"/>
      <c r="R20" s="9"/>
      <c r="S20" s="9"/>
      <c r="T20" s="9"/>
    </row>
    <row r="21" spans="1:20" x14ac:dyDescent="0.35">
      <c r="A21" s="9"/>
      <c r="B21" s="9"/>
      <c r="C21" s="17"/>
      <c r="D21" s="17"/>
      <c r="E21" s="9"/>
      <c r="F21" s="1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5">
      <c r="A22" s="25"/>
      <c r="B22" s="25"/>
      <c r="C22" s="26"/>
      <c r="D22" s="26"/>
      <c r="E22" s="26"/>
      <c r="F22" s="26"/>
      <c r="G22" s="26"/>
      <c r="H22" s="26"/>
      <c r="I22" s="26"/>
      <c r="J22" s="26"/>
      <c r="K22" s="9"/>
      <c r="L22" s="26"/>
      <c r="M22" s="9"/>
      <c r="N22" s="9"/>
      <c r="O22" s="9"/>
      <c r="P22" s="9"/>
      <c r="Q22" s="9"/>
      <c r="R22" s="9"/>
      <c r="S22" s="9"/>
      <c r="T22" s="9"/>
    </row>
    <row r="23" spans="1:20" x14ac:dyDescent="0.35">
      <c r="A23" s="9"/>
      <c r="B23" s="9"/>
      <c r="C23" s="17"/>
      <c r="D23" s="17"/>
      <c r="E23" s="9"/>
      <c r="F23" s="1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5">
      <c r="A24" s="25"/>
      <c r="B24" s="25"/>
      <c r="C24" s="26"/>
      <c r="D24" s="26"/>
      <c r="E24" s="26"/>
      <c r="F24" s="26"/>
      <c r="G24" s="26"/>
      <c r="H24" s="26"/>
      <c r="I24" s="26"/>
      <c r="J24" s="26"/>
      <c r="K24" s="9"/>
      <c r="L24" s="26"/>
      <c r="M24" s="9"/>
      <c r="N24" s="9"/>
      <c r="O24" s="9"/>
      <c r="P24" s="9"/>
      <c r="Q24" s="9"/>
      <c r="R24" s="9"/>
      <c r="S24" s="9"/>
      <c r="T24" s="9"/>
    </row>
    <row r="25" spans="1:20" x14ac:dyDescent="0.35">
      <c r="A25" s="9"/>
      <c r="B25" s="9"/>
      <c r="C25" s="17"/>
      <c r="D25" s="17"/>
      <c r="E25" s="9"/>
      <c r="F25" s="1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5">
      <c r="A26" s="25"/>
      <c r="B26" s="25"/>
      <c r="C26" s="26"/>
      <c r="D26" s="26"/>
      <c r="E26" s="26"/>
      <c r="F26" s="26"/>
      <c r="G26" s="26"/>
      <c r="H26" s="26"/>
      <c r="I26" s="26"/>
      <c r="J26" s="26"/>
      <c r="K26" s="9"/>
      <c r="L26" s="26"/>
      <c r="M26" s="9"/>
      <c r="N26" s="9"/>
      <c r="O26" s="9"/>
      <c r="P26" s="9"/>
      <c r="Q26" s="9"/>
      <c r="R26" s="9"/>
      <c r="S26" s="9"/>
      <c r="T26" s="9"/>
    </row>
    <row r="27" spans="1:20" x14ac:dyDescent="0.35">
      <c r="A27" s="9"/>
      <c r="B27" s="9"/>
      <c r="C27" s="17"/>
      <c r="D27" s="17"/>
      <c r="E27" s="9"/>
      <c r="F27" s="1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5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9"/>
      <c r="L28" s="26"/>
      <c r="M28" s="9"/>
      <c r="N28" s="9"/>
      <c r="O28" s="9"/>
      <c r="P28" s="9"/>
      <c r="Q28" s="9"/>
      <c r="R28" s="9"/>
      <c r="S28" s="9"/>
      <c r="T28" s="9"/>
    </row>
    <row r="29" spans="1:20" x14ac:dyDescent="0.35">
      <c r="A29" s="9"/>
      <c r="B29" s="9"/>
      <c r="C29" s="17"/>
      <c r="D29" s="17"/>
      <c r="E29" s="9"/>
      <c r="F29" s="1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5">
      <c r="A30" s="25"/>
      <c r="B30" s="25"/>
      <c r="C30" s="26"/>
      <c r="D30" s="26"/>
      <c r="E30" s="26"/>
      <c r="F30" s="26"/>
      <c r="G30" s="26"/>
      <c r="H30" s="26"/>
      <c r="I30" s="26"/>
      <c r="J30" s="26"/>
      <c r="K30" s="9"/>
      <c r="L30" s="26"/>
      <c r="M30" s="9"/>
      <c r="N30" s="9"/>
      <c r="O30" s="9"/>
      <c r="P30" s="9"/>
      <c r="Q30" s="9"/>
      <c r="R30" s="9"/>
      <c r="S30" s="9"/>
      <c r="T30" s="9"/>
    </row>
    <row r="31" spans="1:20" x14ac:dyDescent="0.35">
      <c r="A31" s="9"/>
      <c r="B31" s="9"/>
      <c r="C31" s="17"/>
      <c r="D31" s="17"/>
      <c r="E31" s="9"/>
      <c r="F31" s="1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5">
      <c r="A32" s="25"/>
      <c r="B32" s="25"/>
      <c r="C32" s="26"/>
      <c r="D32" s="26"/>
      <c r="E32" s="26"/>
      <c r="F32" s="26"/>
      <c r="G32" s="26"/>
      <c r="H32" s="26"/>
      <c r="I32" s="26"/>
      <c r="J32" s="26"/>
      <c r="K32" s="9"/>
      <c r="L32" s="26"/>
      <c r="M32" s="9"/>
      <c r="N32" s="9"/>
      <c r="O32" s="9"/>
      <c r="P32" s="9"/>
      <c r="Q32" s="9"/>
      <c r="R32" s="9"/>
      <c r="S32" s="9"/>
      <c r="T32" s="9"/>
    </row>
    <row r="33" spans="1:20" x14ac:dyDescent="0.35">
      <c r="A33" s="9"/>
      <c r="B33" s="9"/>
      <c r="C33" s="17"/>
      <c r="D33" s="17"/>
      <c r="E33" s="9"/>
      <c r="F33" s="1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5">
      <c r="A34" s="25"/>
      <c r="B34" s="25"/>
      <c r="C34" s="26"/>
      <c r="D34" s="26"/>
      <c r="E34" s="26"/>
      <c r="F34" s="26"/>
      <c r="G34" s="26"/>
      <c r="H34" s="26"/>
      <c r="I34" s="26"/>
      <c r="J34" s="26"/>
      <c r="K34" s="9"/>
      <c r="L34" s="26"/>
      <c r="M34" s="9"/>
      <c r="N34" s="9"/>
      <c r="O34" s="9"/>
      <c r="P34" s="9"/>
      <c r="Q34" s="9"/>
      <c r="R34" s="9"/>
      <c r="S34" s="9"/>
      <c r="T34" s="9"/>
    </row>
    <row r="35" spans="1:20" x14ac:dyDescent="0.35">
      <c r="A35" s="9"/>
      <c r="B35" s="9"/>
      <c r="C35" s="17"/>
      <c r="D35" s="17"/>
      <c r="E35" s="9"/>
      <c r="F35" s="1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5">
      <c r="A36" s="25"/>
      <c r="B36" s="25"/>
      <c r="C36" s="26"/>
      <c r="D36" s="26"/>
      <c r="E36" s="26"/>
      <c r="F36" s="26"/>
      <c r="G36" s="26"/>
      <c r="H36" s="26"/>
      <c r="I36" s="26"/>
      <c r="J36" s="26"/>
      <c r="K36" s="9"/>
      <c r="L36" s="26"/>
      <c r="M36" s="9"/>
      <c r="N36" s="9"/>
      <c r="O36" s="9"/>
      <c r="P36" s="9"/>
      <c r="Q36" s="9"/>
      <c r="R36" s="9"/>
      <c r="S36" s="9"/>
      <c r="T36" s="9"/>
    </row>
    <row r="37" spans="1:20" x14ac:dyDescent="0.35">
      <c r="A37" s="9"/>
      <c r="B37" s="9"/>
      <c r="C37" s="17"/>
      <c r="D37" s="17"/>
      <c r="E37" s="9"/>
      <c r="F37" s="1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5">
      <c r="A38" s="25"/>
      <c r="B38" s="25"/>
      <c r="C38" s="26"/>
      <c r="D38" s="26"/>
      <c r="E38" s="26"/>
      <c r="F38" s="26"/>
      <c r="G38" s="26"/>
      <c r="H38" s="26"/>
      <c r="I38" s="26"/>
      <c r="J38" s="26"/>
      <c r="K38" s="9"/>
      <c r="L38" s="26"/>
      <c r="M38" s="9"/>
      <c r="N38" s="9"/>
      <c r="O38" s="9"/>
      <c r="P38" s="9"/>
      <c r="Q38" s="9"/>
      <c r="R38" s="9"/>
      <c r="S38" s="9"/>
      <c r="T38" s="9"/>
    </row>
    <row r="39" spans="1:20" x14ac:dyDescent="0.35">
      <c r="A39" s="9"/>
      <c r="B39" s="9"/>
      <c r="C39" s="17"/>
      <c r="D39" s="17"/>
      <c r="E39" s="9"/>
      <c r="F39" s="1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5">
      <c r="A40" s="25"/>
      <c r="B40" s="25"/>
      <c r="C40" s="26"/>
      <c r="D40" s="26"/>
      <c r="E40" s="26"/>
      <c r="F40" s="26"/>
      <c r="G40" s="26"/>
      <c r="H40" s="26"/>
      <c r="I40" s="26"/>
      <c r="J40" s="26"/>
      <c r="K40" s="9"/>
      <c r="L40" s="26"/>
      <c r="M40" s="9"/>
      <c r="N40" s="9"/>
      <c r="O40" s="9"/>
      <c r="P40" s="9"/>
      <c r="Q40" s="9"/>
      <c r="R40" s="9"/>
      <c r="S40" s="9"/>
      <c r="T40" s="9"/>
    </row>
    <row r="41" spans="1:20" x14ac:dyDescent="0.35">
      <c r="A41" s="9"/>
      <c r="B41" s="9"/>
      <c r="C41" s="17"/>
      <c r="D41" s="17"/>
      <c r="E41" s="9"/>
      <c r="F41" s="1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5">
      <c r="A42" s="25"/>
      <c r="B42" s="25"/>
      <c r="C42" s="26"/>
      <c r="D42" s="26"/>
      <c r="E42" s="26"/>
      <c r="F42" s="26"/>
      <c r="G42" s="26"/>
      <c r="H42" s="26"/>
      <c r="I42" s="26"/>
      <c r="J42" s="26"/>
      <c r="K42" s="9"/>
      <c r="L42" s="26"/>
      <c r="M42" s="9"/>
      <c r="N42" s="9"/>
      <c r="O42" s="9"/>
      <c r="P42" s="9"/>
      <c r="Q42" s="9"/>
      <c r="R42" s="9"/>
      <c r="S42" s="9"/>
      <c r="T42" s="9"/>
    </row>
    <row r="43" spans="1:20" x14ac:dyDescent="0.35">
      <c r="A43" s="21"/>
      <c r="B43" s="21"/>
      <c r="C43" s="21"/>
      <c r="D43" s="27"/>
      <c r="E43" s="27"/>
      <c r="F43" s="27"/>
      <c r="G43" s="27"/>
      <c r="H43" s="27"/>
      <c r="I43" s="27"/>
      <c r="J43" s="27"/>
      <c r="K43" s="9"/>
      <c r="L43" s="27"/>
      <c r="M43" s="9"/>
      <c r="N43" s="9"/>
      <c r="O43" s="9"/>
      <c r="P43" s="9"/>
      <c r="Q43" s="9"/>
      <c r="R43" s="9"/>
      <c r="S43" s="9"/>
      <c r="T43" s="9"/>
    </row>
    <row r="44" spans="1:20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Chovav Begam</dc:creator>
  <cp:lastModifiedBy>Tamar Chovav Begam</cp:lastModifiedBy>
  <dcterms:created xsi:type="dcterms:W3CDTF">2022-03-20T14:03:36Z</dcterms:created>
  <dcterms:modified xsi:type="dcterms:W3CDTF">2022-05-03T11:27:14Z</dcterms:modified>
</cp:coreProperties>
</file>