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Liquidity\Funds\Liquidity Capital II\Investors\First Closing\Tamar Marash\"/>
    </mc:Choice>
  </mc:AlternateContent>
  <xr:revisionPtr revIDLastSave="0" documentId="13_ncr:1_{9C7A7EA8-E637-4501-8B55-85DAA7447425}" xr6:coauthVersionLast="47" xr6:coauthVersionMax="47" xr10:uidLastSave="{00000000-0000-0000-0000-000000000000}"/>
  <bookViews>
    <workbookView xWindow="-120" yWindow="-120" windowWidth="29040" windowHeight="15840" xr2:uid="{095C6459-FA18-4B56-B378-3872DDE9BED4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E13" i="1"/>
  <c r="G10" i="1"/>
  <c r="G11" i="1"/>
  <c r="G12" i="1"/>
  <c r="E10" i="1"/>
  <c r="E11" i="1"/>
  <c r="E12" i="1"/>
  <c r="G9" i="1"/>
  <c r="E9" i="1"/>
  <c r="F9" i="1"/>
  <c r="D9" i="1"/>
  <c r="F10" i="1"/>
  <c r="C9" i="1" l="1"/>
  <c r="D10" i="1"/>
  <c r="C10" i="1" s="1"/>
  <c r="F11" i="1" l="1"/>
  <c r="D11" i="1"/>
  <c r="F12" i="1"/>
  <c r="D12" i="1"/>
  <c r="C6" i="1"/>
  <c r="B6" i="1"/>
  <c r="C12" i="1" l="1"/>
  <c r="D13" i="1"/>
  <c r="F13" i="1"/>
  <c r="F17" i="1" s="1"/>
  <c r="C11" i="1"/>
  <c r="C13" i="1" s="1"/>
</calcChain>
</file>

<file path=xl/sharedStrings.xml><?xml version="1.0" encoding="utf-8"?>
<sst xmlns="http://schemas.openxmlformats.org/spreadsheetml/2006/main" count="15" uniqueCount="15">
  <si>
    <t>Investors' ID</t>
  </si>
  <si>
    <t>LP</t>
  </si>
  <si>
    <t>Commitment  Amount</t>
  </si>
  <si>
    <t>Total Distribution</t>
  </si>
  <si>
    <t>2nd Dist. - October 2020</t>
  </si>
  <si>
    <t>1st Dist. - May 2020</t>
  </si>
  <si>
    <t>3rd Dist. - April 2021</t>
  </si>
  <si>
    <t>4th Dist. - March 2022</t>
  </si>
  <si>
    <t xml:space="preserve">Principal </t>
  </si>
  <si>
    <t>Sum Distributions</t>
  </si>
  <si>
    <t xml:space="preserve">Principal Balance after 4th Distribution </t>
  </si>
  <si>
    <t>8160-01-139</t>
  </si>
  <si>
    <t>Interest amount</t>
  </si>
  <si>
    <t>Interest %</t>
  </si>
  <si>
    <t>Principal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</si>
</sst>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₪&quot;* #,##0.00_-;\-&quot;₪&quot;* #,##0.00_-;_-&quot;₪&quot;* &quot;-&quot;??_-;_-@_-"/>
    <numFmt numFmtId="164" formatCode="&quot;$&quot;#,##0"/>
    <numFmt numFmtId="165" formatCode="_-[$$-409]* #,##0_ ;_-[$$-409]* \-#,##0\ ;_-[$$-409]* &quot;-&quot;??_ ;_-@_ "/>
    <numFmt numFmtId="166" formatCode="0.000%"/>
    <numFmt numFmtId="167" formatCode="_-[$$-409]* #,##0.00_ ;_-[$$-409]* \-#,##0.00\ ;_-[$$-409]* &quot;-&quot;??_ ;_-@_ "/>
    <numFmt numFmtId="168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double">
        <color theme="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2" applyNumberFormat="0" applyFill="0" applyAlignment="0" applyProtection="0"/>
  </cellStyleXfs>
  <cellXfs count="36">
    <xf numFmtId="0" fontId="0" fillId="0" borderId="0" xfId="0"/>
    <xf numFmtId="165" fontId="0" fillId="0" borderId="1" xfId="0" applyNumberFormat="1" applyBorder="1"/>
    <xf numFmtId="0" fontId="0" fillId="2" borderId="0" xfId="0" applyFill="1"/>
    <xf numFmtId="0" fontId="5" fillId="2" borderId="0" xfId="0" applyFont="1" applyFill="1"/>
    <xf numFmtId="10" fontId="6" fillId="2" borderId="0" xfId="0" applyNumberFormat="1" applyFont="1" applyFill="1"/>
    <xf numFmtId="0" fontId="2" fillId="2" borderId="0" xfId="0" applyFont="1" applyFill="1"/>
    <xf numFmtId="10" fontId="7" fillId="2" borderId="0" xfId="0" applyNumberFormat="1" applyFont="1" applyFill="1"/>
    <xf numFmtId="0" fontId="8" fillId="2" borderId="0" xfId="0" applyFont="1" applyFill="1" applyAlignment="1">
      <alignment horizontal="left" wrapText="1"/>
    </xf>
    <xf numFmtId="3" fontId="8" fillId="2" borderId="0" xfId="0" applyNumberFormat="1" applyFont="1" applyFill="1" applyAlignment="1">
      <alignment horizontal="center" wrapText="1"/>
    </xf>
    <xf numFmtId="166" fontId="8" fillId="2" borderId="0" xfId="2" applyNumberFormat="1" applyFont="1" applyFill="1" applyBorder="1" applyAlignment="1">
      <alignment horizontal="center" wrapText="1"/>
    </xf>
    <xf numFmtId="14" fontId="0" fillId="2" borderId="0" xfId="0" applyNumberFormat="1" applyFill="1"/>
    <xf numFmtId="3" fontId="9" fillId="2" borderId="0" xfId="0" applyNumberFormat="1" applyFont="1" applyFill="1" applyAlignment="1">
      <alignment horizontal="center" wrapText="1"/>
    </xf>
    <xf numFmtId="9" fontId="0" fillId="2" borderId="0" xfId="2" applyFont="1" applyFill="1" applyBorder="1"/>
    <xf numFmtId="10" fontId="0" fillId="2" borderId="0" xfId="2" applyNumberFormat="1" applyFont="1" applyFill="1" applyBorder="1"/>
    <xf numFmtId="0" fontId="3" fillId="2" borderId="0" xfId="0" applyFont="1" applyFill="1"/>
    <xf numFmtId="1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9" fontId="3" fillId="2" borderId="0" xfId="2" applyFont="1" applyFill="1" applyBorder="1" applyAlignment="1">
      <alignment horizontal="center" vertical="center" wrapText="1"/>
    </xf>
    <xf numFmtId="0" fontId="4" fillId="3" borderId="0" xfId="0" applyFont="1" applyFill="1"/>
    <xf numFmtId="167" fontId="0" fillId="2" borderId="0" xfId="0" applyNumberFormat="1" applyFill="1"/>
    <xf numFmtId="167" fontId="3" fillId="2" borderId="0" xfId="1" applyNumberFormat="1" applyFont="1" applyFill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3" fillId="0" borderId="0" xfId="0" applyFont="1"/>
    <xf numFmtId="165" fontId="3" fillId="0" borderId="2" xfId="3" applyNumberForma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5" fontId="3" fillId="0" borderId="0" xfId="0" applyNumberFormat="1" applyFont="1"/>
    <xf numFmtId="165" fontId="3" fillId="0" borderId="5" xfId="3" applyNumberFormat="1" applyBorder="1"/>
    <xf numFmtId="0" fontId="3" fillId="0" borderId="1" xfId="0" applyFont="1" applyBorder="1" applyAlignment="1">
      <alignment horizontal="left"/>
    </xf>
    <xf numFmtId="0" fontId="3" fillId="0" borderId="2" xfId="3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8" fontId="0" fillId="0" borderId="1" xfId="2" applyNumberFormat="1" applyFont="1" applyBorder="1"/>
    <xf numFmtId="168" fontId="3" fillId="0" borderId="2" xfId="2" applyNumberFormat="1" applyFont="1" applyBorder="1"/>
    <xf numFmtId="168" fontId="3" fillId="0" borderId="6" xfId="2" applyNumberFormat="1" applyFont="1" applyBorder="1"/>
  </cellXfs>
  <cellStyles count="4">
    <cellStyle name="Currency" xfId="1" builtinId="4"/>
    <cellStyle name="Normal" xfId="0" builtinId="0"/>
    <cellStyle name="Percent" xfId="2" builtinId="5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250032</xdr:colOff>
      <xdr:row>0</xdr:row>
      <xdr:rowOff>71436</xdr:rowOff>
    </xdr:from>
    <xdr:to>
      <xdr:col>5</xdr:col>
      <xdr:colOff>198596</xdr:colOff>
      <xdr:row>3</xdr:row>
      <xdr:rowOff>124350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D56F2-0548-4698-B1D8-2C2E9C025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6682" y="68261"/>
          <a:ext cx="3273582" cy="5958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Liquidity%20Inc/Funds/Liquidity%20Capital%20II/Investors/Distribution/4th%20Distribution%20-%20March%202022/Liquidity-%20March%202022%20-%20Distribu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Liquidity%20Inc/Funds/Liquidity%20Capital%20II/Investors/Distribution/1st%20Distribution%20-%20April%202020/Liquidity-%20May%202020%20-%20Distribution%20(26.7.2020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Liquidity%20Inc/Funds/Liquidity%20Capital%20II/Investors/Distribution/2nd%20Distribution%20-%20October%202020/Liquidity-%20October%202020%20-%20Distribution%2025.10.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Liquidity%20Inc/Funds/Liquidity%20Capital%20II/Investors/Distribution/3rd%20Distribution%20-%20April%202021/Liquidity-%20April%202021%20-%20Distribution%20FINAL%2028.4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ors List"/>
      <sheetName val="Amount to distribute"/>
      <sheetName val="Distribution"/>
      <sheetName val="Profit Allocation"/>
      <sheetName val="Investors ID"/>
      <sheetName val="Personal ID"/>
    </sheetNames>
    <sheetDataSet>
      <sheetData sheetId="0" refreshError="1"/>
      <sheetData sheetId="1" refreshError="1"/>
      <sheetData sheetId="2" refreshError="1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 t="str">
            <v>March Distribution</v>
          </cell>
          <cell r="L1"/>
          <cell r="M1"/>
          <cell r="N1" t="str">
            <v>2020 Tax</v>
          </cell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</row>
        <row r="2">
          <cell r="A2" t="str">
            <v>Investors' ID</v>
          </cell>
          <cell r="B2" t="str">
            <v>LP</v>
          </cell>
          <cell r="C2" t="str">
            <v>Investors' Personal  ID/RN (Text)</v>
          </cell>
          <cell r="D2" t="str">
            <v>Investors' Personal  ID/RN</v>
          </cell>
          <cell r="E2" t="str">
            <v>Company Name (optional)</v>
          </cell>
          <cell r="F2" t="str">
            <v>Hebrew Name</v>
          </cell>
          <cell r="G2" t="str">
            <v>Closing</v>
          </cell>
          <cell r="H2" t="str">
            <v>IRA</v>
          </cell>
          <cell r="I2" t="str">
            <v>Commitment  Amount</v>
          </cell>
          <cell r="J2" t="str">
            <v>Ratio From all Investors</v>
          </cell>
          <cell r="K2" t="str">
            <v xml:space="preserve">Distribution Amount Interest </v>
          </cell>
          <cell r="L2" t="str">
            <v xml:space="preserve"> Principal Distribution</v>
          </cell>
          <cell r="M2" t="str">
            <v>Total Distribution</v>
          </cell>
          <cell r="N2" t="str">
            <v>Tax (25%)</v>
          </cell>
          <cell r="O2" t="str">
            <v xml:space="preserve">WHT Allocation </v>
          </cell>
          <cell r="P2" t="str">
            <v>WHT</v>
          </cell>
          <cell r="Q2" t="str">
            <v>Tax Payment</v>
          </cell>
          <cell r="R2" t="str">
            <v>Tax Payment, net</v>
          </cell>
          <cell r="S2" t="str">
            <v>WHT Exemption</v>
          </cell>
          <cell r="T2" t="str">
            <v>Tax Refund (IRA and exempted Investors will receive from the tax authorities)</v>
          </cell>
          <cell r="U2" t="str">
            <v>Net Distribution</v>
          </cell>
          <cell r="V2" t="str">
            <v>Payment 1 - April 2019</v>
          </cell>
          <cell r="W2" t="str">
            <v>Payment 2 -
 August 2019</v>
          </cell>
          <cell r="X2" t="str">
            <v>Payment 3 -
 January 2020</v>
          </cell>
          <cell r="Y2" t="str">
            <v>Payment 4 -"CatchUp"
March 1st 2020</v>
          </cell>
          <cell r="Z2" t="str">
            <v>Payment 5 -"4th Call"
March 12th 2020</v>
          </cell>
          <cell r="AA2" t="str">
            <v xml:space="preserve">% From Capital Call represents Yearly % </v>
          </cell>
          <cell r="AB2" t="str">
            <v>A- Distribution</v>
          </cell>
          <cell r="AC2" t="str">
            <v xml:space="preserve">B- Distribution Tax Withholding </v>
          </cell>
          <cell r="AD2" t="str">
            <v>C- Net Payment</v>
          </cell>
          <cell r="AE2" t="str">
            <v>D-  2020 Tax Withholding for the LP benefit</v>
          </cell>
          <cell r="AQ2" t="str">
            <v xml:space="preserve"> Interest </v>
          </cell>
          <cell r="AR2" t="str">
            <v xml:space="preserve"> Principal </v>
          </cell>
          <cell r="AS2" t="str">
            <v xml:space="preserve">INTEREST % </v>
          </cell>
        </row>
        <row r="3">
          <cell r="A3" t="str">
            <v>8160-01-100</v>
          </cell>
          <cell r="B3" t="str">
            <v>Orna Hazan</v>
          </cell>
          <cell r="C3" t="str">
            <v>052595188</v>
          </cell>
          <cell r="D3" t="str">
            <v>#REF!</v>
          </cell>
          <cell r="E3"/>
          <cell r="F3" t="str">
            <v>אורנה אריאן תירוש חזן</v>
          </cell>
          <cell r="G3" t="str">
            <v>I</v>
          </cell>
          <cell r="H3"/>
          <cell r="I3">
            <v>350000</v>
          </cell>
          <cell r="J3">
            <v>4.7864987694185178E-3</v>
          </cell>
          <cell r="K3">
            <v>6547.3193904876189</v>
          </cell>
          <cell r="L3">
            <v>65250.162150790144</v>
          </cell>
          <cell r="M3">
            <v>71797.481541277768</v>
          </cell>
          <cell r="N3">
            <v>1636.8298476219047</v>
          </cell>
          <cell r="O3">
            <v>0</v>
          </cell>
          <cell r="P3">
            <v>0</v>
          </cell>
          <cell r="Q3">
            <v>1636.8298476219047</v>
          </cell>
          <cell r="R3">
            <v>1636.8298476219047</v>
          </cell>
          <cell r="S3" t="str">
            <v>X</v>
          </cell>
          <cell r="T3"/>
          <cell r="U3">
            <v>70161</v>
          </cell>
          <cell r="V3" t="str">
            <v>#REF!</v>
          </cell>
          <cell r="W3" t="str">
            <v>#REF!</v>
          </cell>
          <cell r="X3" t="str">
            <v>#REF!</v>
          </cell>
          <cell r="Y3" t="str">
            <v>#REF!</v>
          </cell>
          <cell r="Z3" t="str">
            <v>#REF!</v>
          </cell>
          <cell r="AA3" t="e">
            <v>#REF!</v>
          </cell>
          <cell r="AB3">
            <v>71797.481541277768</v>
          </cell>
          <cell r="AC3">
            <v>1636.8298476219047</v>
          </cell>
          <cell r="AD3">
            <v>70161</v>
          </cell>
          <cell r="AE3"/>
          <cell r="AK3"/>
          <cell r="AL3">
            <v>147.3381</v>
          </cell>
          <cell r="AM3">
            <v>147.3381</v>
          </cell>
          <cell r="AN3">
            <v>35</v>
          </cell>
          <cell r="AP3">
            <v>9.1191490979999998E-2</v>
          </cell>
          <cell r="AQ3">
            <v>27436.210950000001</v>
          </cell>
          <cell r="AR3">
            <v>44361.27059</v>
          </cell>
          <cell r="AS3">
            <v>0.38213333329999999</v>
          </cell>
        </row>
        <row r="4">
          <cell r="A4" t="str">
            <v>8160-01-101</v>
          </cell>
          <cell r="B4" t="str">
            <v>Arik Aberjel</v>
          </cell>
          <cell r="C4" t="str">
            <v>032358285</v>
          </cell>
          <cell r="D4" t="str">
            <v>#REF!</v>
          </cell>
          <cell r="E4"/>
          <cell r="F4" t="str">
            <v>אריה אברגל</v>
          </cell>
          <cell r="G4" t="str">
            <v>I</v>
          </cell>
          <cell r="H4"/>
          <cell r="I4">
            <v>250000</v>
          </cell>
          <cell r="J4">
            <v>3.4189276924417983E-3</v>
          </cell>
          <cell r="K4">
            <v>4676.6567074911563</v>
          </cell>
          <cell r="L4">
            <v>46607.258679135819</v>
          </cell>
          <cell r="M4">
            <v>51283.915386626977</v>
          </cell>
          <cell r="N4">
            <v>1169.1641768727891</v>
          </cell>
          <cell r="O4">
            <v>0</v>
          </cell>
          <cell r="P4">
            <v>0</v>
          </cell>
          <cell r="Q4">
            <v>1169.1641768727891</v>
          </cell>
          <cell r="R4">
            <v>1169.1641768727891</v>
          </cell>
          <cell r="S4" t="str">
            <v>X</v>
          </cell>
          <cell r="T4"/>
          <cell r="U4">
            <v>50115</v>
          </cell>
          <cell r="V4" t="str">
            <v>#REF!</v>
          </cell>
          <cell r="W4" t="str">
            <v>#REF!</v>
          </cell>
          <cell r="X4" t="str">
            <v>#REF!</v>
          </cell>
          <cell r="Y4" t="str">
            <v>#REF!</v>
          </cell>
          <cell r="Z4" t="str">
            <v>#REF!</v>
          </cell>
          <cell r="AA4" t="e">
            <v>#REF!</v>
          </cell>
          <cell r="AB4">
            <v>51283.915386626977</v>
          </cell>
          <cell r="AC4">
            <v>1169.1641768727891</v>
          </cell>
          <cell r="AD4">
            <v>50115</v>
          </cell>
          <cell r="AE4"/>
          <cell r="AK4"/>
          <cell r="AL4">
            <v>105.24149999999999</v>
          </cell>
          <cell r="AM4">
            <v>105.24149999999999</v>
          </cell>
          <cell r="AN4">
            <v>35</v>
          </cell>
          <cell r="AQ4">
            <v>19597.293529999999</v>
          </cell>
          <cell r="AR4">
            <v>31686.62185</v>
          </cell>
          <cell r="AS4">
            <v>0.38213333329999999</v>
          </cell>
        </row>
        <row r="5">
          <cell r="A5" t="str">
            <v>8160-01-103</v>
          </cell>
          <cell r="B5" t="str">
            <v>Boaz Goldman</v>
          </cell>
          <cell r="C5" t="str">
            <v>023860315</v>
          </cell>
          <cell r="D5" t="str">
            <v>#REF!</v>
          </cell>
          <cell r="E5"/>
          <cell r="F5" t="str">
            <v>בועז גולדמן</v>
          </cell>
          <cell r="G5" t="str">
            <v>I</v>
          </cell>
          <cell r="H5"/>
          <cell r="I5">
            <v>250000</v>
          </cell>
          <cell r="J5">
            <v>3.4189276924417983E-3</v>
          </cell>
          <cell r="K5">
            <v>4676.6567074911563</v>
          </cell>
          <cell r="L5">
            <v>46607.258679135819</v>
          </cell>
          <cell r="M5">
            <v>51283.915386626977</v>
          </cell>
          <cell r="N5">
            <v>1169.1641768727891</v>
          </cell>
          <cell r="O5">
            <v>0</v>
          </cell>
          <cell r="P5">
            <v>0</v>
          </cell>
          <cell r="Q5">
            <v>1169.1641768727891</v>
          </cell>
          <cell r="R5">
            <v>1169.1641768727891</v>
          </cell>
          <cell r="S5" t="str">
            <v>X</v>
          </cell>
          <cell r="T5"/>
          <cell r="U5">
            <v>50115</v>
          </cell>
          <cell r="V5" t="str">
            <v>#REF!</v>
          </cell>
          <cell r="W5" t="str">
            <v>#REF!</v>
          </cell>
          <cell r="X5" t="str">
            <v>#REF!</v>
          </cell>
          <cell r="Y5" t="str">
            <v>#REF!</v>
          </cell>
          <cell r="Z5" t="str">
            <v>#REF!</v>
          </cell>
          <cell r="AA5" t="e">
            <v>#REF!</v>
          </cell>
          <cell r="AB5">
            <v>51283.915386626977</v>
          </cell>
          <cell r="AC5">
            <v>1169.1641768727891</v>
          </cell>
          <cell r="AD5">
            <v>50115</v>
          </cell>
          <cell r="AE5"/>
          <cell r="AJ5" t="str">
            <v>Index חריגים</v>
          </cell>
          <cell r="AK5"/>
          <cell r="AL5">
            <v>105.24149999999999</v>
          </cell>
          <cell r="AM5">
            <v>105.24149999999999</v>
          </cell>
          <cell r="AN5">
            <v>35</v>
          </cell>
          <cell r="AQ5">
            <v>19597.293529999999</v>
          </cell>
          <cell r="AR5">
            <v>31686.62185</v>
          </cell>
          <cell r="AS5">
            <v>0.38213333329999999</v>
          </cell>
        </row>
        <row r="6">
          <cell r="A6" t="str">
            <v>8160-01-104</v>
          </cell>
          <cell r="B6" t="str">
            <v>BPF Investments LLC</v>
          </cell>
          <cell r="C6" t="str">
            <v>46-4986191</v>
          </cell>
          <cell r="D6" t="str">
            <v>#REF!</v>
          </cell>
          <cell r="E6" t="str">
            <v>BPF Investments LLC</v>
          </cell>
          <cell r="F6"/>
          <cell r="G6" t="str">
            <v>I</v>
          </cell>
          <cell r="H6"/>
          <cell r="I6">
            <v>1000000</v>
          </cell>
          <cell r="J6">
            <v>1.3675710769767193E-2</v>
          </cell>
          <cell r="K6">
            <v>18706.626829964625</v>
          </cell>
          <cell r="L6">
            <v>186429.03471654328</v>
          </cell>
          <cell r="M6">
            <v>205135.66154650791</v>
          </cell>
          <cell r="N6">
            <v>4676.6567074911563</v>
          </cell>
          <cell r="O6">
            <v>0</v>
          </cell>
          <cell r="P6">
            <v>0</v>
          </cell>
          <cell r="Q6">
            <v>4676.6567074911563</v>
          </cell>
          <cell r="R6">
            <v>4676.6567074911563</v>
          </cell>
          <cell r="S6" t="str">
            <v>X</v>
          </cell>
          <cell r="T6"/>
          <cell r="U6">
            <v>200459</v>
          </cell>
          <cell r="V6" t="str">
            <v>#REF!</v>
          </cell>
          <cell r="W6" t="str">
            <v>#REF!</v>
          </cell>
          <cell r="X6" t="str">
            <v>#REF!</v>
          </cell>
          <cell r="Y6" t="str">
            <v>#REF!</v>
          </cell>
          <cell r="Z6" t="str">
            <v>#REF!</v>
          </cell>
          <cell r="AA6" t="e">
            <v>#REF!</v>
          </cell>
          <cell r="AB6">
            <v>205135.66154650791</v>
          </cell>
          <cell r="AC6">
            <v>4676.6567074911563</v>
          </cell>
          <cell r="AD6">
            <v>200459</v>
          </cell>
          <cell r="AE6"/>
          <cell r="AJ6" t="str">
            <v>טרם העביר קריאה אחרונה ובסכנת דיפולטינג / הקטנה  והעביר קריאות קודמות</v>
          </cell>
          <cell r="AK6"/>
          <cell r="AL6">
            <v>420.96389999999997</v>
          </cell>
          <cell r="AM6">
            <v>420.96389999999997</v>
          </cell>
          <cell r="AN6">
            <v>35</v>
          </cell>
          <cell r="AQ6">
            <v>78389.174129999999</v>
          </cell>
          <cell r="AR6">
            <v>126746.4874</v>
          </cell>
          <cell r="AS6">
            <v>0.38213333329999999</v>
          </cell>
        </row>
        <row r="7">
          <cell r="A7" t="str">
            <v>8160-01-105</v>
          </cell>
          <cell r="B7" t="str">
            <v>Daniel Itzhaki</v>
          </cell>
          <cell r="C7" t="str">
            <v>054029095</v>
          </cell>
          <cell r="D7" t="str">
            <v>#REF!</v>
          </cell>
          <cell r="E7"/>
          <cell r="F7" t="str">
            <v>דניאל יצחקי</v>
          </cell>
          <cell r="G7" t="str">
            <v>I</v>
          </cell>
          <cell r="H7"/>
          <cell r="I7">
            <v>250000</v>
          </cell>
          <cell r="J7">
            <v>3.4189276924417983E-3</v>
          </cell>
          <cell r="K7">
            <v>4676.6567074911563</v>
          </cell>
          <cell r="L7">
            <v>46607.258679135819</v>
          </cell>
          <cell r="M7">
            <v>51283.915386626977</v>
          </cell>
          <cell r="N7">
            <v>1169.1641768727891</v>
          </cell>
          <cell r="O7">
            <v>0</v>
          </cell>
          <cell r="P7">
            <v>0</v>
          </cell>
          <cell r="Q7">
            <v>1169.1641768727891</v>
          </cell>
          <cell r="R7">
            <v>1169.1641768727891</v>
          </cell>
          <cell r="S7" t="str">
            <v>X</v>
          </cell>
          <cell r="T7"/>
          <cell r="U7">
            <v>50115</v>
          </cell>
          <cell r="V7" t="str">
            <v>#REF!</v>
          </cell>
          <cell r="W7" t="str">
            <v>#REF!</v>
          </cell>
          <cell r="X7" t="str">
            <v>#REF!</v>
          </cell>
          <cell r="Y7" t="str">
            <v>#REF!</v>
          </cell>
          <cell r="Z7" t="str">
            <v>#REF!</v>
          </cell>
          <cell r="AA7" t="e">
            <v>#REF!</v>
          </cell>
          <cell r="AB7">
            <v>51283.915386626977</v>
          </cell>
          <cell r="AC7">
            <v>1169.1641768727891</v>
          </cell>
          <cell r="AD7">
            <v>50115</v>
          </cell>
          <cell r="AE7"/>
          <cell r="AJ7" t="str">
            <v xml:space="preserve">טרם העביר כספים  - טכני ולא בסכנת דיפולטינג </v>
          </cell>
          <cell r="AK7"/>
          <cell r="AL7">
            <v>105.24149999999999</v>
          </cell>
          <cell r="AM7">
            <v>105.24149999999999</v>
          </cell>
          <cell r="AN7">
            <v>35</v>
          </cell>
          <cell r="AQ7">
            <v>19597.293529999999</v>
          </cell>
          <cell r="AR7">
            <v>31686.62185</v>
          </cell>
          <cell r="AS7">
            <v>0.38213333329999999</v>
          </cell>
        </row>
        <row r="8">
          <cell r="A8" t="str">
            <v>8160-01-107</v>
          </cell>
          <cell r="B8" t="str">
            <v>Eran Tamari</v>
          </cell>
          <cell r="C8" t="str">
            <v>059742098</v>
          </cell>
          <cell r="D8" t="str">
            <v>#REF!</v>
          </cell>
          <cell r="E8"/>
          <cell r="F8" t="str">
            <v>ערן תמרי</v>
          </cell>
          <cell r="G8" t="str">
            <v>I</v>
          </cell>
          <cell r="H8"/>
          <cell r="I8">
            <v>250000</v>
          </cell>
          <cell r="J8">
            <v>3.4189276924417983E-3</v>
          </cell>
          <cell r="K8">
            <v>4676.6567074911563</v>
          </cell>
          <cell r="L8">
            <v>46607.258679135819</v>
          </cell>
          <cell r="M8">
            <v>51283.915386626977</v>
          </cell>
          <cell r="N8">
            <v>1169.1641768727891</v>
          </cell>
          <cell r="O8">
            <v>0</v>
          </cell>
          <cell r="P8">
            <v>0</v>
          </cell>
          <cell r="Q8">
            <v>1169.1641768727891</v>
          </cell>
          <cell r="R8">
            <v>1169.1641768727891</v>
          </cell>
          <cell r="S8" t="str">
            <v>X</v>
          </cell>
          <cell r="T8"/>
          <cell r="U8">
            <v>50115</v>
          </cell>
          <cell r="V8" t="str">
            <v>#REF!</v>
          </cell>
          <cell r="W8" t="str">
            <v>#REF!</v>
          </cell>
          <cell r="X8" t="str">
            <v>#REF!</v>
          </cell>
          <cell r="Y8" t="str">
            <v>#REF!</v>
          </cell>
          <cell r="Z8" t="str">
            <v>#REF!</v>
          </cell>
          <cell r="AA8" t="e">
            <v>#REF!</v>
          </cell>
          <cell r="AB8">
            <v>51283.915386626977</v>
          </cell>
          <cell r="AC8">
            <v>1169.1641768727891</v>
          </cell>
          <cell r="AD8">
            <v>50115</v>
          </cell>
          <cell r="AE8"/>
          <cell r="AJ8" t="str">
            <v>טרם העביר כספים - סגירה ששית</v>
          </cell>
          <cell r="AK8"/>
          <cell r="AL8">
            <v>105.24149999999999</v>
          </cell>
          <cell r="AM8">
            <v>105.24149999999999</v>
          </cell>
          <cell r="AN8">
            <v>35</v>
          </cell>
          <cell r="AQ8">
            <v>19597.293529999999</v>
          </cell>
          <cell r="AR8">
            <v>31686.62185</v>
          </cell>
          <cell r="AS8">
            <v>0.38213333329999999</v>
          </cell>
        </row>
        <row r="9">
          <cell r="A9" t="str">
            <v>8160-01-108</v>
          </cell>
          <cell r="B9" t="str">
            <v>Hanan Weiss</v>
          </cell>
          <cell r="C9" t="str">
            <v>041159559</v>
          </cell>
          <cell r="D9" t="str">
            <v>#REF!</v>
          </cell>
          <cell r="E9"/>
          <cell r="F9" t="str">
            <v>חנן ווייס</v>
          </cell>
          <cell r="G9" t="str">
            <v>I</v>
          </cell>
          <cell r="H9"/>
          <cell r="I9">
            <v>250000</v>
          </cell>
          <cell r="J9">
            <v>3.4189276924417983E-3</v>
          </cell>
          <cell r="K9">
            <v>4676.6567074911563</v>
          </cell>
          <cell r="L9">
            <v>46607.258679135819</v>
          </cell>
          <cell r="M9">
            <v>51283.915386626977</v>
          </cell>
          <cell r="N9">
            <v>1169.1641768727891</v>
          </cell>
          <cell r="O9">
            <v>0</v>
          </cell>
          <cell r="P9">
            <v>0</v>
          </cell>
          <cell r="Q9">
            <v>1169.1641768727891</v>
          </cell>
          <cell r="R9">
            <v>1169.1641768727891</v>
          </cell>
          <cell r="S9" t="str">
            <v>X</v>
          </cell>
          <cell r="T9"/>
          <cell r="U9">
            <v>50115</v>
          </cell>
          <cell r="V9" t="str">
            <v>#REF!</v>
          </cell>
          <cell r="W9" t="str">
            <v>#REF!</v>
          </cell>
          <cell r="X9" t="str">
            <v>#REF!</v>
          </cell>
          <cell r="Y9" t="str">
            <v>#REF!</v>
          </cell>
          <cell r="Z9" t="str">
            <v>#REF!</v>
          </cell>
          <cell r="AA9" t="e">
            <v>#REF!</v>
          </cell>
          <cell r="AB9">
            <v>51283.915386626977</v>
          </cell>
          <cell r="AC9">
            <v>1169.1641768727891</v>
          </cell>
          <cell r="AD9">
            <v>50115</v>
          </cell>
          <cell r="AE9"/>
          <cell r="AJ9" t="str">
            <v>טרם העביר כספים - סכנת דיפולטינג</v>
          </cell>
          <cell r="AK9"/>
          <cell r="AL9">
            <v>105.24149999999999</v>
          </cell>
          <cell r="AM9">
            <v>105.24149999999999</v>
          </cell>
          <cell r="AN9">
            <v>35</v>
          </cell>
          <cell r="AQ9">
            <v>19597.293529999999</v>
          </cell>
          <cell r="AR9">
            <v>31686.62185</v>
          </cell>
          <cell r="AS9">
            <v>0.38213333329999999</v>
          </cell>
        </row>
        <row r="10">
          <cell r="A10" t="str">
            <v>8160-01-109</v>
          </cell>
          <cell r="B10" t="str">
            <v>Inwood Investment Group Limited</v>
          </cell>
          <cell r="C10" t="str">
            <v>175 3862</v>
          </cell>
          <cell r="D10" t="str">
            <v>#REF!</v>
          </cell>
          <cell r="E10" t="str">
            <v>Inwood Investment Group Limited</v>
          </cell>
          <cell r="F10"/>
          <cell r="G10" t="str">
            <v>I</v>
          </cell>
          <cell r="H10"/>
          <cell r="I10">
            <v>775000</v>
          </cell>
          <cell r="J10">
            <v>1.0598675846569575E-2</v>
          </cell>
          <cell r="K10">
            <v>14497.635793222584</v>
          </cell>
          <cell r="L10">
            <v>144482.50190532103</v>
          </cell>
          <cell r="M10">
            <v>158980.13769854361</v>
          </cell>
          <cell r="N10">
            <v>3624.4089483056459</v>
          </cell>
          <cell r="O10">
            <v>0</v>
          </cell>
          <cell r="P10">
            <v>0</v>
          </cell>
          <cell r="Q10">
            <v>3624.4089483056459</v>
          </cell>
          <cell r="R10">
            <v>3624.4089483056459</v>
          </cell>
          <cell r="S10" t="str">
            <v>X</v>
          </cell>
          <cell r="T10"/>
          <cell r="U10">
            <v>155356</v>
          </cell>
          <cell r="V10" t="str">
            <v>#REF!</v>
          </cell>
          <cell r="W10" t="str">
            <v>#REF!</v>
          </cell>
          <cell r="X10" t="str">
            <v>#REF!</v>
          </cell>
          <cell r="Y10" t="str">
            <v>#REF!</v>
          </cell>
          <cell r="Z10" t="str">
            <v>#REF!</v>
          </cell>
          <cell r="AA10" t="e">
            <v>#REF!</v>
          </cell>
          <cell r="AB10">
            <v>158980.13769854361</v>
          </cell>
          <cell r="AC10">
            <v>3624.4089483056459</v>
          </cell>
          <cell r="AD10">
            <v>155356</v>
          </cell>
          <cell r="AE10"/>
          <cell r="AK10"/>
          <cell r="AL10">
            <v>326.24759999999998</v>
          </cell>
          <cell r="AM10">
            <v>326.24759999999998</v>
          </cell>
          <cell r="AN10">
            <v>35</v>
          </cell>
          <cell r="AQ10">
            <v>60751.609949999998</v>
          </cell>
          <cell r="AR10">
            <v>98228.527749999994</v>
          </cell>
          <cell r="AS10">
            <v>0.38213333329999999</v>
          </cell>
        </row>
        <row r="11">
          <cell r="A11" t="str">
            <v>8160-01-110</v>
          </cell>
          <cell r="B11" t="str">
            <v>Ira Holtzer</v>
          </cell>
          <cell r="C11" t="str">
            <v>033515081</v>
          </cell>
          <cell r="D11" t="str">
            <v>#REF!</v>
          </cell>
          <cell r="E11"/>
          <cell r="F11" t="str">
            <v>עירא הולצר</v>
          </cell>
          <cell r="G11" t="str">
            <v>I</v>
          </cell>
          <cell r="H11"/>
          <cell r="I11">
            <v>350000</v>
          </cell>
          <cell r="J11">
            <v>4.7864987694185178E-3</v>
          </cell>
          <cell r="K11">
            <v>6547.3193904876189</v>
          </cell>
          <cell r="L11">
            <v>65250.162150790144</v>
          </cell>
          <cell r="M11">
            <v>71797.481541277768</v>
          </cell>
          <cell r="N11">
            <v>1636.8298476219047</v>
          </cell>
          <cell r="O11">
            <v>0</v>
          </cell>
          <cell r="P11">
            <v>0</v>
          </cell>
          <cell r="Q11">
            <v>1636.8298476219047</v>
          </cell>
          <cell r="R11">
            <v>1636.8298476219047</v>
          </cell>
          <cell r="S11" t="str">
            <v>X</v>
          </cell>
          <cell r="T11"/>
          <cell r="U11">
            <v>70161</v>
          </cell>
          <cell r="V11" t="str">
            <v>#REF!</v>
          </cell>
          <cell r="W11" t="str">
            <v>#REF!</v>
          </cell>
          <cell r="X11" t="str">
            <v>#REF!</v>
          </cell>
          <cell r="Y11" t="str">
            <v>#REF!</v>
          </cell>
          <cell r="Z11" t="str">
            <v>#REF!</v>
          </cell>
          <cell r="AA11" t="e">
            <v>#REF!</v>
          </cell>
          <cell r="AB11">
            <v>71797.481541277768</v>
          </cell>
          <cell r="AC11">
            <v>1636.8298476219047</v>
          </cell>
          <cell r="AD11">
            <v>70161</v>
          </cell>
          <cell r="AE11"/>
          <cell r="AK11"/>
          <cell r="AL11">
            <v>147.3381</v>
          </cell>
          <cell r="AM11">
            <v>147.3381</v>
          </cell>
          <cell r="AN11">
            <v>35</v>
          </cell>
          <cell r="AQ11">
            <v>27436.210950000001</v>
          </cell>
          <cell r="AR11">
            <v>44361.27059</v>
          </cell>
          <cell r="AS11">
            <v>0.38213333329999999</v>
          </cell>
        </row>
        <row r="12">
          <cell r="A12" t="str">
            <v>8160-01-111</v>
          </cell>
          <cell r="B12" t="str">
            <v>Yuval &amp; Yael Lavon</v>
          </cell>
          <cell r="C12" t="str">
            <v>069962553</v>
          </cell>
          <cell r="D12" t="str">
            <v>#REF!</v>
          </cell>
          <cell r="E12"/>
          <cell r="F12" t="str">
            <v>יעל לבון</v>
          </cell>
          <cell r="G12" t="str">
            <v>I</v>
          </cell>
          <cell r="H12" t="str">
            <v>Kal-Gemel</v>
          </cell>
          <cell r="I12">
            <v>400000</v>
          </cell>
          <cell r="J12">
            <v>5.4702843079068777E-3</v>
          </cell>
          <cell r="K12">
            <v>7482.6507319858501</v>
          </cell>
          <cell r="L12">
            <v>74571.613886617313</v>
          </cell>
          <cell r="M12">
            <v>82054.264618603163</v>
          </cell>
          <cell r="N12"/>
          <cell r="O12">
            <v>0</v>
          </cell>
          <cell r="P12"/>
          <cell r="Q12"/>
          <cell r="R12">
            <v>0</v>
          </cell>
          <cell r="S12" t="str">
            <v>IRA</v>
          </cell>
          <cell r="T12">
            <v>0</v>
          </cell>
          <cell r="U12">
            <v>82054</v>
          </cell>
          <cell r="V12" t="str">
            <v>#REF!</v>
          </cell>
          <cell r="W12" t="str">
            <v>#REF!</v>
          </cell>
          <cell r="X12" t="str">
            <v>#REF!</v>
          </cell>
          <cell r="Y12" t="str">
            <v>#REF!</v>
          </cell>
          <cell r="Z12" t="str">
            <v>#REF!</v>
          </cell>
          <cell r="AA12" t="e">
            <v>#REF!</v>
          </cell>
          <cell r="AB12">
            <v>82054.264618603163</v>
          </cell>
          <cell r="AC12">
            <v>0</v>
          </cell>
          <cell r="AD12">
            <v>82054</v>
          </cell>
          <cell r="AE12"/>
          <cell r="AK12"/>
          <cell r="AL12">
            <v>172.3134</v>
          </cell>
          <cell r="AM12">
            <v>172.3134</v>
          </cell>
          <cell r="AN12">
            <v>35</v>
          </cell>
          <cell r="AQ12">
            <v>31355.66965</v>
          </cell>
          <cell r="AR12">
            <v>50698.594969999998</v>
          </cell>
          <cell r="AS12">
            <v>0.38213333329999999</v>
          </cell>
        </row>
        <row r="13">
          <cell r="A13" t="str">
            <v>8160-01-112</v>
          </cell>
          <cell r="B13" t="str">
            <v>Yehezkel Flomin</v>
          </cell>
          <cell r="C13" t="str">
            <v>004066379</v>
          </cell>
          <cell r="D13" t="str">
            <v>#REF!</v>
          </cell>
          <cell r="E13"/>
          <cell r="F13" t="str">
            <v>יחזקאל פלומין</v>
          </cell>
          <cell r="G13" t="str">
            <v>I</v>
          </cell>
          <cell r="H13" t="str">
            <v>Kal-Gemel</v>
          </cell>
          <cell r="I13">
            <v>400000</v>
          </cell>
          <cell r="J13">
            <v>5.4702843079068777E-3</v>
          </cell>
          <cell r="K13">
            <v>7482.6507319858501</v>
          </cell>
          <cell r="L13">
            <v>74571.613886617313</v>
          </cell>
          <cell r="M13">
            <v>82054.264618603163</v>
          </cell>
          <cell r="N13"/>
          <cell r="O13">
            <v>0</v>
          </cell>
          <cell r="P13"/>
          <cell r="Q13"/>
          <cell r="R13">
            <v>0</v>
          </cell>
          <cell r="S13" t="str">
            <v>IRA</v>
          </cell>
          <cell r="T13">
            <v>0</v>
          </cell>
          <cell r="U13">
            <v>82054</v>
          </cell>
          <cell r="V13" t="str">
            <v>#REF!</v>
          </cell>
          <cell r="W13" t="str">
            <v>#REF!</v>
          </cell>
          <cell r="X13" t="str">
            <v>#REF!</v>
          </cell>
          <cell r="Y13" t="str">
            <v>#REF!</v>
          </cell>
          <cell r="Z13" t="str">
            <v>#REF!</v>
          </cell>
          <cell r="AA13" t="e">
            <v>#REF!</v>
          </cell>
          <cell r="AB13">
            <v>82054.264618603163</v>
          </cell>
          <cell r="AC13">
            <v>0</v>
          </cell>
          <cell r="AD13">
            <v>82054</v>
          </cell>
          <cell r="AE13"/>
          <cell r="AK13"/>
          <cell r="AL13">
            <v>172.3134</v>
          </cell>
          <cell r="AM13">
            <v>172.3134</v>
          </cell>
          <cell r="AN13">
            <v>35</v>
          </cell>
          <cell r="AQ13">
            <v>31355.66965</v>
          </cell>
          <cell r="AR13">
            <v>50698.594969999998</v>
          </cell>
          <cell r="AS13">
            <v>0.38213333329999999</v>
          </cell>
        </row>
        <row r="14">
          <cell r="A14" t="str">
            <v>8160-01-113</v>
          </cell>
          <cell r="B14" t="str">
            <v>Kotlicki Investments Ltd</v>
          </cell>
          <cell r="C14">
            <v>514838358</v>
          </cell>
          <cell r="D14" t="str">
            <v>#REF!</v>
          </cell>
          <cell r="E14" t="str">
            <v>Kotlicki Investments Ltd</v>
          </cell>
          <cell r="F14" t="str">
            <v>קוטליצקי השקעות בע"צ</v>
          </cell>
          <cell r="G14" t="str">
            <v>I</v>
          </cell>
          <cell r="H14"/>
          <cell r="I14">
            <v>500000</v>
          </cell>
          <cell r="J14">
            <v>6.8378553848835967E-3</v>
          </cell>
          <cell r="K14">
            <v>9353.3134149823127</v>
          </cell>
          <cell r="L14">
            <v>93214.517358271638</v>
          </cell>
          <cell r="M14">
            <v>102567.83077325395</v>
          </cell>
          <cell r="N14"/>
          <cell r="O14">
            <v>0</v>
          </cell>
          <cell r="P14"/>
          <cell r="Q14"/>
          <cell r="R14">
            <v>0</v>
          </cell>
          <cell r="S14" t="str">
            <v>V</v>
          </cell>
          <cell r="T14">
            <v>0</v>
          </cell>
          <cell r="U14">
            <v>102568</v>
          </cell>
          <cell r="V14" t="str">
            <v>#REF!</v>
          </cell>
          <cell r="W14" t="str">
            <v>#REF!</v>
          </cell>
          <cell r="X14" t="str">
            <v>#REF!</v>
          </cell>
          <cell r="Y14" t="str">
            <v>#REF!</v>
          </cell>
          <cell r="Z14" t="str">
            <v>#REF!</v>
          </cell>
          <cell r="AA14" t="e">
            <v>#REF!</v>
          </cell>
          <cell r="AB14">
            <v>102567.83077325395</v>
          </cell>
          <cell r="AC14">
            <v>0</v>
          </cell>
          <cell r="AD14">
            <v>102568</v>
          </cell>
          <cell r="AE14"/>
          <cell r="AK14"/>
          <cell r="AL14">
            <v>215.39279999999999</v>
          </cell>
          <cell r="AM14">
            <v>215.39279999999999</v>
          </cell>
          <cell r="AN14">
            <v>35</v>
          </cell>
          <cell r="AQ14">
            <v>39194.587070000001</v>
          </cell>
          <cell r="AR14">
            <v>63373.243710000002</v>
          </cell>
          <cell r="AS14">
            <v>0.38213333329999999</v>
          </cell>
        </row>
        <row r="15">
          <cell r="A15" t="str">
            <v>8160-01-114</v>
          </cell>
          <cell r="B15" t="str">
            <v>Levyor Trading LTD</v>
          </cell>
          <cell r="C15">
            <v>514706720</v>
          </cell>
          <cell r="D15" t="str">
            <v>#REF!</v>
          </cell>
          <cell r="E15" t="str">
            <v>Levyor Trading LTD</v>
          </cell>
          <cell r="F15" t="str">
            <v>לויור מסחר בע"מ</v>
          </cell>
          <cell r="G15" t="str">
            <v>I</v>
          </cell>
          <cell r="H15"/>
          <cell r="I15">
            <v>800000</v>
          </cell>
          <cell r="J15">
            <v>1.0940568615813755E-2</v>
          </cell>
          <cell r="K15">
            <v>14965.3014639717</v>
          </cell>
          <cell r="L15">
            <v>149143.22777323463</v>
          </cell>
          <cell r="M15">
            <v>164108.52923720633</v>
          </cell>
          <cell r="N15"/>
          <cell r="O15">
            <v>0</v>
          </cell>
          <cell r="P15"/>
          <cell r="Q15"/>
          <cell r="R15">
            <v>0</v>
          </cell>
          <cell r="S15" t="str">
            <v>V</v>
          </cell>
          <cell r="T15">
            <v>0</v>
          </cell>
          <cell r="U15">
            <v>164109</v>
          </cell>
          <cell r="V15" t="str">
            <v>#REF!</v>
          </cell>
          <cell r="W15" t="str">
            <v>#REF!</v>
          </cell>
          <cell r="X15" t="str">
            <v>#REF!</v>
          </cell>
          <cell r="Y15" t="str">
            <v>#REF!</v>
          </cell>
          <cell r="Z15" t="str">
            <v>#REF!</v>
          </cell>
          <cell r="AA15" t="e">
            <v>#REF!</v>
          </cell>
          <cell r="AB15">
            <v>164108.52923720633</v>
          </cell>
          <cell r="AC15">
            <v>0</v>
          </cell>
          <cell r="AD15">
            <v>164109</v>
          </cell>
          <cell r="AE15"/>
          <cell r="AK15"/>
          <cell r="AL15">
            <v>344.62889999999999</v>
          </cell>
          <cell r="AM15">
            <v>344.62889999999999</v>
          </cell>
          <cell r="AN15">
            <v>35</v>
          </cell>
          <cell r="AQ15">
            <v>62711.339310000003</v>
          </cell>
          <cell r="AR15">
            <v>101397.1899</v>
          </cell>
          <cell r="AS15">
            <v>0.38213333329999999</v>
          </cell>
        </row>
        <row r="16">
          <cell r="A16" t="str">
            <v>8160-01-115</v>
          </cell>
          <cell r="B16" t="str">
            <v>M.B Sherman</v>
          </cell>
          <cell r="C16">
            <v>513136622</v>
          </cell>
          <cell r="D16" t="str">
            <v>#REF!</v>
          </cell>
          <cell r="E16" t="str">
            <v>M.B Sherman</v>
          </cell>
          <cell r="F16" t="str">
            <v>מ.ב שרמן בע"מ</v>
          </cell>
          <cell r="G16" t="str">
            <v>I</v>
          </cell>
          <cell r="H16"/>
          <cell r="I16">
            <v>250000</v>
          </cell>
          <cell r="J16">
            <v>3.4189276924417983E-3</v>
          </cell>
          <cell r="K16">
            <v>4676.6567074911563</v>
          </cell>
          <cell r="L16">
            <v>46607.258679135819</v>
          </cell>
          <cell r="M16">
            <v>51283.915386626977</v>
          </cell>
          <cell r="N16"/>
          <cell r="O16">
            <v>0</v>
          </cell>
          <cell r="P16"/>
          <cell r="Q16"/>
          <cell r="R16">
            <v>0</v>
          </cell>
          <cell r="S16" t="str">
            <v>V</v>
          </cell>
          <cell r="T16">
            <v>0</v>
          </cell>
          <cell r="U16">
            <v>51284</v>
          </cell>
          <cell r="V16" t="str">
            <v>#REF!</v>
          </cell>
          <cell r="W16" t="str">
            <v>#REF!</v>
          </cell>
          <cell r="X16" t="str">
            <v>#REF!</v>
          </cell>
          <cell r="Y16" t="str">
            <v>#REF!</v>
          </cell>
          <cell r="Z16" t="str">
            <v>#REF!</v>
          </cell>
          <cell r="AA16" t="e">
            <v>#REF!</v>
          </cell>
          <cell r="AB16">
            <v>51283.915386626977</v>
          </cell>
          <cell r="AC16">
            <v>0</v>
          </cell>
          <cell r="AD16">
            <v>51284</v>
          </cell>
          <cell r="AE16"/>
          <cell r="AK16"/>
          <cell r="AL16">
            <v>107.6964</v>
          </cell>
          <cell r="AM16">
            <v>107.6964</v>
          </cell>
          <cell r="AN16">
            <v>35</v>
          </cell>
          <cell r="AQ16">
            <v>19597.293529999999</v>
          </cell>
          <cell r="AR16">
            <v>31686.62185</v>
          </cell>
          <cell r="AS16">
            <v>0.38213333329999999</v>
          </cell>
        </row>
        <row r="17">
          <cell r="A17" t="str">
            <v>8160-01-116</v>
          </cell>
          <cell r="B17" t="str">
            <v>Meitav Dash Investments Ltd</v>
          </cell>
          <cell r="C17">
            <v>520043795</v>
          </cell>
          <cell r="D17" t="str">
            <v>#REF!</v>
          </cell>
          <cell r="E17" t="str">
            <v>Meitav Dash Investments Ltd</v>
          </cell>
          <cell r="F17" t="str">
            <v>מיטב דש השקעות בע"מ</v>
          </cell>
          <cell r="G17" t="str">
            <v>I</v>
          </cell>
          <cell r="H17"/>
          <cell r="I17">
            <v>7000000</v>
          </cell>
          <cell r="J17">
            <v>9.5729975388370359E-2</v>
          </cell>
          <cell r="K17">
            <v>130946.38780975237</v>
          </cell>
          <cell r="L17">
            <v>1305003.2430158029</v>
          </cell>
          <cell r="M17">
            <v>1435949.6308255554</v>
          </cell>
          <cell r="N17"/>
          <cell r="O17">
            <v>0</v>
          </cell>
          <cell r="P17"/>
          <cell r="Q17"/>
          <cell r="R17">
            <v>0</v>
          </cell>
          <cell r="S17" t="str">
            <v>V</v>
          </cell>
          <cell r="T17">
            <v>0</v>
          </cell>
          <cell r="U17">
            <v>1435950</v>
          </cell>
          <cell r="V17" t="str">
            <v>#REF!</v>
          </cell>
          <cell r="W17" t="str">
            <v>#REF!</v>
          </cell>
          <cell r="X17" t="str">
            <v>#REF!</v>
          </cell>
          <cell r="Y17" t="str">
            <v>#REF!</v>
          </cell>
          <cell r="Z17" t="str">
            <v>#REF!</v>
          </cell>
          <cell r="AA17" t="e">
            <v>#REF!</v>
          </cell>
          <cell r="AB17">
            <v>1435949.6308255554</v>
          </cell>
          <cell r="AC17">
            <v>0</v>
          </cell>
          <cell r="AD17">
            <v>1435950</v>
          </cell>
          <cell r="AE17"/>
          <cell r="AK17"/>
          <cell r="AL17">
            <v>3015.4949999999999</v>
          </cell>
          <cell r="AM17">
            <v>170</v>
          </cell>
          <cell r="AN17">
            <v>35</v>
          </cell>
          <cell r="AQ17">
            <v>548724.21889999998</v>
          </cell>
          <cell r="AR17">
            <v>887225.41189999995</v>
          </cell>
          <cell r="AS17">
            <v>0.38213333329999999</v>
          </cell>
        </row>
        <row r="18">
          <cell r="A18" t="str">
            <v>8160-01-117</v>
          </cell>
          <cell r="B18" t="str">
            <v>Nissim Zarfati</v>
          </cell>
          <cell r="C18" t="str">
            <v>058240565</v>
          </cell>
          <cell r="D18" t="str">
            <v>#REF!</v>
          </cell>
          <cell r="E18"/>
          <cell r="F18" t="str">
            <v>נסים צרפתי</v>
          </cell>
          <cell r="G18" t="str">
            <v>I</v>
          </cell>
          <cell r="H18"/>
          <cell r="I18">
            <v>450000</v>
          </cell>
          <cell r="J18">
            <v>6.1540698463952376E-3</v>
          </cell>
          <cell r="K18">
            <v>8417.9820734840814</v>
          </cell>
          <cell r="L18">
            <v>83893.065622444483</v>
          </cell>
          <cell r="M18">
            <v>92311.047695928559</v>
          </cell>
          <cell r="N18">
            <v>2104.4955183710204</v>
          </cell>
          <cell r="O18">
            <v>0</v>
          </cell>
          <cell r="P18">
            <v>0</v>
          </cell>
          <cell r="Q18">
            <v>2104.4955183710204</v>
          </cell>
          <cell r="R18">
            <v>2104.4955183710204</v>
          </cell>
          <cell r="S18" t="str">
            <v>X</v>
          </cell>
          <cell r="T18"/>
          <cell r="U18">
            <v>90207</v>
          </cell>
          <cell r="V18" t="str">
            <v>#REF!</v>
          </cell>
          <cell r="W18" t="str">
            <v>#REF!</v>
          </cell>
          <cell r="X18" t="str">
            <v>#REF!</v>
          </cell>
          <cell r="Y18" t="str">
            <v>#REF!</v>
          </cell>
          <cell r="Z18" t="str">
            <v>#REF!</v>
          </cell>
          <cell r="AA18" t="e">
            <v>#REF!</v>
          </cell>
          <cell r="AB18">
            <v>92311.047695928559</v>
          </cell>
          <cell r="AC18">
            <v>2104.4955183710204</v>
          </cell>
          <cell r="AD18">
            <v>90207</v>
          </cell>
          <cell r="AE18"/>
          <cell r="AK18"/>
          <cell r="AL18">
            <v>189.43469999999999</v>
          </cell>
          <cell r="AM18">
            <v>189.43469999999999</v>
          </cell>
          <cell r="AN18">
            <v>35</v>
          </cell>
          <cell r="AQ18">
            <v>35275.128360000002</v>
          </cell>
          <cell r="AR18">
            <v>57035.91934</v>
          </cell>
          <cell r="AS18">
            <v>0.38213333329999999</v>
          </cell>
        </row>
        <row r="19">
          <cell r="A19" t="str">
            <v>8160-01-118</v>
          </cell>
          <cell r="B19" t="str">
            <v>Ofer David Kinberg</v>
          </cell>
          <cell r="C19" t="str">
            <v>036125334</v>
          </cell>
          <cell r="D19" t="str">
            <v>#REF!</v>
          </cell>
          <cell r="E19"/>
          <cell r="F19" t="str">
            <v>עופר דוד קינברג</v>
          </cell>
          <cell r="G19" t="str">
            <v>I</v>
          </cell>
          <cell r="H19"/>
          <cell r="I19">
            <v>400000</v>
          </cell>
          <cell r="J19">
            <v>5.4702843079068777E-3</v>
          </cell>
          <cell r="K19">
            <v>7482.6507319858501</v>
          </cell>
          <cell r="L19">
            <v>74571.613886617313</v>
          </cell>
          <cell r="M19">
            <v>82054.264618603163</v>
          </cell>
          <cell r="N19">
            <v>1870.6626829964625</v>
          </cell>
          <cell r="O19">
            <v>0</v>
          </cell>
          <cell r="P19">
            <v>0</v>
          </cell>
          <cell r="Q19">
            <v>1870.6626829964625</v>
          </cell>
          <cell r="R19">
            <v>1870.6626829964625</v>
          </cell>
          <cell r="S19" t="str">
            <v>X</v>
          </cell>
          <cell r="T19"/>
          <cell r="U19">
            <v>80184</v>
          </cell>
          <cell r="V19" t="str">
            <v>#REF!</v>
          </cell>
          <cell r="W19" t="str">
            <v>#REF!</v>
          </cell>
          <cell r="X19" t="str">
            <v>#REF!</v>
          </cell>
          <cell r="Y19" t="str">
            <v>#REF!</v>
          </cell>
          <cell r="Z19" t="str">
            <v>#REF!</v>
          </cell>
          <cell r="AA19" t="e">
            <v>#REF!</v>
          </cell>
          <cell r="AB19">
            <v>82054.264618603163</v>
          </cell>
          <cell r="AC19">
            <v>1870.6626829964625</v>
          </cell>
          <cell r="AD19">
            <v>80184</v>
          </cell>
          <cell r="AE19"/>
          <cell r="AK19"/>
          <cell r="AL19">
            <v>168.38639999999998</v>
          </cell>
          <cell r="AM19">
            <v>168.38639999999998</v>
          </cell>
          <cell r="AN19">
            <v>35</v>
          </cell>
          <cell r="AQ19">
            <v>31355.66965</v>
          </cell>
          <cell r="AR19">
            <v>50698.594969999998</v>
          </cell>
          <cell r="AS19">
            <v>0.38213333329999999</v>
          </cell>
        </row>
        <row r="20">
          <cell r="A20" t="str">
            <v>8160-01-119</v>
          </cell>
          <cell r="B20" t="str">
            <v>Olga Ashurov</v>
          </cell>
          <cell r="C20">
            <v>305831232</v>
          </cell>
          <cell r="D20" t="str">
            <v>#REF!</v>
          </cell>
          <cell r="E20"/>
          <cell r="F20" t="str">
            <v>אולגה אושרוב</v>
          </cell>
          <cell r="G20" t="str">
            <v>I</v>
          </cell>
          <cell r="H20"/>
          <cell r="I20">
            <v>250000</v>
          </cell>
          <cell r="J20">
            <v>3.4189276924417983E-3</v>
          </cell>
          <cell r="K20">
            <v>4676.6567074911563</v>
          </cell>
          <cell r="L20">
            <v>46607.258679135819</v>
          </cell>
          <cell r="M20">
            <v>51283.915386626977</v>
          </cell>
          <cell r="N20">
            <v>1169.1641768727891</v>
          </cell>
          <cell r="O20">
            <v>0</v>
          </cell>
          <cell r="P20">
            <v>0</v>
          </cell>
          <cell r="Q20">
            <v>1169.1641768727891</v>
          </cell>
          <cell r="R20">
            <v>1169.1641768727891</v>
          </cell>
          <cell r="S20" t="str">
            <v>X</v>
          </cell>
          <cell r="T20"/>
          <cell r="U20">
            <v>50115</v>
          </cell>
          <cell r="V20" t="str">
            <v>#REF!</v>
          </cell>
          <cell r="W20" t="str">
            <v>#REF!</v>
          </cell>
          <cell r="X20" t="str">
            <v>#REF!</v>
          </cell>
          <cell r="Y20" t="str">
            <v>#REF!</v>
          </cell>
          <cell r="Z20" t="str">
            <v>#REF!</v>
          </cell>
          <cell r="AA20" t="e">
            <v>#REF!</v>
          </cell>
          <cell r="AB20">
            <v>51283.915386626977</v>
          </cell>
          <cell r="AC20">
            <v>1169.1641768727891</v>
          </cell>
          <cell r="AD20">
            <v>50115</v>
          </cell>
          <cell r="AE20"/>
          <cell r="AK20"/>
          <cell r="AL20">
            <v>105.24149999999999</v>
          </cell>
          <cell r="AM20">
            <v>105.24149999999999</v>
          </cell>
          <cell r="AN20">
            <v>35</v>
          </cell>
          <cell r="AQ20">
            <v>19597.293529999999</v>
          </cell>
          <cell r="AR20">
            <v>31686.62185</v>
          </cell>
        </row>
        <row r="21">
          <cell r="A21" t="str">
            <v>8160-01-120</v>
          </cell>
          <cell r="B21" t="str">
            <v>Orna Barkat</v>
          </cell>
          <cell r="C21" t="str">
            <v>057258675</v>
          </cell>
          <cell r="D21" t="str">
            <v>#REF!</v>
          </cell>
          <cell r="E21"/>
          <cell r="F21" t="str">
            <v>אורנה ברקת</v>
          </cell>
          <cell r="G21" t="str">
            <v>I</v>
          </cell>
          <cell r="H21"/>
          <cell r="I21">
            <v>400000</v>
          </cell>
          <cell r="J21">
            <v>5.4702843079068777E-3</v>
          </cell>
          <cell r="K21">
            <v>7482.6507319858501</v>
          </cell>
          <cell r="L21">
            <v>74571.613886617313</v>
          </cell>
          <cell r="M21">
            <v>82054.264618603163</v>
          </cell>
          <cell r="N21">
            <v>1870.6626829964625</v>
          </cell>
          <cell r="O21">
            <v>0</v>
          </cell>
          <cell r="P21">
            <v>0</v>
          </cell>
          <cell r="Q21">
            <v>1870.6626829964625</v>
          </cell>
          <cell r="R21">
            <v>1870.6626829964625</v>
          </cell>
          <cell r="S21" t="str">
            <v>X</v>
          </cell>
          <cell r="T21"/>
          <cell r="U21">
            <v>80184</v>
          </cell>
          <cell r="V21" t="str">
            <v>#REF!</v>
          </cell>
          <cell r="W21" t="str">
            <v>#REF!</v>
          </cell>
          <cell r="X21" t="str">
            <v>#REF!</v>
          </cell>
          <cell r="Y21" t="str">
            <v>#REF!</v>
          </cell>
          <cell r="Z21" t="str">
            <v>#REF!</v>
          </cell>
          <cell r="AA21" t="e">
            <v>#REF!</v>
          </cell>
          <cell r="AB21">
            <v>82054.264618603163</v>
          </cell>
          <cell r="AC21">
            <v>1870.6626829964625</v>
          </cell>
          <cell r="AD21">
            <v>80184</v>
          </cell>
          <cell r="AE21"/>
          <cell r="AK21"/>
          <cell r="AL21">
            <v>168.38639999999998</v>
          </cell>
          <cell r="AM21">
            <v>168.38639999999998</v>
          </cell>
          <cell r="AN21">
            <v>35</v>
          </cell>
          <cell r="AQ21">
            <v>31355.66965</v>
          </cell>
          <cell r="AR21">
            <v>50698.594969999998</v>
          </cell>
        </row>
        <row r="22">
          <cell r="A22" t="str">
            <v>8160-01-121</v>
          </cell>
          <cell r="B22" t="str">
            <v>Plata Trading Co. Inc</v>
          </cell>
          <cell r="C22">
            <v>2601848</v>
          </cell>
          <cell r="D22" t="str">
            <v>#REF!</v>
          </cell>
          <cell r="E22" t="str">
            <v>Plata Trading Co. Inc</v>
          </cell>
          <cell r="F22"/>
          <cell r="G22" t="str">
            <v>I</v>
          </cell>
          <cell r="H22"/>
          <cell r="I22">
            <v>300000</v>
          </cell>
          <cell r="J22">
            <v>4.1027132309301578E-3</v>
          </cell>
          <cell r="K22">
            <v>5611.9880489893867</v>
          </cell>
          <cell r="L22">
            <v>55928.710414962974</v>
          </cell>
          <cell r="M22">
            <v>61540.698463952358</v>
          </cell>
          <cell r="N22">
            <v>1402.9970122473467</v>
          </cell>
          <cell r="O22">
            <v>0</v>
          </cell>
          <cell r="P22">
            <v>0</v>
          </cell>
          <cell r="Q22">
            <v>1402.9970122473467</v>
          </cell>
          <cell r="R22">
            <v>1402.9970122473467</v>
          </cell>
          <cell r="S22" t="str">
            <v>X</v>
          </cell>
          <cell r="T22"/>
          <cell r="U22">
            <v>60138</v>
          </cell>
          <cell r="V22" t="str">
            <v>#REF!</v>
          </cell>
          <cell r="W22" t="str">
            <v>#REF!</v>
          </cell>
          <cell r="X22" t="str">
            <v>#REF!</v>
          </cell>
          <cell r="Y22" t="str">
            <v>#REF!</v>
          </cell>
          <cell r="Z22" t="str">
            <v>#REF!</v>
          </cell>
          <cell r="AA22" t="e">
            <v>#REF!</v>
          </cell>
          <cell r="AB22">
            <v>61540.698463952358</v>
          </cell>
          <cell r="AC22">
            <v>1402.9970122473467</v>
          </cell>
          <cell r="AD22">
            <v>60138</v>
          </cell>
          <cell r="AE22"/>
          <cell r="AK22"/>
          <cell r="AL22">
            <v>126.28979999999999</v>
          </cell>
          <cell r="AM22">
            <v>126.28979999999999</v>
          </cell>
          <cell r="AN22">
            <v>35</v>
          </cell>
          <cell r="AQ22">
            <v>23516.752240000002</v>
          </cell>
          <cell r="AR22">
            <v>38023.946219999998</v>
          </cell>
        </row>
        <row r="23">
          <cell r="A23" t="str">
            <v>8160-01-123</v>
          </cell>
          <cell r="B23" t="str">
            <v>Raz Freidman</v>
          </cell>
          <cell r="C23" t="str">
            <v>034522615</v>
          </cell>
          <cell r="D23" t="str">
            <v>#REF!</v>
          </cell>
          <cell r="E23"/>
          <cell r="F23" t="str">
            <v>רז פרידמן</v>
          </cell>
          <cell r="G23" t="str">
            <v>I</v>
          </cell>
          <cell r="H23"/>
          <cell r="I23">
            <v>400000</v>
          </cell>
          <cell r="J23">
            <v>5.4702843079068777E-3</v>
          </cell>
          <cell r="K23">
            <v>7482.6507319858501</v>
          </cell>
          <cell r="L23">
            <v>74571.613886617313</v>
          </cell>
          <cell r="M23">
            <v>82054.264618603163</v>
          </cell>
          <cell r="N23">
            <v>1870.6626829964625</v>
          </cell>
          <cell r="O23">
            <v>0</v>
          </cell>
          <cell r="P23">
            <v>0</v>
          </cell>
          <cell r="Q23">
            <v>1870.6626829964625</v>
          </cell>
          <cell r="R23">
            <v>1870.6626829964625</v>
          </cell>
          <cell r="S23" t="str">
            <v>X</v>
          </cell>
          <cell r="T23"/>
          <cell r="U23">
            <v>80184</v>
          </cell>
          <cell r="V23" t="str">
            <v>#REF!</v>
          </cell>
          <cell r="W23" t="str">
            <v>#REF!</v>
          </cell>
          <cell r="X23" t="str">
            <v>#REF!</v>
          </cell>
          <cell r="Y23" t="str">
            <v>#REF!</v>
          </cell>
          <cell r="Z23" t="str">
            <v>#REF!</v>
          </cell>
          <cell r="AA23" t="e">
            <v>#REF!</v>
          </cell>
          <cell r="AB23">
            <v>82054.264618603163</v>
          </cell>
          <cell r="AC23">
            <v>1870.6626829964625</v>
          </cell>
          <cell r="AD23">
            <v>80184</v>
          </cell>
          <cell r="AE23"/>
          <cell r="AK23"/>
          <cell r="AL23">
            <v>168.38639999999998</v>
          </cell>
          <cell r="AM23">
            <v>168.38639999999998</v>
          </cell>
          <cell r="AN23">
            <v>35</v>
          </cell>
          <cell r="AQ23">
            <v>31355.66965</v>
          </cell>
          <cell r="AR23">
            <v>50698.594969999998</v>
          </cell>
        </row>
        <row r="24">
          <cell r="A24" t="str">
            <v>8160-01-124</v>
          </cell>
          <cell r="B24" t="str">
            <v>Robert Antokol</v>
          </cell>
          <cell r="C24" t="str">
            <v>014552855</v>
          </cell>
          <cell r="D24" t="str">
            <v>#REF!</v>
          </cell>
          <cell r="E24"/>
          <cell r="F24" t="str">
            <v>רוברט אנטוקול</v>
          </cell>
          <cell r="G24" t="str">
            <v>I</v>
          </cell>
          <cell r="H24"/>
          <cell r="I24">
            <v>2000000</v>
          </cell>
          <cell r="J24">
            <v>2.7351421539534387E-2</v>
          </cell>
          <cell r="K24">
            <v>37413.253659929251</v>
          </cell>
          <cell r="L24">
            <v>372858.06943308655</v>
          </cell>
          <cell r="M24">
            <v>410271.32309301582</v>
          </cell>
          <cell r="N24">
            <v>9353.3134149823127</v>
          </cell>
          <cell r="O24">
            <v>0</v>
          </cell>
          <cell r="P24">
            <v>0</v>
          </cell>
          <cell r="Q24">
            <v>9353.3134149823127</v>
          </cell>
          <cell r="R24">
            <v>9353.3134149823127</v>
          </cell>
          <cell r="S24" t="str">
            <v>X</v>
          </cell>
          <cell r="T24"/>
          <cell r="U24">
            <v>400918</v>
          </cell>
          <cell r="V24" t="str">
            <v>#REF!</v>
          </cell>
          <cell r="W24" t="str">
            <v>#REF!</v>
          </cell>
          <cell r="X24" t="str">
            <v>#REF!</v>
          </cell>
          <cell r="Y24" t="str">
            <v>#REF!</v>
          </cell>
          <cell r="Z24" t="str">
            <v>#REF!</v>
          </cell>
          <cell r="AA24" t="e">
            <v>#REF!</v>
          </cell>
          <cell r="AB24">
            <v>410271.32309301582</v>
          </cell>
          <cell r="AC24">
            <v>9353.3134149823127</v>
          </cell>
          <cell r="AD24">
            <v>400918</v>
          </cell>
          <cell r="AE24"/>
          <cell r="AK24"/>
          <cell r="AL24">
            <v>841.92779999999993</v>
          </cell>
          <cell r="AM24">
            <v>841.92779999999993</v>
          </cell>
          <cell r="AN24">
            <v>35</v>
          </cell>
          <cell r="AQ24">
            <v>156778.34830000001</v>
          </cell>
          <cell r="AR24">
            <v>253492.9748</v>
          </cell>
        </row>
        <row r="25">
          <cell r="A25" t="str">
            <v>8160-01-125</v>
          </cell>
          <cell r="B25" t="str">
            <v>Roy Oron</v>
          </cell>
          <cell r="C25" t="str">
            <v>024367021</v>
          </cell>
          <cell r="D25" t="str">
            <v>#REF!</v>
          </cell>
          <cell r="E25"/>
          <cell r="F25" t="str">
            <v>רועי אורון</v>
          </cell>
          <cell r="G25" t="str">
            <v>I</v>
          </cell>
          <cell r="H25"/>
          <cell r="I25">
            <v>500000</v>
          </cell>
          <cell r="J25">
            <v>6.8378553848835967E-3</v>
          </cell>
          <cell r="K25">
            <v>9353.3134149823127</v>
          </cell>
          <cell r="L25">
            <v>93214.517358271638</v>
          </cell>
          <cell r="M25">
            <v>102567.83077325395</v>
          </cell>
          <cell r="N25">
            <v>2338.3283537455782</v>
          </cell>
          <cell r="O25">
            <v>0</v>
          </cell>
          <cell r="P25">
            <v>0</v>
          </cell>
          <cell r="Q25">
            <v>2338.3283537455782</v>
          </cell>
          <cell r="R25">
            <v>2338.3283537455782</v>
          </cell>
          <cell r="S25" t="str">
            <v>X</v>
          </cell>
          <cell r="T25"/>
          <cell r="U25">
            <v>100230</v>
          </cell>
          <cell r="V25" t="str">
            <v>#REF!</v>
          </cell>
          <cell r="W25" t="str">
            <v>#REF!</v>
          </cell>
          <cell r="X25" t="str">
            <v>#REF!</v>
          </cell>
          <cell r="Y25" t="str">
            <v>#REF!</v>
          </cell>
          <cell r="Z25" t="str">
            <v>#REF!</v>
          </cell>
          <cell r="AA25" t="e">
            <v>#REF!</v>
          </cell>
          <cell r="AB25">
            <v>102567.83077325395</v>
          </cell>
          <cell r="AC25">
            <v>2338.3283537455782</v>
          </cell>
          <cell r="AD25">
            <v>100230</v>
          </cell>
          <cell r="AE25"/>
          <cell r="AK25"/>
          <cell r="AL25">
            <v>210.48299999999998</v>
          </cell>
          <cell r="AM25">
            <v>210.48299999999998</v>
          </cell>
          <cell r="AN25">
            <v>35</v>
          </cell>
          <cell r="AQ25">
            <v>39194.587070000001</v>
          </cell>
          <cell r="AR25">
            <v>63373.243710000002</v>
          </cell>
        </row>
        <row r="26">
          <cell r="A26" t="str">
            <v>8160-01-126</v>
          </cell>
          <cell r="B26" t="str">
            <v>Shai Reshef</v>
          </cell>
          <cell r="C26" t="str">
            <v>053560108</v>
          </cell>
          <cell r="D26" t="str">
            <v>#REF!</v>
          </cell>
          <cell r="E26"/>
          <cell r="F26" t="str">
            <v>שי רשף</v>
          </cell>
          <cell r="G26" t="str">
            <v>I</v>
          </cell>
          <cell r="H26"/>
          <cell r="I26">
            <v>500000</v>
          </cell>
          <cell r="J26">
            <v>6.8378553848835967E-3</v>
          </cell>
          <cell r="K26">
            <v>9353.3134149823127</v>
          </cell>
          <cell r="L26">
            <v>93214.517358271638</v>
          </cell>
          <cell r="M26">
            <v>102567.83077325395</v>
          </cell>
          <cell r="N26">
            <v>2338.3283537455782</v>
          </cell>
          <cell r="O26">
            <v>0</v>
          </cell>
          <cell r="P26">
            <v>0</v>
          </cell>
          <cell r="Q26">
            <v>2338.3283537455782</v>
          </cell>
          <cell r="R26">
            <v>2338.3283537455782</v>
          </cell>
          <cell r="S26" t="str">
            <v>X</v>
          </cell>
          <cell r="T26"/>
          <cell r="U26">
            <v>100230</v>
          </cell>
          <cell r="V26" t="str">
            <v>#REF!</v>
          </cell>
          <cell r="W26" t="str">
            <v>#REF!</v>
          </cell>
          <cell r="X26" t="str">
            <v>#REF!</v>
          </cell>
          <cell r="Y26" t="str">
            <v>#REF!</v>
          </cell>
          <cell r="Z26" t="str">
            <v>#REF!</v>
          </cell>
          <cell r="AA26" t="e">
            <v>#REF!</v>
          </cell>
          <cell r="AB26">
            <v>102567.83077325395</v>
          </cell>
          <cell r="AC26">
            <v>2338.3283537455782</v>
          </cell>
          <cell r="AD26">
            <v>100230</v>
          </cell>
          <cell r="AE26"/>
          <cell r="AK26"/>
          <cell r="AL26">
            <v>210.48299999999998</v>
          </cell>
          <cell r="AM26">
            <v>210.48299999999998</v>
          </cell>
          <cell r="AN26">
            <v>35</v>
          </cell>
          <cell r="AQ26">
            <v>39194.587070000001</v>
          </cell>
          <cell r="AR26">
            <v>63373.243710000002</v>
          </cell>
        </row>
        <row r="27">
          <cell r="A27" t="str">
            <v>8160-01-127</v>
          </cell>
          <cell r="B27" t="str">
            <v>Yishayahu Shai Sheffer</v>
          </cell>
          <cell r="C27" t="str">
            <v>07004476</v>
          </cell>
          <cell r="D27" t="str">
            <v>#REF!</v>
          </cell>
          <cell r="E27"/>
          <cell r="F27" t="str">
            <v>שי ישעיהו שפר</v>
          </cell>
          <cell r="G27" t="str">
            <v>I</v>
          </cell>
          <cell r="H27"/>
          <cell r="I27">
            <v>250000</v>
          </cell>
          <cell r="J27">
            <v>3.4189276924417983E-3</v>
          </cell>
          <cell r="K27">
            <v>4676.6567074911563</v>
          </cell>
          <cell r="L27">
            <v>46607.258679135819</v>
          </cell>
          <cell r="M27">
            <v>51283.915386626977</v>
          </cell>
          <cell r="N27">
            <v>1169.1641768727891</v>
          </cell>
          <cell r="O27">
            <v>0</v>
          </cell>
          <cell r="P27">
            <v>0</v>
          </cell>
          <cell r="Q27">
            <v>1169.1641768727891</v>
          </cell>
          <cell r="R27">
            <v>1169.1641768727891</v>
          </cell>
          <cell r="S27" t="str">
            <v>X</v>
          </cell>
          <cell r="T27"/>
          <cell r="U27">
            <v>50115</v>
          </cell>
          <cell r="V27" t="str">
            <v>#REF!</v>
          </cell>
          <cell r="W27" t="str">
            <v>#REF!</v>
          </cell>
          <cell r="X27" t="str">
            <v>#REF!</v>
          </cell>
          <cell r="Y27" t="str">
            <v>#REF!</v>
          </cell>
          <cell r="Z27" t="str">
            <v>#REF!</v>
          </cell>
          <cell r="AA27" t="e">
            <v>#REF!</v>
          </cell>
          <cell r="AB27">
            <v>51283.915386626977</v>
          </cell>
          <cell r="AC27">
            <v>1169.1641768727891</v>
          </cell>
          <cell r="AD27">
            <v>50115</v>
          </cell>
          <cell r="AE27"/>
          <cell r="AK27"/>
          <cell r="AL27">
            <v>105.24149999999999</v>
          </cell>
          <cell r="AM27">
            <v>105.24149999999999</v>
          </cell>
          <cell r="AN27">
            <v>35</v>
          </cell>
          <cell r="AQ27">
            <v>19597.293529999999</v>
          </cell>
          <cell r="AR27">
            <v>31686.62185</v>
          </cell>
        </row>
        <row r="28">
          <cell r="A28" t="str">
            <v>8160-01-128</v>
          </cell>
          <cell r="B28" t="str">
            <v>Shlomi Aizenberg</v>
          </cell>
          <cell r="C28" t="str">
            <v>036397297</v>
          </cell>
          <cell r="D28" t="str">
            <v>#REF!</v>
          </cell>
          <cell r="E28"/>
          <cell r="F28" t="str">
            <v>שלומי אייזנברג</v>
          </cell>
          <cell r="G28" t="str">
            <v>I</v>
          </cell>
          <cell r="H28"/>
          <cell r="I28">
            <v>200000</v>
          </cell>
          <cell r="J28">
            <v>2.7351421539534388E-3</v>
          </cell>
          <cell r="K28">
            <v>3741.3253659929251</v>
          </cell>
          <cell r="L28">
            <v>37285.806943308657</v>
          </cell>
          <cell r="M28">
            <v>41027.132309301582</v>
          </cell>
          <cell r="N28">
            <v>935.33134149823127</v>
          </cell>
          <cell r="O28">
            <v>0</v>
          </cell>
          <cell r="P28">
            <v>0</v>
          </cell>
          <cell r="Q28">
            <v>935.33134149823127</v>
          </cell>
          <cell r="R28">
            <v>935.33134149823127</v>
          </cell>
          <cell r="S28" t="str">
            <v>X</v>
          </cell>
          <cell r="T28"/>
          <cell r="U28">
            <v>40092</v>
          </cell>
          <cell r="V28" t="str">
            <v>#REF!</v>
          </cell>
          <cell r="W28" t="str">
            <v>#REF!</v>
          </cell>
          <cell r="X28" t="str">
            <v>#REF!</v>
          </cell>
          <cell r="Y28" t="str">
            <v>#REF!</v>
          </cell>
          <cell r="Z28" t="str">
            <v>#REF!</v>
          </cell>
          <cell r="AA28" t="e">
            <v>#REF!</v>
          </cell>
          <cell r="AB28">
            <v>41027.132309301582</v>
          </cell>
          <cell r="AC28">
            <v>935.33134149823127</v>
          </cell>
          <cell r="AD28">
            <v>40092</v>
          </cell>
          <cell r="AE28"/>
          <cell r="AK28"/>
          <cell r="AL28">
            <v>84.19319999999999</v>
          </cell>
          <cell r="AM28">
            <v>84.19319999999999</v>
          </cell>
          <cell r="AN28">
            <v>35</v>
          </cell>
          <cell r="AQ28">
            <v>15677.83483</v>
          </cell>
          <cell r="AR28">
            <v>25349.297480000001</v>
          </cell>
        </row>
        <row r="29">
          <cell r="A29" t="str">
            <v>8160-01-129</v>
          </cell>
          <cell r="B29" t="str">
            <v>Shy Datika</v>
          </cell>
          <cell r="C29" t="str">
            <v>023942162</v>
          </cell>
          <cell r="D29" t="str">
            <v>#REF!</v>
          </cell>
          <cell r="E29"/>
          <cell r="F29" t="str">
            <v>שי דתיקה</v>
          </cell>
          <cell r="G29" t="str">
            <v>I</v>
          </cell>
          <cell r="H29"/>
          <cell r="I29">
            <v>500000</v>
          </cell>
          <cell r="J29">
            <v>6.8378553848835967E-3</v>
          </cell>
          <cell r="K29">
            <v>9353.3134149823127</v>
          </cell>
          <cell r="L29">
            <v>93214.517358271638</v>
          </cell>
          <cell r="M29">
            <v>102567.83077325395</v>
          </cell>
          <cell r="N29">
            <v>2338.3283537455782</v>
          </cell>
          <cell r="O29">
            <v>0</v>
          </cell>
          <cell r="P29">
            <v>0</v>
          </cell>
          <cell r="Q29">
            <v>2338.3283537455782</v>
          </cell>
          <cell r="R29">
            <v>2338.3283537455782</v>
          </cell>
          <cell r="S29" t="str">
            <v>X</v>
          </cell>
          <cell r="T29"/>
          <cell r="U29">
            <v>100230</v>
          </cell>
          <cell r="V29" t="str">
            <v>#REF!</v>
          </cell>
          <cell r="W29" t="str">
            <v>#REF!</v>
          </cell>
          <cell r="X29" t="str">
            <v>#REF!</v>
          </cell>
          <cell r="Y29" t="str">
            <v>#REF!</v>
          </cell>
          <cell r="Z29" t="str">
            <v>#REF!</v>
          </cell>
          <cell r="AA29" t="e">
            <v>#REF!</v>
          </cell>
          <cell r="AB29">
            <v>102567.83077325395</v>
          </cell>
          <cell r="AC29">
            <v>2338.3283537455782</v>
          </cell>
          <cell r="AD29">
            <v>100230</v>
          </cell>
          <cell r="AE29"/>
          <cell r="AK29"/>
          <cell r="AL29">
            <v>210.48299999999998</v>
          </cell>
          <cell r="AM29">
            <v>210.48299999999998</v>
          </cell>
          <cell r="AN29">
            <v>35</v>
          </cell>
          <cell r="AQ29">
            <v>39194.587070000001</v>
          </cell>
          <cell r="AR29">
            <v>63373.243710000002</v>
          </cell>
        </row>
        <row r="30">
          <cell r="A30" t="str">
            <v>8160-01-130</v>
          </cell>
          <cell r="B30" t="str">
            <v>Solog Industrial Buildings LTD</v>
          </cell>
          <cell r="C30">
            <v>512170234</v>
          </cell>
          <cell r="D30" t="str">
            <v>#REF!</v>
          </cell>
          <cell r="E30" t="str">
            <v>Solog Industrial Buildings LTD</v>
          </cell>
          <cell r="F30" t="str">
            <v>סולוג מבני תעשייה (1995) בע"מ</v>
          </cell>
          <cell r="G30" t="str">
            <v>I</v>
          </cell>
          <cell r="H30"/>
          <cell r="I30">
            <v>210014</v>
          </cell>
          <cell r="J30">
            <v>2.8720907216018875E-3</v>
          </cell>
          <cell r="K30">
            <v>3928.6535270681907</v>
          </cell>
          <cell r="L30">
            <v>39152.707296960121</v>
          </cell>
          <cell r="M30">
            <v>41360.360824028314</v>
          </cell>
          <cell r="N30"/>
          <cell r="O30">
            <v>0</v>
          </cell>
          <cell r="P30"/>
          <cell r="Q30"/>
          <cell r="R30">
            <v>0</v>
          </cell>
          <cell r="S30" t="str">
            <v>V</v>
          </cell>
          <cell r="T30">
            <v>0</v>
          </cell>
          <cell r="U30">
            <v>41360</v>
          </cell>
          <cell r="V30" t="str">
            <v>#REF!</v>
          </cell>
          <cell r="W30" t="str">
            <v>#REF!</v>
          </cell>
          <cell r="X30" t="str">
            <v>#REF!</v>
          </cell>
          <cell r="Y30" t="str">
            <v>#REF!</v>
          </cell>
          <cell r="Z30" t="str">
            <v>#REF!</v>
          </cell>
          <cell r="AA30" t="e">
            <v>#REF!</v>
          </cell>
          <cell r="AB30">
            <v>41360.360824028314</v>
          </cell>
          <cell r="AC30">
            <v>0</v>
          </cell>
          <cell r="AD30">
            <v>41360</v>
          </cell>
          <cell r="AE30"/>
          <cell r="AK30"/>
          <cell r="AL30">
            <v>86.855999999999995</v>
          </cell>
          <cell r="AM30">
            <v>86.855999999999995</v>
          </cell>
          <cell r="AN30">
            <v>35</v>
          </cell>
          <cell r="AQ30">
            <v>16462.82402</v>
          </cell>
          <cell r="AR30">
            <v>24897.536810000001</v>
          </cell>
        </row>
        <row r="31">
          <cell r="A31" t="str">
            <v>8160-01-131</v>
          </cell>
          <cell r="B31" t="str">
            <v>The Ehud Sol Company</v>
          </cell>
          <cell r="C31">
            <v>514299676</v>
          </cell>
          <cell r="D31" t="str">
            <v>#REF!</v>
          </cell>
          <cell r="E31" t="str">
            <v>The Ehud Sol Company</v>
          </cell>
          <cell r="F31" t="str">
            <v>חברת אהוד סול</v>
          </cell>
          <cell r="G31" t="str">
            <v>I</v>
          </cell>
          <cell r="H31"/>
          <cell r="I31">
            <v>250000</v>
          </cell>
          <cell r="J31">
            <v>3.4189276924417983E-3</v>
          </cell>
          <cell r="K31">
            <v>4676.6567074911563</v>
          </cell>
          <cell r="L31">
            <v>46607.258679135819</v>
          </cell>
          <cell r="M31">
            <v>51283.915386626977</v>
          </cell>
          <cell r="N31"/>
          <cell r="O31">
            <v>0</v>
          </cell>
          <cell r="P31"/>
          <cell r="Q31"/>
          <cell r="R31">
            <v>0</v>
          </cell>
          <cell r="S31" t="str">
            <v>V</v>
          </cell>
          <cell r="T31"/>
          <cell r="U31">
            <v>51284</v>
          </cell>
          <cell r="V31" t="str">
            <v>#REF!</v>
          </cell>
          <cell r="W31" t="str">
            <v>#REF!</v>
          </cell>
          <cell r="X31" t="str">
            <v>#REF!</v>
          </cell>
          <cell r="Y31" t="str">
            <v>#REF!</v>
          </cell>
          <cell r="Z31" t="str">
            <v>#REF!</v>
          </cell>
          <cell r="AA31" t="e">
            <v>#REF!</v>
          </cell>
          <cell r="AB31">
            <v>51283.915386626977</v>
          </cell>
          <cell r="AC31">
            <v>0</v>
          </cell>
          <cell r="AD31">
            <v>51284</v>
          </cell>
          <cell r="AE31"/>
          <cell r="AK31"/>
          <cell r="AL31">
            <v>107.6964</v>
          </cell>
          <cell r="AM31">
            <v>107.6964</v>
          </cell>
          <cell r="AN31">
            <v>35</v>
          </cell>
          <cell r="AQ31">
            <v>19597.293529999999</v>
          </cell>
          <cell r="AR31">
            <v>31686.62185</v>
          </cell>
        </row>
        <row r="32">
          <cell r="A32" t="str">
            <v>8160-01-132</v>
          </cell>
          <cell r="B32" t="str">
            <v>Anat (Shay) Loterbach</v>
          </cell>
          <cell r="C32" t="str">
            <v>057105652</v>
          </cell>
          <cell r="D32" t="str">
            <v>#REF!</v>
          </cell>
          <cell r="E32"/>
          <cell r="F32" t="str">
            <v>ענת לוטרבך</v>
          </cell>
          <cell r="G32" t="str">
            <v>I</v>
          </cell>
          <cell r="H32" t="str">
            <v>Phoenix</v>
          </cell>
          <cell r="I32">
            <v>250000</v>
          </cell>
          <cell r="J32">
            <v>3.4189276924417983E-3</v>
          </cell>
          <cell r="K32">
            <v>4676.6567074911563</v>
          </cell>
          <cell r="L32">
            <v>46607.258679135819</v>
          </cell>
          <cell r="M32">
            <v>51283.915386626977</v>
          </cell>
          <cell r="N32"/>
          <cell r="O32">
            <v>0</v>
          </cell>
          <cell r="P32"/>
          <cell r="Q32"/>
          <cell r="R32">
            <v>0</v>
          </cell>
          <cell r="S32" t="str">
            <v>IRA</v>
          </cell>
          <cell r="T32">
            <v>0</v>
          </cell>
          <cell r="U32">
            <v>51284</v>
          </cell>
          <cell r="V32" t="str">
            <v>#REF!</v>
          </cell>
          <cell r="W32" t="str">
            <v>#REF!</v>
          </cell>
          <cell r="X32" t="str">
            <v>#REF!</v>
          </cell>
          <cell r="Y32" t="str">
            <v>#REF!</v>
          </cell>
          <cell r="Z32" t="str">
            <v>#REF!</v>
          </cell>
          <cell r="AA32" t="e">
            <v>#REF!</v>
          </cell>
          <cell r="AB32">
            <v>51283.915386626977</v>
          </cell>
          <cell r="AC32">
            <v>0</v>
          </cell>
          <cell r="AD32">
            <v>51284</v>
          </cell>
          <cell r="AE32"/>
          <cell r="AK32"/>
          <cell r="AL32">
            <v>107.6964</v>
          </cell>
          <cell r="AM32">
            <v>107.6964</v>
          </cell>
          <cell r="AN32">
            <v>35</v>
          </cell>
          <cell r="AQ32">
            <v>19597.293529999999</v>
          </cell>
          <cell r="AR32">
            <v>31686.62185</v>
          </cell>
        </row>
        <row r="33">
          <cell r="A33" t="str">
            <v>8160-01-133</v>
          </cell>
          <cell r="B33" t="str">
            <v>Moshe Arkin</v>
          </cell>
          <cell r="C33" t="str">
            <v>051643062</v>
          </cell>
          <cell r="D33" t="str">
            <v>#REF!</v>
          </cell>
          <cell r="E33"/>
          <cell r="F33" t="str">
            <v>משה ארקין</v>
          </cell>
          <cell r="G33" t="str">
            <v>I</v>
          </cell>
          <cell r="H33" t="str">
            <v>Phoenix</v>
          </cell>
          <cell r="I33">
            <v>500000</v>
          </cell>
          <cell r="J33">
            <v>6.8378553848835967E-3</v>
          </cell>
          <cell r="K33">
            <v>9353.3134149823127</v>
          </cell>
          <cell r="L33">
            <v>93214.517358271638</v>
          </cell>
          <cell r="M33">
            <v>102567.83077325395</v>
          </cell>
          <cell r="N33"/>
          <cell r="O33">
            <v>0</v>
          </cell>
          <cell r="P33"/>
          <cell r="Q33"/>
          <cell r="R33">
            <v>0</v>
          </cell>
          <cell r="S33" t="str">
            <v>IRA</v>
          </cell>
          <cell r="T33">
            <v>0</v>
          </cell>
          <cell r="U33">
            <v>102568</v>
          </cell>
          <cell r="V33" t="str">
            <v>#REF!</v>
          </cell>
          <cell r="W33" t="str">
            <v>#REF!</v>
          </cell>
          <cell r="X33" t="str">
            <v>#REF!</v>
          </cell>
          <cell r="Y33" t="str">
            <v>#REF!</v>
          </cell>
          <cell r="Z33" t="str">
            <v>#REF!</v>
          </cell>
          <cell r="AA33" t="e">
            <v>#REF!</v>
          </cell>
          <cell r="AB33">
            <v>102567.83077325395</v>
          </cell>
          <cell r="AC33">
            <v>0</v>
          </cell>
          <cell r="AD33">
            <v>102568</v>
          </cell>
          <cell r="AE33"/>
          <cell r="AK33"/>
          <cell r="AL33">
            <v>215.39279999999999</v>
          </cell>
          <cell r="AM33">
            <v>215.39279999999999</v>
          </cell>
          <cell r="AN33">
            <v>35</v>
          </cell>
          <cell r="AQ33">
            <v>39194.587070000001</v>
          </cell>
          <cell r="AR33">
            <v>63373.243710000002</v>
          </cell>
        </row>
        <row r="34">
          <cell r="A34" t="str">
            <v>8160-01-134</v>
          </cell>
          <cell r="B34" t="str">
            <v>Yaron Sorek Holdings</v>
          </cell>
          <cell r="C34">
            <v>512875113</v>
          </cell>
          <cell r="D34" t="str">
            <v>#REF!</v>
          </cell>
          <cell r="E34" t="str">
            <v>Yaron Sorek Holdings</v>
          </cell>
          <cell r="F34" t="str">
            <v>ירון שורק החזקות</v>
          </cell>
          <cell r="G34" t="str">
            <v>I</v>
          </cell>
          <cell r="H34"/>
          <cell r="I34">
            <v>250000</v>
          </cell>
          <cell r="J34">
            <v>3.4189276924417983E-3</v>
          </cell>
          <cell r="K34">
            <v>4676.6567074911563</v>
          </cell>
          <cell r="L34">
            <v>46607.258679135819</v>
          </cell>
          <cell r="M34">
            <v>51283.915386626977</v>
          </cell>
          <cell r="N34"/>
          <cell r="O34">
            <v>0</v>
          </cell>
          <cell r="P34"/>
          <cell r="Q34"/>
          <cell r="R34">
            <v>0</v>
          </cell>
          <cell r="S34" t="str">
            <v>V</v>
          </cell>
          <cell r="T34">
            <v>0</v>
          </cell>
          <cell r="U34">
            <v>51284</v>
          </cell>
          <cell r="V34" t="str">
            <v>#REF!</v>
          </cell>
          <cell r="W34" t="str">
            <v>#REF!</v>
          </cell>
          <cell r="X34" t="str">
            <v>#REF!</v>
          </cell>
          <cell r="Y34" t="str">
            <v>#REF!</v>
          </cell>
          <cell r="Z34" t="str">
            <v>#REF!</v>
          </cell>
          <cell r="AA34" t="e">
            <v>#REF!</v>
          </cell>
          <cell r="AB34">
            <v>51283.915386626977</v>
          </cell>
          <cell r="AC34">
            <v>0</v>
          </cell>
          <cell r="AD34">
            <v>51284</v>
          </cell>
          <cell r="AE34"/>
          <cell r="AK34"/>
          <cell r="AL34">
            <v>107.6964</v>
          </cell>
          <cell r="AM34">
            <v>107.6964</v>
          </cell>
          <cell r="AN34">
            <v>35</v>
          </cell>
          <cell r="AQ34">
            <v>19597.293529999999</v>
          </cell>
          <cell r="AR34">
            <v>31686.62185</v>
          </cell>
        </row>
        <row r="35">
          <cell r="A35" t="str">
            <v>8160-01-135</v>
          </cell>
          <cell r="B35" t="str">
            <v>Zafrir Engineers Ltd</v>
          </cell>
          <cell r="C35">
            <v>520042367</v>
          </cell>
          <cell r="D35" t="str">
            <v>#REF!</v>
          </cell>
          <cell r="E35" t="str">
            <v>Zafrir Engineers Ltd</v>
          </cell>
          <cell r="F35" t="str">
            <v>צפריר מהנדסים בע"מ</v>
          </cell>
          <cell r="G35" t="str">
            <v>I</v>
          </cell>
          <cell r="H35"/>
          <cell r="I35">
            <v>250000</v>
          </cell>
          <cell r="J35">
            <v>3.4189276924417983E-3</v>
          </cell>
          <cell r="K35">
            <v>4676.6567074911563</v>
          </cell>
          <cell r="L35">
            <v>46607.258679135819</v>
          </cell>
          <cell r="M35">
            <v>51283.915386626977</v>
          </cell>
          <cell r="N35"/>
          <cell r="O35">
            <v>0</v>
          </cell>
          <cell r="P35"/>
          <cell r="Q35"/>
          <cell r="R35">
            <v>0</v>
          </cell>
          <cell r="S35" t="str">
            <v>V</v>
          </cell>
          <cell r="T35">
            <v>0</v>
          </cell>
          <cell r="U35">
            <v>51284</v>
          </cell>
          <cell r="V35" t="str">
            <v>#REF!</v>
          </cell>
          <cell r="W35" t="str">
            <v>#REF!</v>
          </cell>
          <cell r="X35" t="str">
            <v>#REF!</v>
          </cell>
          <cell r="Y35" t="str">
            <v>#REF!</v>
          </cell>
          <cell r="Z35" t="str">
            <v>#REF!</v>
          </cell>
          <cell r="AA35" t="e">
            <v>#REF!</v>
          </cell>
          <cell r="AB35">
            <v>51283.915386626977</v>
          </cell>
          <cell r="AC35">
            <v>0</v>
          </cell>
          <cell r="AD35">
            <v>51284</v>
          </cell>
          <cell r="AE35"/>
          <cell r="AK35"/>
          <cell r="AL35">
            <v>107.6964</v>
          </cell>
          <cell r="AM35">
            <v>107.6964</v>
          </cell>
          <cell r="AN35">
            <v>35</v>
          </cell>
          <cell r="AQ35">
            <v>19597.293529999999</v>
          </cell>
          <cell r="AR35">
            <v>31686.62185</v>
          </cell>
        </row>
        <row r="36">
          <cell r="A36" t="str">
            <v>8160-01-136</v>
          </cell>
          <cell r="B36" t="str">
            <v>Zvi V &amp; Co Company</v>
          </cell>
          <cell r="C36">
            <v>512715970</v>
          </cell>
          <cell r="D36" t="str">
            <v>#REF!</v>
          </cell>
          <cell r="E36" t="str">
            <v>Zvi V &amp; Co Company</v>
          </cell>
          <cell r="F36" t="str">
            <v>חברת צבי ו. ושות' בע"מ</v>
          </cell>
          <cell r="G36" t="str">
            <v>I</v>
          </cell>
          <cell r="H36"/>
          <cell r="I36">
            <v>500000</v>
          </cell>
          <cell r="J36">
            <v>6.8378553848835967E-3</v>
          </cell>
          <cell r="K36">
            <v>9353.3134149823127</v>
          </cell>
          <cell r="L36">
            <v>93214.517358271638</v>
          </cell>
          <cell r="M36">
            <v>102567.83077325395</v>
          </cell>
          <cell r="N36"/>
          <cell r="O36">
            <v>0</v>
          </cell>
          <cell r="P36"/>
          <cell r="Q36"/>
          <cell r="R36">
            <v>0</v>
          </cell>
          <cell r="S36" t="str">
            <v>V</v>
          </cell>
          <cell r="T36">
            <v>0</v>
          </cell>
          <cell r="U36">
            <v>102568</v>
          </cell>
          <cell r="V36" t="str">
            <v>#REF!</v>
          </cell>
          <cell r="W36" t="str">
            <v>#REF!</v>
          </cell>
          <cell r="X36" t="str">
            <v>#REF!</v>
          </cell>
          <cell r="Y36" t="str">
            <v>#REF!</v>
          </cell>
          <cell r="Z36" t="str">
            <v>#REF!</v>
          </cell>
          <cell r="AA36" t="e">
            <v>#REF!</v>
          </cell>
          <cell r="AB36">
            <v>102567.83077325395</v>
          </cell>
          <cell r="AC36">
            <v>0</v>
          </cell>
          <cell r="AD36">
            <v>102568</v>
          </cell>
          <cell r="AE36"/>
          <cell r="AK36"/>
          <cell r="AL36">
            <v>215.39279999999999</v>
          </cell>
          <cell r="AM36">
            <v>215.39279999999999</v>
          </cell>
          <cell r="AN36">
            <v>35</v>
          </cell>
          <cell r="AQ36">
            <v>39194.587070000001</v>
          </cell>
          <cell r="AR36">
            <v>63373.243710000002</v>
          </cell>
        </row>
        <row r="37">
          <cell r="A37" t="str">
            <v>8160-01-137</v>
          </cell>
          <cell r="B37" t="str">
            <v>ADIPAZ Israel Gold Jewllery LTD</v>
          </cell>
          <cell r="C37">
            <v>510606643</v>
          </cell>
          <cell r="D37" t="str">
            <v>#REF!</v>
          </cell>
          <cell r="E37" t="str">
            <v>ADIPAZ Israel Gold Jewllery LTD</v>
          </cell>
          <cell r="F37" t="str">
            <v>עדיפז תכשיטי זהב בישראל בע"מ</v>
          </cell>
          <cell r="G37" t="str">
            <v>I</v>
          </cell>
          <cell r="H37"/>
          <cell r="I37">
            <v>500000</v>
          </cell>
          <cell r="J37">
            <v>6.8378553848835967E-3</v>
          </cell>
          <cell r="K37">
            <v>9353.3134149823127</v>
          </cell>
          <cell r="L37">
            <v>93214.517358271638</v>
          </cell>
          <cell r="M37">
            <v>102567.83077325395</v>
          </cell>
          <cell r="N37"/>
          <cell r="O37">
            <v>0</v>
          </cell>
          <cell r="P37"/>
          <cell r="Q37"/>
          <cell r="R37">
            <v>0</v>
          </cell>
          <cell r="S37" t="str">
            <v>V</v>
          </cell>
          <cell r="T37">
            <v>0</v>
          </cell>
          <cell r="U37">
            <v>102568</v>
          </cell>
          <cell r="V37" t="str">
            <v>#REF!</v>
          </cell>
          <cell r="W37" t="str">
            <v>#REF!</v>
          </cell>
          <cell r="X37" t="str">
            <v>#REF!</v>
          </cell>
          <cell r="Y37" t="str">
            <v>#REF!</v>
          </cell>
          <cell r="Z37" t="str">
            <v>#REF!</v>
          </cell>
          <cell r="AA37" t="e">
            <v>#REF!</v>
          </cell>
          <cell r="AB37">
            <v>102567.83077325395</v>
          </cell>
          <cell r="AC37">
            <v>0</v>
          </cell>
          <cell r="AD37">
            <v>102568</v>
          </cell>
          <cell r="AE37"/>
          <cell r="AK37"/>
          <cell r="AL37">
            <v>215.39279999999999</v>
          </cell>
          <cell r="AM37">
            <v>215.39279999999999</v>
          </cell>
          <cell r="AN37">
            <v>35</v>
          </cell>
          <cell r="AQ37">
            <v>39194.587070000001</v>
          </cell>
          <cell r="AR37">
            <v>63373.243710000002</v>
          </cell>
        </row>
        <row r="38">
          <cell r="A38" t="str">
            <v>8160-01-138</v>
          </cell>
          <cell r="B38" t="str">
            <v>E. Itzhaki Building &amp; Investments Co. Ltd</v>
          </cell>
          <cell r="C38" t="str">
            <v>510-063-647</v>
          </cell>
          <cell r="D38" t="str">
            <v>#REF!</v>
          </cell>
          <cell r="E38" t="str">
            <v>E. Itzhaki Building &amp; Investments Co. Ltd</v>
          </cell>
          <cell r="F38" t="str">
            <v>א יצחקי חברה לבנין והשקעות בע"מ</v>
          </cell>
          <cell r="G38" t="str">
            <v>I</v>
          </cell>
          <cell r="H38"/>
          <cell r="I38">
            <v>500000</v>
          </cell>
          <cell r="J38">
            <v>6.8378553848835967E-3</v>
          </cell>
          <cell r="K38">
            <v>9353.3134149823127</v>
          </cell>
          <cell r="L38">
            <v>93214.517358271638</v>
          </cell>
          <cell r="M38">
            <v>102567.83077325395</v>
          </cell>
          <cell r="N38"/>
          <cell r="O38">
            <v>0</v>
          </cell>
          <cell r="P38"/>
          <cell r="Q38"/>
          <cell r="R38">
            <v>0</v>
          </cell>
          <cell r="S38" t="str">
            <v>V</v>
          </cell>
          <cell r="T38">
            <v>0</v>
          </cell>
          <cell r="U38">
            <v>102568</v>
          </cell>
          <cell r="V38" t="str">
            <v>#REF!</v>
          </cell>
          <cell r="W38" t="str">
            <v>#REF!</v>
          </cell>
          <cell r="X38" t="str">
            <v>#REF!</v>
          </cell>
          <cell r="Y38" t="str">
            <v>#REF!</v>
          </cell>
          <cell r="Z38" t="str">
            <v>#REF!</v>
          </cell>
          <cell r="AA38" t="e">
            <v>#REF!</v>
          </cell>
          <cell r="AB38">
            <v>102567.83077325395</v>
          </cell>
          <cell r="AC38">
            <v>0</v>
          </cell>
          <cell r="AD38">
            <v>102568</v>
          </cell>
          <cell r="AE38"/>
          <cell r="AK38"/>
          <cell r="AL38">
            <v>215.39279999999999</v>
          </cell>
          <cell r="AM38">
            <v>215.39279999999999</v>
          </cell>
          <cell r="AN38">
            <v>35</v>
          </cell>
          <cell r="AQ38">
            <v>39194.587070000001</v>
          </cell>
          <cell r="AR38">
            <v>63373.243710000002</v>
          </cell>
        </row>
        <row r="39">
          <cell r="A39" t="str">
            <v>8160-01-139</v>
          </cell>
          <cell r="B39" t="str">
            <v>Tamar Marash</v>
          </cell>
          <cell r="C39" t="str">
            <v>UTR 5882338352</v>
          </cell>
          <cell r="D39" t="str">
            <v>#REF!</v>
          </cell>
          <cell r="E39"/>
          <cell r="F39" t="str">
            <v>תמר מרש</v>
          </cell>
          <cell r="G39" t="str">
            <v>I</v>
          </cell>
          <cell r="H39"/>
          <cell r="I39">
            <v>400000</v>
          </cell>
          <cell r="J39">
            <v>5.4702843079068777E-3</v>
          </cell>
          <cell r="K39">
            <v>7482.6507319858501</v>
          </cell>
          <cell r="L39">
            <v>74571.613886617313</v>
          </cell>
          <cell r="M39">
            <v>82054.264618603163</v>
          </cell>
          <cell r="N39">
            <v>1870.6626829964625</v>
          </cell>
          <cell r="O39">
            <v>0</v>
          </cell>
          <cell r="P39">
            <v>0</v>
          </cell>
          <cell r="Q39">
            <v>1870.6626829964625</v>
          </cell>
          <cell r="R39">
            <v>1870.6626829964625</v>
          </cell>
          <cell r="S39" t="str">
            <v>X</v>
          </cell>
          <cell r="T39"/>
          <cell r="U39">
            <v>80184</v>
          </cell>
          <cell r="V39" t="str">
            <v>#REF!</v>
          </cell>
          <cell r="W39" t="str">
            <v>#REF!</v>
          </cell>
          <cell r="X39" t="str">
            <v>#REF!</v>
          </cell>
          <cell r="Y39" t="str">
            <v>#REF!</v>
          </cell>
          <cell r="Z39" t="str">
            <v>#REF!</v>
          </cell>
          <cell r="AA39" t="e">
            <v>#REF!</v>
          </cell>
          <cell r="AB39">
            <v>82054.264618603163</v>
          </cell>
          <cell r="AC39">
            <v>1870.6626829964625</v>
          </cell>
          <cell r="AD39">
            <v>80184</v>
          </cell>
          <cell r="AE39"/>
          <cell r="AK39"/>
          <cell r="AL39">
            <v>168.38639999999998</v>
          </cell>
          <cell r="AM39">
            <v>168.38639999999998</v>
          </cell>
          <cell r="AN39">
            <v>35</v>
          </cell>
          <cell r="AQ39">
            <v>31355.66965</v>
          </cell>
          <cell r="AR39">
            <v>50698.594969999998</v>
          </cell>
        </row>
        <row r="40">
          <cell r="A40" t="str">
            <v>8160-01-140</v>
          </cell>
          <cell r="B40" t="str">
            <v>DO-TSACH LTD</v>
          </cell>
          <cell r="C40">
            <v>513229104</v>
          </cell>
          <cell r="D40" t="str">
            <v>#REF!</v>
          </cell>
          <cell r="E40" t="str">
            <v>DO-TSACH LTD</v>
          </cell>
          <cell r="F40" t="str">
            <v>דו - צח בע"מ</v>
          </cell>
          <cell r="G40" t="str">
            <v>I</v>
          </cell>
          <cell r="H40"/>
          <cell r="I40">
            <v>250000</v>
          </cell>
          <cell r="J40">
            <v>3.4189276924417983E-3</v>
          </cell>
          <cell r="K40">
            <v>4676.6567074911563</v>
          </cell>
          <cell r="L40">
            <v>46607.258679135819</v>
          </cell>
          <cell r="M40">
            <v>51283.915386626977</v>
          </cell>
          <cell r="N40"/>
          <cell r="O40">
            <v>0</v>
          </cell>
          <cell r="P40"/>
          <cell r="Q40"/>
          <cell r="R40">
            <v>0</v>
          </cell>
          <cell r="S40" t="str">
            <v>V</v>
          </cell>
          <cell r="T40">
            <v>0</v>
          </cell>
          <cell r="U40">
            <v>51284</v>
          </cell>
          <cell r="V40" t="str">
            <v>#REF!</v>
          </cell>
          <cell r="W40" t="str">
            <v>#REF!</v>
          </cell>
          <cell r="X40" t="str">
            <v>#REF!</v>
          </cell>
          <cell r="Y40" t="str">
            <v>#REF!</v>
          </cell>
          <cell r="Z40" t="str">
            <v>#REF!</v>
          </cell>
          <cell r="AA40" t="e">
            <v>#REF!</v>
          </cell>
          <cell r="AB40">
            <v>51283.915386626977</v>
          </cell>
          <cell r="AC40">
            <v>0</v>
          </cell>
          <cell r="AD40">
            <v>51284</v>
          </cell>
          <cell r="AE40"/>
          <cell r="AK40"/>
          <cell r="AL40">
            <v>107.6964</v>
          </cell>
          <cell r="AM40">
            <v>107.6964</v>
          </cell>
          <cell r="AN40">
            <v>35</v>
          </cell>
          <cell r="AQ40">
            <v>19597.293529999999</v>
          </cell>
          <cell r="AR40">
            <v>31686.62185</v>
          </cell>
        </row>
        <row r="41">
          <cell r="A41" t="str">
            <v>8160-01-141</v>
          </cell>
          <cell r="B41" t="str">
            <v>Zohar Rapaport</v>
          </cell>
          <cell r="C41" t="str">
            <v>024945867</v>
          </cell>
          <cell r="D41" t="str">
            <v>#REF!</v>
          </cell>
          <cell r="E41"/>
          <cell r="F41" t="str">
            <v>זוהר רפפורט</v>
          </cell>
          <cell r="G41" t="str">
            <v>I</v>
          </cell>
          <cell r="H41"/>
          <cell r="I41">
            <v>300000</v>
          </cell>
          <cell r="J41">
            <v>4.1027132309301578E-3</v>
          </cell>
          <cell r="K41">
            <v>5611.9880489893867</v>
          </cell>
          <cell r="L41">
            <v>55928.710414962974</v>
          </cell>
          <cell r="M41">
            <v>61540.698463952358</v>
          </cell>
          <cell r="N41">
            <v>1402.9970122473467</v>
          </cell>
          <cell r="O41">
            <v>0</v>
          </cell>
          <cell r="P41">
            <v>0</v>
          </cell>
          <cell r="Q41">
            <v>1402.9970122473467</v>
          </cell>
          <cell r="R41">
            <v>1402.9970122473467</v>
          </cell>
          <cell r="S41" t="str">
            <v>X</v>
          </cell>
          <cell r="T41"/>
          <cell r="U41">
            <v>60138</v>
          </cell>
          <cell r="V41" t="str">
            <v>#REF!</v>
          </cell>
          <cell r="W41" t="str">
            <v>#REF!</v>
          </cell>
          <cell r="X41" t="str">
            <v>#REF!</v>
          </cell>
          <cell r="Y41" t="str">
            <v>#REF!</v>
          </cell>
          <cell r="Z41" t="str">
            <v>#REF!</v>
          </cell>
          <cell r="AA41" t="e">
            <v>#REF!</v>
          </cell>
          <cell r="AB41">
            <v>61540.698463952358</v>
          </cell>
          <cell r="AC41">
            <v>1402.9970122473467</v>
          </cell>
          <cell r="AD41">
            <v>60138</v>
          </cell>
          <cell r="AE41"/>
          <cell r="AK41"/>
          <cell r="AL41">
            <v>126.28979999999999</v>
          </cell>
          <cell r="AM41">
            <v>126.28979999999999</v>
          </cell>
          <cell r="AN41">
            <v>35</v>
          </cell>
          <cell r="AQ41">
            <v>23516.752240000002</v>
          </cell>
          <cell r="AR41">
            <v>38023.946219999998</v>
          </cell>
        </row>
        <row r="42">
          <cell r="A42" t="str">
            <v>8160-01-142</v>
          </cell>
          <cell r="B42" t="str">
            <v>Shmuel Bezalel</v>
          </cell>
          <cell r="C42" t="str">
            <v>032170169</v>
          </cell>
          <cell r="D42" t="str">
            <v>#REF!</v>
          </cell>
          <cell r="E42"/>
          <cell r="F42" t="str">
            <v>שמואל בצלאל</v>
          </cell>
          <cell r="G42" t="str">
            <v>I</v>
          </cell>
          <cell r="H42"/>
          <cell r="I42">
            <v>250000</v>
          </cell>
          <cell r="J42">
            <v>3.4189276924417983E-3</v>
          </cell>
          <cell r="K42">
            <v>4676.6567074911563</v>
          </cell>
          <cell r="L42">
            <v>46607.258679135819</v>
          </cell>
          <cell r="M42">
            <v>51283.915386626977</v>
          </cell>
          <cell r="N42">
            <v>1169.1641768727891</v>
          </cell>
          <cell r="O42">
            <v>0</v>
          </cell>
          <cell r="P42">
            <v>0</v>
          </cell>
          <cell r="Q42">
            <v>1169.1641768727891</v>
          </cell>
          <cell r="R42">
            <v>1169.1641768727891</v>
          </cell>
          <cell r="S42" t="str">
            <v>X</v>
          </cell>
          <cell r="T42"/>
          <cell r="U42">
            <v>50115</v>
          </cell>
          <cell r="V42" t="str">
            <v>#REF!</v>
          </cell>
          <cell r="W42" t="str">
            <v>#REF!</v>
          </cell>
          <cell r="X42" t="str">
            <v>#REF!</v>
          </cell>
          <cell r="Y42" t="str">
            <v>#REF!</v>
          </cell>
          <cell r="Z42" t="str">
            <v>#REF!</v>
          </cell>
          <cell r="AA42" t="e">
            <v>#REF!</v>
          </cell>
          <cell r="AB42">
            <v>51283.915386626977</v>
          </cell>
          <cell r="AC42">
            <v>1169.1641768727891</v>
          </cell>
          <cell r="AD42">
            <v>50115</v>
          </cell>
          <cell r="AE42"/>
          <cell r="AK42"/>
          <cell r="AL42">
            <v>105.24149999999999</v>
          </cell>
          <cell r="AM42">
            <v>105.24149999999999</v>
          </cell>
          <cell r="AN42">
            <v>35</v>
          </cell>
          <cell r="AQ42">
            <v>19597.293529999999</v>
          </cell>
          <cell r="AR42">
            <v>31686.62185</v>
          </cell>
        </row>
        <row r="43">
          <cell r="A43" t="str">
            <v>8160-01-143</v>
          </cell>
          <cell r="B43" t="str">
            <v>Yosi Buena</v>
          </cell>
          <cell r="C43" t="str">
            <v>030582126</v>
          </cell>
          <cell r="D43" t="str">
            <v>#REF!</v>
          </cell>
          <cell r="E43"/>
          <cell r="F43" t="str">
            <v>יוסף בואנו</v>
          </cell>
          <cell r="G43" t="str">
            <v>I</v>
          </cell>
          <cell r="H43" t="str">
            <v>Phoenix</v>
          </cell>
          <cell r="I43">
            <v>330000</v>
          </cell>
          <cell r="J43">
            <v>4.512984554023174E-3</v>
          </cell>
          <cell r="K43">
            <v>6173.1868538883264</v>
          </cell>
          <cell r="L43">
            <v>61521.58145645928</v>
          </cell>
          <cell r="M43">
            <v>67694.768310347601</v>
          </cell>
          <cell r="N43"/>
          <cell r="O43">
            <v>0</v>
          </cell>
          <cell r="P43"/>
          <cell r="Q43"/>
          <cell r="R43">
            <v>0</v>
          </cell>
          <cell r="S43" t="str">
            <v>IRA</v>
          </cell>
          <cell r="T43">
            <v>0</v>
          </cell>
          <cell r="U43">
            <v>67695</v>
          </cell>
          <cell r="V43" t="str">
            <v>#REF!</v>
          </cell>
          <cell r="W43" t="str">
            <v>#REF!</v>
          </cell>
          <cell r="X43" t="str">
            <v>#REF!</v>
          </cell>
          <cell r="Y43" t="str">
            <v>#REF!</v>
          </cell>
          <cell r="Z43" t="str">
            <v>#REF!</v>
          </cell>
          <cell r="AA43" t="e">
            <v>#REF!</v>
          </cell>
          <cell r="AB43">
            <v>67694.768310347601</v>
          </cell>
          <cell r="AC43">
            <v>0</v>
          </cell>
          <cell r="AD43">
            <v>67695</v>
          </cell>
          <cell r="AE43"/>
          <cell r="AK43"/>
          <cell r="AL43">
            <v>142.15949999999998</v>
          </cell>
          <cell r="AM43">
            <v>142.15949999999998</v>
          </cell>
          <cell r="AN43">
            <v>35</v>
          </cell>
          <cell r="AQ43">
            <v>25868.427459999999</v>
          </cell>
          <cell r="AR43">
            <v>41826.340850000001</v>
          </cell>
        </row>
        <row r="44">
          <cell r="A44" t="str">
            <v>8160-01-144</v>
          </cell>
          <cell r="B44" t="str">
            <v>Avi Barman</v>
          </cell>
          <cell r="C44" t="str">
            <v>055588800</v>
          </cell>
          <cell r="D44" t="str">
            <v>#REF!</v>
          </cell>
          <cell r="E44"/>
          <cell r="F44" t="str">
            <v>אברהם ברמן</v>
          </cell>
          <cell r="G44" t="str">
            <v>I</v>
          </cell>
          <cell r="H44" t="str">
            <v>Meitav</v>
          </cell>
          <cell r="I44">
            <v>250000</v>
          </cell>
          <cell r="J44">
            <v>3.4189276924417983E-3</v>
          </cell>
          <cell r="K44">
            <v>4676.6567074911563</v>
          </cell>
          <cell r="L44">
            <v>46607.258679135819</v>
          </cell>
          <cell r="M44">
            <v>51283.915386626977</v>
          </cell>
          <cell r="N44"/>
          <cell r="O44">
            <v>0</v>
          </cell>
          <cell r="P44"/>
          <cell r="Q44"/>
          <cell r="R44">
            <v>0</v>
          </cell>
          <cell r="S44" t="str">
            <v>IRA</v>
          </cell>
          <cell r="T44">
            <v>0</v>
          </cell>
          <cell r="U44">
            <v>51284</v>
          </cell>
          <cell r="V44" t="str">
            <v>#REF!</v>
          </cell>
          <cell r="W44" t="str">
            <v>#REF!</v>
          </cell>
          <cell r="X44" t="str">
            <v>#REF!</v>
          </cell>
          <cell r="Y44" t="str">
            <v>#REF!</v>
          </cell>
          <cell r="Z44" t="str">
            <v>#REF!</v>
          </cell>
          <cell r="AA44" t="e">
            <v>#REF!</v>
          </cell>
          <cell r="AB44">
            <v>51283.915386626977</v>
          </cell>
          <cell r="AC44">
            <v>0</v>
          </cell>
          <cell r="AD44">
            <v>51284</v>
          </cell>
          <cell r="AE44"/>
          <cell r="AK44"/>
          <cell r="AL44">
            <v>107.6964</v>
          </cell>
          <cell r="AM44">
            <v>107.6964</v>
          </cell>
          <cell r="AN44">
            <v>35</v>
          </cell>
          <cell r="AQ44">
            <v>19597.293529999999</v>
          </cell>
          <cell r="AR44">
            <v>31686.62185</v>
          </cell>
        </row>
        <row r="45">
          <cell r="A45" t="str">
            <v>8160-01-145</v>
          </cell>
          <cell r="B45" t="str">
            <v>Avigur Zmora</v>
          </cell>
          <cell r="C45" t="str">
            <v>025371055</v>
          </cell>
          <cell r="D45" t="str">
            <v>#REF!</v>
          </cell>
          <cell r="E45"/>
          <cell r="F45" t="str">
            <v>אביגור זמורה</v>
          </cell>
          <cell r="G45" t="str">
            <v>I</v>
          </cell>
          <cell r="H45" t="str">
            <v>Meitav</v>
          </cell>
          <cell r="I45">
            <v>283718</v>
          </cell>
          <cell r="J45">
            <v>3.8800453081768087E-3</v>
          </cell>
          <cell r="K45">
            <v>5307.4067509439037</v>
          </cell>
          <cell r="L45">
            <v>52893.272871708221</v>
          </cell>
          <cell r="M45">
            <v>58200.679622652126</v>
          </cell>
          <cell r="N45"/>
          <cell r="O45">
            <v>0</v>
          </cell>
          <cell r="P45"/>
          <cell r="Q45"/>
          <cell r="R45">
            <v>0</v>
          </cell>
          <cell r="S45" t="str">
            <v>IRA</v>
          </cell>
          <cell r="T45">
            <v>0</v>
          </cell>
          <cell r="U45">
            <v>58201</v>
          </cell>
          <cell r="V45" t="str">
            <v>#REF!</v>
          </cell>
          <cell r="W45" t="str">
            <v>#REF!</v>
          </cell>
          <cell r="X45" t="str">
            <v>#REF!</v>
          </cell>
          <cell r="Y45" t="str">
            <v>#REF!</v>
          </cell>
          <cell r="Z45" t="str">
            <v>#REF!</v>
          </cell>
          <cell r="AA45" t="e">
            <v>#REF!</v>
          </cell>
          <cell r="AB45">
            <v>58200.679622652126</v>
          </cell>
          <cell r="AC45">
            <v>0</v>
          </cell>
          <cell r="AD45">
            <v>58201</v>
          </cell>
          <cell r="AE45"/>
          <cell r="AK45"/>
          <cell r="AL45">
            <v>122.2221</v>
          </cell>
          <cell r="AM45">
            <v>122.2221</v>
          </cell>
          <cell r="AN45">
            <v>35</v>
          </cell>
          <cell r="AQ45">
            <v>22240.419709999998</v>
          </cell>
          <cell r="AR45">
            <v>35960.259919999997</v>
          </cell>
        </row>
        <row r="46">
          <cell r="A46" t="str">
            <v>8160-01-146</v>
          </cell>
          <cell r="B46" t="str">
            <v>Danielle Porat</v>
          </cell>
          <cell r="C46" t="str">
            <v>050468131</v>
          </cell>
          <cell r="D46" t="str">
            <v>#REF!</v>
          </cell>
          <cell r="E46"/>
          <cell r="F46" t="str">
            <v>דניאל פורת</v>
          </cell>
          <cell r="G46" t="str">
            <v>I</v>
          </cell>
          <cell r="H46" t="str">
            <v>Meitav</v>
          </cell>
          <cell r="I46">
            <v>250000</v>
          </cell>
          <cell r="J46">
            <v>3.4189276924417983E-3</v>
          </cell>
          <cell r="K46">
            <v>4676.6567074911563</v>
          </cell>
          <cell r="L46">
            <v>46607.258679135819</v>
          </cell>
          <cell r="M46">
            <v>51283.915386626977</v>
          </cell>
          <cell r="N46"/>
          <cell r="O46">
            <v>0</v>
          </cell>
          <cell r="P46"/>
          <cell r="Q46"/>
          <cell r="R46">
            <v>0</v>
          </cell>
          <cell r="S46" t="str">
            <v>IRA</v>
          </cell>
          <cell r="T46">
            <v>0</v>
          </cell>
          <cell r="U46">
            <v>51284</v>
          </cell>
          <cell r="V46" t="str">
            <v>#REF!</v>
          </cell>
          <cell r="W46" t="str">
            <v>#REF!</v>
          </cell>
          <cell r="X46" t="str">
            <v>#REF!</v>
          </cell>
          <cell r="Y46" t="str">
            <v>#REF!</v>
          </cell>
          <cell r="Z46" t="str">
            <v>#REF!</v>
          </cell>
          <cell r="AA46" t="e">
            <v>#REF!</v>
          </cell>
          <cell r="AB46">
            <v>51283.915386626977</v>
          </cell>
          <cell r="AC46">
            <v>0</v>
          </cell>
          <cell r="AD46">
            <v>51284</v>
          </cell>
          <cell r="AE46"/>
          <cell r="AK46"/>
          <cell r="AL46">
            <v>107.6964</v>
          </cell>
          <cell r="AM46">
            <v>107.6964</v>
          </cell>
          <cell r="AN46">
            <v>35</v>
          </cell>
          <cell r="AQ46">
            <v>19597.293529999999</v>
          </cell>
          <cell r="AR46">
            <v>31686.62185</v>
          </cell>
        </row>
        <row r="47">
          <cell r="A47" t="str">
            <v>8160-01-147</v>
          </cell>
          <cell r="B47" t="str">
            <v>Ilan Raviv</v>
          </cell>
          <cell r="C47" t="str">
            <v>068493931</v>
          </cell>
          <cell r="D47" t="str">
            <v>#REF!</v>
          </cell>
          <cell r="E47"/>
          <cell r="F47" t="str">
            <v>אילן רביב</v>
          </cell>
          <cell r="G47" t="str">
            <v>I</v>
          </cell>
          <cell r="H47" t="str">
            <v>Meitav</v>
          </cell>
          <cell r="I47">
            <v>320000</v>
          </cell>
          <cell r="J47">
            <v>4.3762274463255016E-3</v>
          </cell>
          <cell r="K47">
            <v>5986.1205855886792</v>
          </cell>
          <cell r="L47">
            <v>59657.291109293838</v>
          </cell>
          <cell r="M47">
            <v>65643.41169488251</v>
          </cell>
          <cell r="N47"/>
          <cell r="O47">
            <v>0</v>
          </cell>
          <cell r="P47"/>
          <cell r="Q47"/>
          <cell r="R47">
            <v>0</v>
          </cell>
          <cell r="S47" t="str">
            <v>IRA</v>
          </cell>
          <cell r="T47">
            <v>0</v>
          </cell>
          <cell r="U47">
            <v>65643</v>
          </cell>
          <cell r="V47" t="str">
            <v>#REF!</v>
          </cell>
          <cell r="W47" t="str">
            <v>#REF!</v>
          </cell>
          <cell r="X47" t="str">
            <v>#REF!</v>
          </cell>
          <cell r="Y47" t="str">
            <v>#REF!</v>
          </cell>
          <cell r="Z47" t="str">
            <v>#REF!</v>
          </cell>
          <cell r="AA47" t="e">
            <v>#REF!</v>
          </cell>
          <cell r="AB47">
            <v>65643.41169488251</v>
          </cell>
          <cell r="AC47">
            <v>0</v>
          </cell>
          <cell r="AD47">
            <v>65643</v>
          </cell>
          <cell r="AE47"/>
          <cell r="AK47"/>
          <cell r="AL47">
            <v>137.8503</v>
          </cell>
          <cell r="AM47">
            <v>137.8503</v>
          </cell>
          <cell r="AN47">
            <v>35</v>
          </cell>
          <cell r="AQ47">
            <v>25084.53572</v>
          </cell>
          <cell r="AR47">
            <v>40558.875970000001</v>
          </cell>
        </row>
        <row r="48">
          <cell r="A48" t="str">
            <v>8160-01-148</v>
          </cell>
          <cell r="B48" t="str">
            <v>Natan Bigon</v>
          </cell>
          <cell r="C48" t="str">
            <v>065042640</v>
          </cell>
          <cell r="D48" t="str">
            <v>#REF!</v>
          </cell>
          <cell r="E48"/>
          <cell r="F48" t="str">
            <v>נתן ביגון</v>
          </cell>
          <cell r="G48" t="str">
            <v>I</v>
          </cell>
          <cell r="H48" t="str">
            <v>Meitav</v>
          </cell>
          <cell r="I48">
            <v>250000</v>
          </cell>
          <cell r="J48">
            <v>3.4189276924417983E-3</v>
          </cell>
          <cell r="K48">
            <v>4676.6567074911563</v>
          </cell>
          <cell r="L48">
            <v>46607.258679135819</v>
          </cell>
          <cell r="M48">
            <v>51283.915386626977</v>
          </cell>
          <cell r="N48"/>
          <cell r="O48">
            <v>0</v>
          </cell>
          <cell r="P48"/>
          <cell r="Q48"/>
          <cell r="R48">
            <v>0</v>
          </cell>
          <cell r="S48" t="str">
            <v>IRA</v>
          </cell>
          <cell r="T48">
            <v>0</v>
          </cell>
          <cell r="U48">
            <v>51284</v>
          </cell>
          <cell r="V48" t="str">
            <v>#REF!</v>
          </cell>
          <cell r="W48" t="str">
            <v>#REF!</v>
          </cell>
          <cell r="X48" t="str">
            <v>#REF!</v>
          </cell>
          <cell r="Y48" t="str">
            <v>#REF!</v>
          </cell>
          <cell r="Z48" t="str">
            <v>#REF!</v>
          </cell>
          <cell r="AA48" t="e">
            <v>#REF!</v>
          </cell>
          <cell r="AB48">
            <v>51283.915386626977</v>
          </cell>
          <cell r="AC48">
            <v>0</v>
          </cell>
          <cell r="AD48">
            <v>51284</v>
          </cell>
          <cell r="AE48"/>
          <cell r="AK48"/>
          <cell r="AL48">
            <v>107.6964</v>
          </cell>
          <cell r="AM48">
            <v>107.6964</v>
          </cell>
          <cell r="AN48">
            <v>35</v>
          </cell>
          <cell r="AQ48">
            <v>19597.293529999999</v>
          </cell>
          <cell r="AR48">
            <v>31686.62185</v>
          </cell>
        </row>
        <row r="49">
          <cell r="A49" t="str">
            <v>8160-01-149</v>
          </cell>
          <cell r="B49" t="str">
            <v>Shlomo Binyamin</v>
          </cell>
          <cell r="C49" t="str">
            <v>015125008</v>
          </cell>
          <cell r="D49" t="str">
            <v>#REF!</v>
          </cell>
          <cell r="E49"/>
          <cell r="F49" t="str">
            <v>סילביה בנימין</v>
          </cell>
          <cell r="G49" t="str">
            <v>I</v>
          </cell>
          <cell r="H49" t="str">
            <v>Meitav</v>
          </cell>
          <cell r="I49">
            <v>250000</v>
          </cell>
          <cell r="J49">
            <v>3.4189276924417983E-3</v>
          </cell>
          <cell r="K49">
            <v>4676.6567074911563</v>
          </cell>
          <cell r="L49">
            <v>46607.258679135819</v>
          </cell>
          <cell r="M49">
            <v>51283.915386626977</v>
          </cell>
          <cell r="N49"/>
          <cell r="O49">
            <v>0</v>
          </cell>
          <cell r="P49"/>
          <cell r="Q49"/>
          <cell r="R49">
            <v>0</v>
          </cell>
          <cell r="S49" t="str">
            <v>IRA</v>
          </cell>
          <cell r="T49">
            <v>0</v>
          </cell>
          <cell r="U49">
            <v>51284</v>
          </cell>
          <cell r="V49" t="str">
            <v>#REF!</v>
          </cell>
          <cell r="W49" t="str">
            <v>#REF!</v>
          </cell>
          <cell r="X49" t="str">
            <v>#REF!</v>
          </cell>
          <cell r="Y49" t="str">
            <v>#REF!</v>
          </cell>
          <cell r="Z49" t="str">
            <v>#REF!</v>
          </cell>
          <cell r="AA49" t="e">
            <v>#REF!</v>
          </cell>
          <cell r="AB49">
            <v>51283.915386626977</v>
          </cell>
          <cell r="AC49">
            <v>0</v>
          </cell>
          <cell r="AD49">
            <v>51284</v>
          </cell>
          <cell r="AE49"/>
          <cell r="AK49"/>
          <cell r="AL49">
            <v>107.6964</v>
          </cell>
          <cell r="AM49">
            <v>107.6964</v>
          </cell>
          <cell r="AN49">
            <v>35</v>
          </cell>
          <cell r="AQ49">
            <v>19597.293529999999</v>
          </cell>
          <cell r="AR49">
            <v>31686.62185</v>
          </cell>
        </row>
        <row r="50">
          <cell r="A50" t="str">
            <v>8160-01-150</v>
          </cell>
          <cell r="B50" t="str">
            <v>Aharon Shamir</v>
          </cell>
          <cell r="C50" t="str">
            <v>051292720</v>
          </cell>
          <cell r="D50" t="str">
            <v>#REF!</v>
          </cell>
          <cell r="E50"/>
          <cell r="F50" t="str">
            <v>אהרון שמיר</v>
          </cell>
          <cell r="G50" t="str">
            <v>I</v>
          </cell>
          <cell r="H50" t="str">
            <v>Meitav</v>
          </cell>
          <cell r="I50">
            <v>250000</v>
          </cell>
          <cell r="J50">
            <v>3.4189276924417983E-3</v>
          </cell>
          <cell r="K50">
            <v>4676.6567074911563</v>
          </cell>
          <cell r="L50">
            <v>46607.258679135819</v>
          </cell>
          <cell r="M50">
            <v>51283.915386626977</v>
          </cell>
          <cell r="N50"/>
          <cell r="O50">
            <v>0</v>
          </cell>
          <cell r="P50"/>
          <cell r="Q50"/>
          <cell r="R50">
            <v>0</v>
          </cell>
          <cell r="S50" t="str">
            <v>IRA</v>
          </cell>
          <cell r="T50">
            <v>0</v>
          </cell>
          <cell r="U50">
            <v>51284</v>
          </cell>
          <cell r="V50" t="str">
            <v>#REF!</v>
          </cell>
          <cell r="W50" t="str">
            <v>#REF!</v>
          </cell>
          <cell r="X50" t="str">
            <v>#REF!</v>
          </cell>
          <cell r="Y50" t="str">
            <v>#REF!</v>
          </cell>
          <cell r="Z50" t="str">
            <v>#REF!</v>
          </cell>
          <cell r="AA50" t="e">
            <v>#REF!</v>
          </cell>
          <cell r="AB50">
            <v>51283.915386626977</v>
          </cell>
          <cell r="AC50">
            <v>0</v>
          </cell>
          <cell r="AD50">
            <v>51284</v>
          </cell>
          <cell r="AE50"/>
          <cell r="AK50"/>
          <cell r="AL50">
            <v>107.6964</v>
          </cell>
          <cell r="AM50">
            <v>107.6964</v>
          </cell>
          <cell r="AN50">
            <v>35</v>
          </cell>
          <cell r="AQ50">
            <v>19597.293529999999</v>
          </cell>
          <cell r="AR50">
            <v>31686.62185</v>
          </cell>
        </row>
        <row r="51">
          <cell r="A51" t="str">
            <v>8160-01-151</v>
          </cell>
          <cell r="B51" t="str">
            <v>Amiram (Michaela) Vardi</v>
          </cell>
          <cell r="C51" t="str">
            <v>057184038</v>
          </cell>
          <cell r="D51" t="str">
            <v>#REF!</v>
          </cell>
          <cell r="E51"/>
          <cell r="F51" t="str">
            <v>ורדי מיכאלה</v>
          </cell>
          <cell r="G51" t="str">
            <v>I</v>
          </cell>
          <cell r="H51" t="str">
            <v>Meitav</v>
          </cell>
          <cell r="I51">
            <v>250000</v>
          </cell>
          <cell r="J51">
            <v>3.4189276924417983E-3</v>
          </cell>
          <cell r="K51">
            <v>4676.6567074911563</v>
          </cell>
          <cell r="L51">
            <v>46607.258679135819</v>
          </cell>
          <cell r="M51">
            <v>51283.915386626977</v>
          </cell>
          <cell r="N51"/>
          <cell r="O51">
            <v>0</v>
          </cell>
          <cell r="P51"/>
          <cell r="Q51"/>
          <cell r="R51">
            <v>0</v>
          </cell>
          <cell r="S51" t="str">
            <v>IRA</v>
          </cell>
          <cell r="T51">
            <v>0</v>
          </cell>
          <cell r="U51">
            <v>51284</v>
          </cell>
          <cell r="V51" t="str">
            <v>#REF!</v>
          </cell>
          <cell r="W51" t="str">
            <v>#REF!</v>
          </cell>
          <cell r="X51" t="str">
            <v>#REF!</v>
          </cell>
          <cell r="Y51" t="str">
            <v>#REF!</v>
          </cell>
          <cell r="Z51" t="str">
            <v>#REF!</v>
          </cell>
          <cell r="AA51" t="e">
            <v>#REF!</v>
          </cell>
          <cell r="AB51">
            <v>51283.915386626977</v>
          </cell>
          <cell r="AC51">
            <v>0</v>
          </cell>
          <cell r="AD51">
            <v>51284</v>
          </cell>
          <cell r="AE51"/>
          <cell r="AK51"/>
          <cell r="AL51">
            <v>107.6964</v>
          </cell>
          <cell r="AM51">
            <v>107.6964</v>
          </cell>
          <cell r="AN51">
            <v>35</v>
          </cell>
          <cell r="AQ51">
            <v>19597.293529999999</v>
          </cell>
          <cell r="AR51">
            <v>31686.62185</v>
          </cell>
        </row>
        <row r="52">
          <cell r="A52" t="str">
            <v>8160-01-152</v>
          </cell>
          <cell r="B52" t="str">
            <v>Eli Heiselbach</v>
          </cell>
          <cell r="C52" t="str">
            <v>057070971</v>
          </cell>
          <cell r="D52" t="str">
            <v>#REF!</v>
          </cell>
          <cell r="E52"/>
          <cell r="F52" t="str">
            <v>אליעזר היזלבק</v>
          </cell>
          <cell r="G52" t="str">
            <v>I</v>
          </cell>
          <cell r="H52" t="str">
            <v>Meitav</v>
          </cell>
          <cell r="I52">
            <v>350000</v>
          </cell>
          <cell r="J52">
            <v>4.7864987694185178E-3</v>
          </cell>
          <cell r="K52">
            <v>6547.3193904876189</v>
          </cell>
          <cell r="L52">
            <v>65250.162150790144</v>
          </cell>
          <cell r="M52">
            <v>71797.481541277768</v>
          </cell>
          <cell r="N52"/>
          <cell r="O52">
            <v>0</v>
          </cell>
          <cell r="P52"/>
          <cell r="Q52"/>
          <cell r="R52">
            <v>0</v>
          </cell>
          <cell r="S52" t="str">
            <v>IRA</v>
          </cell>
          <cell r="T52">
            <v>0</v>
          </cell>
          <cell r="U52">
            <v>71797</v>
          </cell>
          <cell r="V52" t="str">
            <v>#REF!</v>
          </cell>
          <cell r="W52" t="str">
            <v>#REF!</v>
          </cell>
          <cell r="X52" t="str">
            <v>#REF!</v>
          </cell>
          <cell r="Y52" t="str">
            <v>#REF!</v>
          </cell>
          <cell r="Z52" t="str">
            <v>#REF!</v>
          </cell>
          <cell r="AA52" t="e">
            <v>#REF!</v>
          </cell>
          <cell r="AB52">
            <v>71797.481541277768</v>
          </cell>
          <cell r="AC52">
            <v>0</v>
          </cell>
          <cell r="AD52">
            <v>71797</v>
          </cell>
          <cell r="AE52"/>
          <cell r="AK52"/>
          <cell r="AL52">
            <v>150.77369999999999</v>
          </cell>
          <cell r="AM52">
            <v>150.77369999999999</v>
          </cell>
          <cell r="AN52">
            <v>35</v>
          </cell>
          <cell r="AQ52">
            <v>27436.210950000001</v>
          </cell>
          <cell r="AR52">
            <v>44361.27059</v>
          </cell>
        </row>
        <row r="53">
          <cell r="A53" t="str">
            <v>8160-01-153</v>
          </cell>
          <cell r="B53" t="str">
            <v>Gal Toren</v>
          </cell>
          <cell r="C53" t="str">
            <v>053410270</v>
          </cell>
          <cell r="D53" t="str">
            <v>#REF!</v>
          </cell>
          <cell r="E53"/>
          <cell r="F53" t="str">
            <v>גל יוסף תורן</v>
          </cell>
          <cell r="G53" t="str">
            <v>I</v>
          </cell>
          <cell r="H53" t="str">
            <v>Meitav</v>
          </cell>
          <cell r="I53">
            <v>270000</v>
          </cell>
          <cell r="J53">
            <v>3.6924419078371421E-3</v>
          </cell>
          <cell r="K53">
            <v>5050.7892440904488</v>
          </cell>
          <cell r="L53">
            <v>50335.839373466682</v>
          </cell>
          <cell r="M53">
            <v>55386.628617557129</v>
          </cell>
          <cell r="N53"/>
          <cell r="O53">
            <v>0</v>
          </cell>
          <cell r="P53"/>
          <cell r="Q53"/>
          <cell r="R53">
            <v>0</v>
          </cell>
          <cell r="S53" t="str">
            <v>IRA</v>
          </cell>
          <cell r="T53">
            <v>0</v>
          </cell>
          <cell r="U53">
            <v>55387</v>
          </cell>
          <cell r="V53" t="str">
            <v>#REF!</v>
          </cell>
          <cell r="W53" t="str">
            <v>#REF!</v>
          </cell>
          <cell r="X53" t="str">
            <v>#REF!</v>
          </cell>
          <cell r="Y53" t="str">
            <v>#REF!</v>
          </cell>
          <cell r="Z53" t="str">
            <v>#REF!</v>
          </cell>
          <cell r="AA53" t="e">
            <v>#REF!</v>
          </cell>
          <cell r="AB53">
            <v>55386.628617557129</v>
          </cell>
          <cell r="AC53">
            <v>0</v>
          </cell>
          <cell r="AD53">
            <v>55387</v>
          </cell>
          <cell r="AE53"/>
          <cell r="AK53"/>
          <cell r="AL53">
            <v>116.31269999999999</v>
          </cell>
          <cell r="AM53">
            <v>116.31269999999999</v>
          </cell>
          <cell r="AN53">
            <v>35</v>
          </cell>
          <cell r="AQ53">
            <v>21165.077020000001</v>
          </cell>
          <cell r="AR53">
            <v>34221.551599999999</v>
          </cell>
        </row>
        <row r="54">
          <cell r="A54" t="str">
            <v>8160-01-154</v>
          </cell>
          <cell r="B54" t="str">
            <v>Oren Hadar</v>
          </cell>
          <cell r="C54" t="str">
            <v>029495389</v>
          </cell>
          <cell r="D54" t="str">
            <v>#REF!</v>
          </cell>
          <cell r="E54"/>
          <cell r="F54" t="str">
            <v>אורן יהונדב הדר</v>
          </cell>
          <cell r="G54" t="str">
            <v>I</v>
          </cell>
          <cell r="H54" t="str">
            <v>Meitav</v>
          </cell>
          <cell r="I54">
            <v>330000</v>
          </cell>
          <cell r="J54">
            <v>4.512984554023174E-3</v>
          </cell>
          <cell r="K54">
            <v>6173.1868538883264</v>
          </cell>
          <cell r="L54">
            <v>61521.58145645928</v>
          </cell>
          <cell r="M54">
            <v>67694.768310347601</v>
          </cell>
          <cell r="N54"/>
          <cell r="O54">
            <v>0</v>
          </cell>
          <cell r="P54"/>
          <cell r="Q54"/>
          <cell r="R54">
            <v>0</v>
          </cell>
          <cell r="S54" t="str">
            <v>IRA</v>
          </cell>
          <cell r="T54">
            <v>0</v>
          </cell>
          <cell r="U54">
            <v>67695</v>
          </cell>
          <cell r="V54" t="str">
            <v>#REF!</v>
          </cell>
          <cell r="W54" t="str">
            <v>#REF!</v>
          </cell>
          <cell r="X54" t="str">
            <v>#REF!</v>
          </cell>
          <cell r="Y54" t="str">
            <v>#REF!</v>
          </cell>
          <cell r="Z54" t="str">
            <v>#REF!</v>
          </cell>
          <cell r="AA54" t="e">
            <v>#REF!</v>
          </cell>
          <cell r="AB54">
            <v>67694.768310347601</v>
          </cell>
          <cell r="AC54">
            <v>0</v>
          </cell>
          <cell r="AD54">
            <v>67695</v>
          </cell>
          <cell r="AE54"/>
          <cell r="AK54"/>
          <cell r="AL54">
            <v>142.15949999999998</v>
          </cell>
          <cell r="AM54">
            <v>142.15949999999998</v>
          </cell>
          <cell r="AN54">
            <v>35</v>
          </cell>
          <cell r="AQ54">
            <v>25868.427459999999</v>
          </cell>
          <cell r="AR54">
            <v>41826.340850000001</v>
          </cell>
        </row>
        <row r="55">
          <cell r="A55" t="str">
            <v>8160-01-155</v>
          </cell>
          <cell r="B55" t="str">
            <v>Shmuel Heiselbach</v>
          </cell>
          <cell r="C55" t="str">
            <v>022801732</v>
          </cell>
          <cell r="D55" t="str">
            <v>#REF!</v>
          </cell>
          <cell r="E55"/>
          <cell r="F55" t="str">
            <v>שמואל היזלבק</v>
          </cell>
          <cell r="G55" t="str">
            <v>I</v>
          </cell>
          <cell r="H55" t="str">
            <v>Meitav</v>
          </cell>
          <cell r="I55">
            <v>350000</v>
          </cell>
          <cell r="J55">
            <v>4.7864987694185178E-3</v>
          </cell>
          <cell r="K55">
            <v>6547.3193904876189</v>
          </cell>
          <cell r="L55">
            <v>65250.162150790144</v>
          </cell>
          <cell r="M55">
            <v>71797.481541277768</v>
          </cell>
          <cell r="N55"/>
          <cell r="O55">
            <v>0</v>
          </cell>
          <cell r="P55"/>
          <cell r="Q55"/>
          <cell r="R55">
            <v>0</v>
          </cell>
          <cell r="S55" t="str">
            <v>IRA</v>
          </cell>
          <cell r="T55">
            <v>0</v>
          </cell>
          <cell r="U55">
            <v>71797</v>
          </cell>
          <cell r="V55" t="str">
            <v>#REF!</v>
          </cell>
          <cell r="W55" t="str">
            <v>#REF!</v>
          </cell>
          <cell r="X55" t="str">
            <v>#REF!</v>
          </cell>
          <cell r="Y55" t="str">
            <v>#REF!</v>
          </cell>
          <cell r="Z55" t="str">
            <v>#REF!</v>
          </cell>
          <cell r="AA55" t="e">
            <v>#REF!</v>
          </cell>
          <cell r="AB55">
            <v>71797.481541277768</v>
          </cell>
          <cell r="AC55">
            <v>0</v>
          </cell>
          <cell r="AD55">
            <v>71797</v>
          </cell>
          <cell r="AE55"/>
          <cell r="AK55"/>
          <cell r="AL55">
            <v>150.77369999999999</v>
          </cell>
          <cell r="AM55">
            <v>150.77369999999999</v>
          </cell>
          <cell r="AN55">
            <v>35</v>
          </cell>
          <cell r="AQ55">
            <v>27436.210950000001</v>
          </cell>
          <cell r="AR55">
            <v>44361.27059</v>
          </cell>
        </row>
        <row r="56">
          <cell r="A56" t="str">
            <v>8160-01-157</v>
          </cell>
          <cell r="B56" t="str">
            <v>Gili Yohanany</v>
          </cell>
          <cell r="C56" t="str">
            <v>054175021</v>
          </cell>
          <cell r="D56" t="str">
            <v>#REF!</v>
          </cell>
          <cell r="E56"/>
          <cell r="F56" t="str">
            <v>גילי יוחנני</v>
          </cell>
          <cell r="G56" t="str">
            <v>I</v>
          </cell>
          <cell r="H56" t="str">
            <v>Meitav</v>
          </cell>
          <cell r="I56">
            <v>200000</v>
          </cell>
          <cell r="J56">
            <v>2.7351421539534388E-3</v>
          </cell>
          <cell r="K56">
            <v>3741.3253659929251</v>
          </cell>
          <cell r="L56">
            <v>37285.806943308657</v>
          </cell>
          <cell r="M56">
            <v>41027.132309301582</v>
          </cell>
          <cell r="N56"/>
          <cell r="O56">
            <v>0</v>
          </cell>
          <cell r="P56"/>
          <cell r="Q56"/>
          <cell r="R56">
            <v>0</v>
          </cell>
          <cell r="S56" t="str">
            <v>IRA</v>
          </cell>
          <cell r="T56">
            <v>0</v>
          </cell>
          <cell r="U56">
            <v>41027</v>
          </cell>
          <cell r="V56" t="str">
            <v>#REF!</v>
          </cell>
          <cell r="W56" t="str">
            <v>#REF!</v>
          </cell>
          <cell r="X56" t="str">
            <v>#REF!</v>
          </cell>
          <cell r="Y56" t="str">
            <v>#REF!</v>
          </cell>
          <cell r="Z56" t="str">
            <v>#REF!</v>
          </cell>
          <cell r="AA56" t="e">
            <v>#REF!</v>
          </cell>
          <cell r="AB56">
            <v>41027.132309301582</v>
          </cell>
          <cell r="AC56">
            <v>0</v>
          </cell>
          <cell r="AD56">
            <v>41027</v>
          </cell>
          <cell r="AE56"/>
          <cell r="AK56"/>
          <cell r="AL56">
            <v>86.156700000000001</v>
          </cell>
          <cell r="AM56">
            <v>86.156700000000001</v>
          </cell>
          <cell r="AN56">
            <v>35</v>
          </cell>
          <cell r="AQ56">
            <v>15677.83483</v>
          </cell>
          <cell r="AR56">
            <v>25349.297480000001</v>
          </cell>
        </row>
        <row r="57">
          <cell r="A57" t="str">
            <v>8160-01-158</v>
          </cell>
          <cell r="B57" t="str">
            <v>Alon Reshef</v>
          </cell>
          <cell r="C57" t="str">
            <v>057069510</v>
          </cell>
          <cell r="D57" t="str">
            <v>#REF!</v>
          </cell>
          <cell r="E57"/>
          <cell r="F57" t="str">
            <v>אלון רשף</v>
          </cell>
          <cell r="G57" t="str">
            <v>I</v>
          </cell>
          <cell r="H57" t="str">
            <v>Meitav</v>
          </cell>
          <cell r="I57">
            <v>300000</v>
          </cell>
          <cell r="J57">
            <v>4.1027132309301578E-3</v>
          </cell>
          <cell r="K57">
            <v>5611.9880489893867</v>
          </cell>
          <cell r="L57">
            <v>55928.710414962974</v>
          </cell>
          <cell r="M57">
            <v>61540.698463952358</v>
          </cell>
          <cell r="N57"/>
          <cell r="O57">
            <v>0</v>
          </cell>
          <cell r="P57"/>
          <cell r="Q57"/>
          <cell r="R57">
            <v>0</v>
          </cell>
          <cell r="S57" t="str">
            <v>IRA</v>
          </cell>
          <cell r="T57">
            <v>0</v>
          </cell>
          <cell r="U57">
            <v>61541</v>
          </cell>
          <cell r="V57" t="str">
            <v>#REF!</v>
          </cell>
          <cell r="W57" t="str">
            <v>#REF!</v>
          </cell>
          <cell r="X57" t="str">
            <v>#REF!</v>
          </cell>
          <cell r="Y57" t="str">
            <v>#REF!</v>
          </cell>
          <cell r="Z57" t="str">
            <v>#REF!</v>
          </cell>
          <cell r="AA57" t="e">
            <v>#REF!</v>
          </cell>
          <cell r="AB57">
            <v>61540.698463952358</v>
          </cell>
          <cell r="AC57">
            <v>0</v>
          </cell>
          <cell r="AD57">
            <v>61541</v>
          </cell>
          <cell r="AE57"/>
          <cell r="AK57"/>
          <cell r="AL57">
            <v>129.23609999999999</v>
          </cell>
          <cell r="AM57">
            <v>129.23609999999999</v>
          </cell>
          <cell r="AN57">
            <v>35</v>
          </cell>
          <cell r="AQ57">
            <v>23516.752240000002</v>
          </cell>
          <cell r="AR57">
            <v>38023.946219999998</v>
          </cell>
        </row>
        <row r="58">
          <cell r="A58" t="str">
            <v>8160-01-159</v>
          </cell>
          <cell r="B58" t="str">
            <v>Dan Kampel</v>
          </cell>
          <cell r="C58" t="str">
            <v>050596741</v>
          </cell>
          <cell r="D58" t="str">
            <v>#REF!</v>
          </cell>
          <cell r="E58"/>
          <cell r="F58" t="str">
            <v>דן שמואל קמפל</v>
          </cell>
          <cell r="G58" t="str">
            <v>I</v>
          </cell>
          <cell r="H58" t="str">
            <v>Meitav</v>
          </cell>
          <cell r="I58">
            <v>250000</v>
          </cell>
          <cell r="J58">
            <v>3.4189276924417983E-3</v>
          </cell>
          <cell r="K58">
            <v>4676.6567074911563</v>
          </cell>
          <cell r="L58">
            <v>46607.258679135819</v>
          </cell>
          <cell r="M58">
            <v>51283.915386626977</v>
          </cell>
          <cell r="N58"/>
          <cell r="O58">
            <v>0</v>
          </cell>
          <cell r="P58"/>
          <cell r="Q58"/>
          <cell r="R58">
            <v>0</v>
          </cell>
          <cell r="S58" t="str">
            <v>IRA</v>
          </cell>
          <cell r="T58">
            <v>0</v>
          </cell>
          <cell r="U58">
            <v>51284</v>
          </cell>
          <cell r="V58" t="str">
            <v>#REF!</v>
          </cell>
          <cell r="W58" t="str">
            <v>#REF!</v>
          </cell>
          <cell r="X58" t="str">
            <v>#REF!</v>
          </cell>
          <cell r="Y58" t="str">
            <v>#REF!</v>
          </cell>
          <cell r="Z58" t="str">
            <v>#REF!</v>
          </cell>
          <cell r="AA58" t="e">
            <v>#REF!</v>
          </cell>
          <cell r="AB58">
            <v>51283.915386626977</v>
          </cell>
          <cell r="AC58">
            <v>0</v>
          </cell>
          <cell r="AD58">
            <v>51284</v>
          </cell>
          <cell r="AE58"/>
          <cell r="AK58"/>
          <cell r="AL58">
            <v>107.6964</v>
          </cell>
          <cell r="AM58">
            <v>107.6964</v>
          </cell>
          <cell r="AN58">
            <v>35</v>
          </cell>
          <cell r="AQ58">
            <v>19597.293529999999</v>
          </cell>
          <cell r="AR58">
            <v>31686.62185</v>
          </cell>
        </row>
        <row r="59">
          <cell r="A59" t="str">
            <v>8160-01-160</v>
          </cell>
          <cell r="B59" t="str">
            <v>Dr. Aharon Roni &amp; Haya Bernstein</v>
          </cell>
          <cell r="C59" t="str">
            <v>065049207</v>
          </cell>
          <cell r="D59" t="str">
            <v>#REF!</v>
          </cell>
          <cell r="E59"/>
          <cell r="F59" t="str">
            <v>חיה בורנשטיין</v>
          </cell>
          <cell r="G59" t="str">
            <v>I</v>
          </cell>
          <cell r="H59" t="str">
            <v>Meitav</v>
          </cell>
          <cell r="I59">
            <v>250000</v>
          </cell>
          <cell r="J59">
            <v>3.4189276924417983E-3</v>
          </cell>
          <cell r="K59">
            <v>4676.6567074911563</v>
          </cell>
          <cell r="L59">
            <v>46607.258679135819</v>
          </cell>
          <cell r="M59">
            <v>51283.915386626977</v>
          </cell>
          <cell r="N59"/>
          <cell r="O59">
            <v>0</v>
          </cell>
          <cell r="P59"/>
          <cell r="Q59"/>
          <cell r="R59">
            <v>0</v>
          </cell>
          <cell r="S59" t="str">
            <v>IRA</v>
          </cell>
          <cell r="T59">
            <v>0</v>
          </cell>
          <cell r="U59">
            <v>51284</v>
          </cell>
          <cell r="V59" t="str">
            <v>#REF!</v>
          </cell>
          <cell r="W59" t="str">
            <v>#REF!</v>
          </cell>
          <cell r="X59" t="str">
            <v>#REF!</v>
          </cell>
          <cell r="Y59" t="str">
            <v>#REF!</v>
          </cell>
          <cell r="Z59" t="str">
            <v>#REF!</v>
          </cell>
          <cell r="AA59" t="e">
            <v>#REF!</v>
          </cell>
          <cell r="AB59">
            <v>51283.915386626977</v>
          </cell>
          <cell r="AC59">
            <v>0</v>
          </cell>
          <cell r="AD59">
            <v>51284</v>
          </cell>
          <cell r="AE59"/>
          <cell r="AK59"/>
          <cell r="AL59">
            <v>107.6964</v>
          </cell>
          <cell r="AM59">
            <v>107.6964</v>
          </cell>
          <cell r="AN59">
            <v>35</v>
          </cell>
          <cell r="AQ59">
            <v>19597.293529999999</v>
          </cell>
          <cell r="AR59">
            <v>31686.62185</v>
          </cell>
        </row>
        <row r="60">
          <cell r="A60" t="str">
            <v>8160-01-161</v>
          </cell>
          <cell r="B60" t="str">
            <v>Zvi Stepak</v>
          </cell>
          <cell r="C60" t="str">
            <v>07957319</v>
          </cell>
          <cell r="D60" t="str">
            <v>#REF!</v>
          </cell>
          <cell r="E60"/>
          <cell r="F60" t="str">
            <v>צבי סטפק</v>
          </cell>
          <cell r="G60" t="str">
            <v>I</v>
          </cell>
          <cell r="H60" t="str">
            <v>Meitav</v>
          </cell>
          <cell r="I60">
            <v>250000</v>
          </cell>
          <cell r="J60">
            <v>3.4189276924417983E-3</v>
          </cell>
          <cell r="K60">
            <v>4676.6567074911563</v>
          </cell>
          <cell r="L60">
            <v>46607.258679135819</v>
          </cell>
          <cell r="M60">
            <v>51283.915386626977</v>
          </cell>
          <cell r="N60"/>
          <cell r="O60">
            <v>0</v>
          </cell>
          <cell r="P60"/>
          <cell r="Q60"/>
          <cell r="R60">
            <v>0</v>
          </cell>
          <cell r="S60" t="str">
            <v>IRA</v>
          </cell>
          <cell r="T60">
            <v>0</v>
          </cell>
          <cell r="U60">
            <v>51284</v>
          </cell>
          <cell r="V60" t="str">
            <v>#REF!</v>
          </cell>
          <cell r="W60" t="str">
            <v>#REF!</v>
          </cell>
          <cell r="X60" t="str">
            <v>#REF!</v>
          </cell>
          <cell r="Y60" t="str">
            <v>#REF!</v>
          </cell>
          <cell r="Z60" t="str">
            <v>#REF!</v>
          </cell>
          <cell r="AA60" t="e">
            <v>#REF!</v>
          </cell>
          <cell r="AB60">
            <v>51283.915386626977</v>
          </cell>
          <cell r="AC60">
            <v>0</v>
          </cell>
          <cell r="AD60">
            <v>51284</v>
          </cell>
          <cell r="AE60"/>
          <cell r="AK60"/>
          <cell r="AL60">
            <v>107.6964</v>
          </cell>
          <cell r="AM60">
            <v>107.6964</v>
          </cell>
          <cell r="AN60">
            <v>35</v>
          </cell>
          <cell r="AQ60">
            <v>19597.293529999999</v>
          </cell>
          <cell r="AR60">
            <v>31686.62185</v>
          </cell>
        </row>
        <row r="61">
          <cell r="A61" t="str">
            <v>8160-01-162</v>
          </cell>
          <cell r="B61" t="str">
            <v>Arie Huber</v>
          </cell>
          <cell r="C61" t="str">
            <v>051261535</v>
          </cell>
          <cell r="D61" t="str">
            <v>#REF!</v>
          </cell>
          <cell r="E61"/>
          <cell r="F61" t="str">
            <v>אריה הובר</v>
          </cell>
          <cell r="G61" t="str">
            <v>I</v>
          </cell>
          <cell r="H61" t="str">
            <v>Meitav</v>
          </cell>
          <cell r="I61">
            <v>250000</v>
          </cell>
          <cell r="J61">
            <v>3.4189276924417983E-3</v>
          </cell>
          <cell r="K61">
            <v>4676.6567074911563</v>
          </cell>
          <cell r="L61">
            <v>46607.258679135819</v>
          </cell>
          <cell r="M61">
            <v>51283.915386626977</v>
          </cell>
          <cell r="N61"/>
          <cell r="O61">
            <v>0</v>
          </cell>
          <cell r="P61"/>
          <cell r="Q61"/>
          <cell r="R61">
            <v>0</v>
          </cell>
          <cell r="S61" t="str">
            <v>IRA</v>
          </cell>
          <cell r="T61">
            <v>0</v>
          </cell>
          <cell r="U61">
            <v>51284</v>
          </cell>
          <cell r="V61" t="str">
            <v>#REF!</v>
          </cell>
          <cell r="W61" t="str">
            <v>#REF!</v>
          </cell>
          <cell r="X61" t="str">
            <v>#REF!</v>
          </cell>
          <cell r="Y61" t="str">
            <v>#REF!</v>
          </cell>
          <cell r="Z61" t="str">
            <v>#REF!</v>
          </cell>
          <cell r="AA61" t="e">
            <v>#REF!</v>
          </cell>
          <cell r="AB61">
            <v>51283.915386626977</v>
          </cell>
          <cell r="AC61">
            <v>0</v>
          </cell>
          <cell r="AD61">
            <v>51284</v>
          </cell>
          <cell r="AE61"/>
          <cell r="AK61"/>
          <cell r="AL61">
            <v>107.6964</v>
          </cell>
          <cell r="AM61">
            <v>107.6964</v>
          </cell>
          <cell r="AN61">
            <v>35</v>
          </cell>
          <cell r="AQ61">
            <v>19597.293529999999</v>
          </cell>
          <cell r="AR61">
            <v>31686.62185</v>
          </cell>
        </row>
        <row r="62">
          <cell r="A62" t="str">
            <v>8160-01-163</v>
          </cell>
          <cell r="B62" t="str">
            <v>Ron Rymon</v>
          </cell>
          <cell r="C62" t="str">
            <v>058491093</v>
          </cell>
          <cell r="D62" t="str">
            <v>#REF!</v>
          </cell>
          <cell r="E62"/>
          <cell r="F62" t="str">
            <v>רון רימון</v>
          </cell>
          <cell r="G62" t="str">
            <v>I</v>
          </cell>
          <cell r="H62" t="str">
            <v>Phoenix</v>
          </cell>
          <cell r="I62">
            <v>250000</v>
          </cell>
          <cell r="J62">
            <v>3.4189276924417983E-3</v>
          </cell>
          <cell r="K62">
            <v>4676.6567074911563</v>
          </cell>
          <cell r="L62">
            <v>46607.258679135819</v>
          </cell>
          <cell r="M62">
            <v>51283.915386626977</v>
          </cell>
          <cell r="N62"/>
          <cell r="O62">
            <v>0</v>
          </cell>
          <cell r="P62"/>
          <cell r="Q62"/>
          <cell r="R62">
            <v>0</v>
          </cell>
          <cell r="S62" t="str">
            <v>IRA</v>
          </cell>
          <cell r="T62">
            <v>0</v>
          </cell>
          <cell r="U62">
            <v>51284</v>
          </cell>
          <cell r="V62" t="str">
            <v>#REF!</v>
          </cell>
          <cell r="W62" t="str">
            <v>#REF!</v>
          </cell>
          <cell r="X62" t="str">
            <v>#REF!</v>
          </cell>
          <cell r="Y62" t="str">
            <v>#REF!</v>
          </cell>
          <cell r="Z62" t="str">
            <v>#REF!</v>
          </cell>
          <cell r="AA62" t="e">
            <v>#REF!</v>
          </cell>
          <cell r="AB62">
            <v>51283.915386626977</v>
          </cell>
          <cell r="AC62">
            <v>0</v>
          </cell>
          <cell r="AD62">
            <v>51284</v>
          </cell>
          <cell r="AE62"/>
          <cell r="AK62"/>
          <cell r="AL62">
            <v>107.6964</v>
          </cell>
          <cell r="AM62">
            <v>107.6964</v>
          </cell>
          <cell r="AN62">
            <v>35</v>
          </cell>
          <cell r="AQ62">
            <v>19597.293529999999</v>
          </cell>
          <cell r="AR62">
            <v>31686.62185</v>
          </cell>
        </row>
        <row r="63">
          <cell r="A63" t="str">
            <v>8160-01-164</v>
          </cell>
          <cell r="B63" t="str">
            <v>Ophir Shevach</v>
          </cell>
          <cell r="C63" t="str">
            <v>003078854</v>
          </cell>
          <cell r="D63" t="str">
            <v>#REF!</v>
          </cell>
          <cell r="E63"/>
          <cell r="F63" t="str">
            <v>אופיר שבח</v>
          </cell>
          <cell r="G63" t="str">
            <v>I</v>
          </cell>
          <cell r="H63" t="str">
            <v>Phoenix</v>
          </cell>
          <cell r="I63">
            <v>250000</v>
          </cell>
          <cell r="J63">
            <v>3.4189276924417983E-3</v>
          </cell>
          <cell r="K63">
            <v>4676.6567074911563</v>
          </cell>
          <cell r="L63">
            <v>46607.258679135819</v>
          </cell>
          <cell r="M63">
            <v>51283.915386626977</v>
          </cell>
          <cell r="N63"/>
          <cell r="O63">
            <v>0</v>
          </cell>
          <cell r="P63"/>
          <cell r="Q63"/>
          <cell r="R63">
            <v>0</v>
          </cell>
          <cell r="S63" t="str">
            <v>IRA</v>
          </cell>
          <cell r="T63">
            <v>0</v>
          </cell>
          <cell r="U63">
            <v>51284</v>
          </cell>
          <cell r="V63" t="str">
            <v>#REF!</v>
          </cell>
          <cell r="W63" t="str">
            <v>#REF!</v>
          </cell>
          <cell r="X63" t="str">
            <v>#REF!</v>
          </cell>
          <cell r="Y63" t="str">
            <v>#REF!</v>
          </cell>
          <cell r="Z63" t="str">
            <v>#REF!</v>
          </cell>
          <cell r="AA63" t="e">
            <v>#REF!</v>
          </cell>
          <cell r="AB63">
            <v>51283.915386626977</v>
          </cell>
          <cell r="AC63">
            <v>0</v>
          </cell>
          <cell r="AD63">
            <v>51284</v>
          </cell>
          <cell r="AE63"/>
          <cell r="AK63"/>
          <cell r="AL63">
            <v>107.6964</v>
          </cell>
          <cell r="AM63">
            <v>107.6964</v>
          </cell>
          <cell r="AN63">
            <v>35</v>
          </cell>
          <cell r="AQ63">
            <v>19597.293529999999</v>
          </cell>
          <cell r="AR63">
            <v>31686.62185</v>
          </cell>
        </row>
        <row r="64">
          <cell r="A64" t="str">
            <v>8160-01-165</v>
          </cell>
          <cell r="B64" t="str">
            <v>Guy Eliav</v>
          </cell>
          <cell r="C64" t="str">
            <v>024609026</v>
          </cell>
          <cell r="D64" t="str">
            <v>#REF!</v>
          </cell>
          <cell r="E64"/>
          <cell r="F64" t="str">
            <v>גיא אלון אליאב</v>
          </cell>
          <cell r="G64" t="str">
            <v>I</v>
          </cell>
          <cell r="H64"/>
          <cell r="I64">
            <v>250000</v>
          </cell>
          <cell r="J64">
            <v>3.4189276924417983E-3</v>
          </cell>
          <cell r="K64">
            <v>4676.6567074911563</v>
          </cell>
          <cell r="L64">
            <v>46607.258679135819</v>
          </cell>
          <cell r="M64">
            <v>51283.915386626977</v>
          </cell>
          <cell r="N64">
            <v>1169.1641768727891</v>
          </cell>
          <cell r="O64">
            <v>0</v>
          </cell>
          <cell r="P64">
            <v>0</v>
          </cell>
          <cell r="Q64">
            <v>1169.1641768727891</v>
          </cell>
          <cell r="R64">
            <v>1169.1641768727891</v>
          </cell>
          <cell r="S64" t="str">
            <v>X</v>
          </cell>
          <cell r="T64"/>
          <cell r="U64">
            <v>50115</v>
          </cell>
          <cell r="V64" t="str">
            <v>#REF!</v>
          </cell>
          <cell r="W64" t="str">
            <v>#REF!</v>
          </cell>
          <cell r="X64" t="str">
            <v>#REF!</v>
          </cell>
          <cell r="Y64" t="str">
            <v>#REF!</v>
          </cell>
          <cell r="Z64" t="str">
            <v>#REF!</v>
          </cell>
          <cell r="AA64" t="e">
            <v>#REF!</v>
          </cell>
          <cell r="AB64">
            <v>51283.915386626977</v>
          </cell>
          <cell r="AC64">
            <v>1169.1641768727891</v>
          </cell>
          <cell r="AD64">
            <v>50115</v>
          </cell>
          <cell r="AE64"/>
          <cell r="AK64"/>
          <cell r="AL64">
            <v>105.24149999999999</v>
          </cell>
          <cell r="AM64">
            <v>105.24149999999999</v>
          </cell>
          <cell r="AN64">
            <v>35</v>
          </cell>
          <cell r="AQ64">
            <v>19597.293529999999</v>
          </cell>
          <cell r="AR64">
            <v>31686.62185</v>
          </cell>
        </row>
        <row r="65">
          <cell r="A65" t="str">
            <v>8160-01-166</v>
          </cell>
          <cell r="B65" t="str">
            <v>Ester Beck (Louis)</v>
          </cell>
          <cell r="C65" t="str">
            <v>017161142</v>
          </cell>
          <cell r="D65" t="str">
            <v>#REF!</v>
          </cell>
          <cell r="E65"/>
          <cell r="F65" t="str">
            <v>אסתר בורגר בק</v>
          </cell>
          <cell r="G65" t="str">
            <v>II</v>
          </cell>
          <cell r="H65"/>
          <cell r="I65">
            <v>250000</v>
          </cell>
          <cell r="J65">
            <v>3.4189276924417983E-3</v>
          </cell>
          <cell r="K65">
            <v>4676.6567074911563</v>
          </cell>
          <cell r="L65">
            <v>46607.258679135819</v>
          </cell>
          <cell r="M65">
            <v>51283.915386626977</v>
          </cell>
          <cell r="N65">
            <v>1169.1641768727891</v>
          </cell>
          <cell r="O65">
            <v>0</v>
          </cell>
          <cell r="P65">
            <v>0</v>
          </cell>
          <cell r="Q65">
            <v>1169.1641768727891</v>
          </cell>
          <cell r="R65">
            <v>1169.1641768727891</v>
          </cell>
          <cell r="S65" t="str">
            <v>X</v>
          </cell>
          <cell r="T65"/>
          <cell r="U65">
            <v>50115</v>
          </cell>
          <cell r="V65" t="str">
            <v>#REF!</v>
          </cell>
          <cell r="W65" t="str">
            <v>#REF!</v>
          </cell>
          <cell r="X65" t="str">
            <v>#REF!</v>
          </cell>
          <cell r="Y65" t="str">
            <v>#REF!</v>
          </cell>
          <cell r="Z65" t="str">
            <v>#REF!</v>
          </cell>
          <cell r="AA65" t="e">
            <v>#REF!</v>
          </cell>
          <cell r="AB65">
            <v>51283.915386626977</v>
          </cell>
          <cell r="AC65">
            <v>1169.1641768727891</v>
          </cell>
          <cell r="AD65">
            <v>50115</v>
          </cell>
          <cell r="AE65"/>
          <cell r="AK65"/>
          <cell r="AL65">
            <v>105.24149999999999</v>
          </cell>
          <cell r="AM65">
            <v>105.24149999999999</v>
          </cell>
          <cell r="AN65">
            <v>35</v>
          </cell>
          <cell r="AQ65">
            <v>19597.293529999999</v>
          </cell>
          <cell r="AR65">
            <v>31686.62185</v>
          </cell>
        </row>
        <row r="66">
          <cell r="A66" t="str">
            <v>8160-01-167</v>
          </cell>
          <cell r="B66" t="str">
            <v>Trico Fuchs Ltd.</v>
          </cell>
          <cell r="C66">
            <v>510621113</v>
          </cell>
          <cell r="D66" t="str">
            <v>#REF!</v>
          </cell>
          <cell r="E66" t="str">
            <v>Trico Fuchs Ltd.</v>
          </cell>
          <cell r="F66" t="str">
            <v>טריקו - פוקס בע"מ</v>
          </cell>
          <cell r="G66" t="str">
            <v>II</v>
          </cell>
          <cell r="H66"/>
          <cell r="I66">
            <v>750000</v>
          </cell>
          <cell r="J66">
            <v>1.0256783077325395E-2</v>
          </cell>
          <cell r="K66">
            <v>14029.970122473467</v>
          </cell>
          <cell r="L66">
            <v>139821.77603740743</v>
          </cell>
          <cell r="M66">
            <v>153851.74615988089</v>
          </cell>
          <cell r="N66"/>
          <cell r="O66">
            <v>0</v>
          </cell>
          <cell r="P66"/>
          <cell r="Q66"/>
          <cell r="R66">
            <v>0</v>
          </cell>
          <cell r="S66" t="str">
            <v>V</v>
          </cell>
          <cell r="T66">
            <v>0</v>
          </cell>
          <cell r="U66">
            <v>153852</v>
          </cell>
          <cell r="V66" t="str">
            <v>#REF!</v>
          </cell>
          <cell r="W66" t="str">
            <v>#REF!</v>
          </cell>
          <cell r="X66" t="str">
            <v>#REF!</v>
          </cell>
          <cell r="Y66" t="str">
            <v>#REF!</v>
          </cell>
          <cell r="Z66" t="str">
            <v>#REF!</v>
          </cell>
          <cell r="AA66" t="e">
            <v>#REF!</v>
          </cell>
          <cell r="AB66">
            <v>153851.74615988089</v>
          </cell>
          <cell r="AC66">
            <v>0</v>
          </cell>
          <cell r="AD66">
            <v>153852</v>
          </cell>
          <cell r="AE66"/>
          <cell r="AK66"/>
          <cell r="AL66">
            <v>323.08920000000001</v>
          </cell>
          <cell r="AM66">
            <v>323.08920000000001</v>
          </cell>
          <cell r="AN66">
            <v>35</v>
          </cell>
          <cell r="AQ66">
            <v>58791.880599999997</v>
          </cell>
          <cell r="AR66">
            <v>95059.865560000006</v>
          </cell>
        </row>
        <row r="67">
          <cell r="A67" t="str">
            <v>8160-01-168</v>
          </cell>
          <cell r="B67" t="str">
            <v>Uzi Ziv</v>
          </cell>
          <cell r="C67" t="str">
            <v>057697351</v>
          </cell>
          <cell r="D67" t="str">
            <v>#REF!</v>
          </cell>
          <cell r="E67"/>
          <cell r="F67" t="str">
            <v>עוזי עזרא זיו</v>
          </cell>
          <cell r="G67" t="str">
            <v>II</v>
          </cell>
          <cell r="H67"/>
          <cell r="I67">
            <v>250000</v>
          </cell>
          <cell r="J67">
            <v>3.4189276924417983E-3</v>
          </cell>
          <cell r="K67">
            <v>4676.6567074911563</v>
          </cell>
          <cell r="L67">
            <v>46607.258679135819</v>
          </cell>
          <cell r="M67">
            <v>51283.915386626977</v>
          </cell>
          <cell r="N67">
            <v>1169.1641768727891</v>
          </cell>
          <cell r="O67">
            <v>0</v>
          </cell>
          <cell r="P67">
            <v>0</v>
          </cell>
          <cell r="Q67">
            <v>1169.1641768727891</v>
          </cell>
          <cell r="R67">
            <v>1169.1641768727891</v>
          </cell>
          <cell r="S67" t="str">
            <v>X</v>
          </cell>
          <cell r="T67"/>
          <cell r="U67">
            <v>50115</v>
          </cell>
          <cell r="V67" t="str">
            <v>#REF!</v>
          </cell>
          <cell r="W67" t="str">
            <v>#REF!</v>
          </cell>
          <cell r="X67" t="str">
            <v>#REF!</v>
          </cell>
          <cell r="Y67" t="str">
            <v>#REF!</v>
          </cell>
          <cell r="Z67" t="str">
            <v>#REF!</v>
          </cell>
          <cell r="AA67" t="e">
            <v>#REF!</v>
          </cell>
          <cell r="AB67">
            <v>51283.915386626977</v>
          </cell>
          <cell r="AC67">
            <v>1169.1641768727891</v>
          </cell>
          <cell r="AD67">
            <v>50115</v>
          </cell>
          <cell r="AE67"/>
          <cell r="AK67"/>
          <cell r="AL67">
            <v>105.24149999999999</v>
          </cell>
          <cell r="AM67">
            <v>105.24149999999999</v>
          </cell>
          <cell r="AN67">
            <v>35</v>
          </cell>
          <cell r="AQ67">
            <v>19597.293529999999</v>
          </cell>
          <cell r="AR67">
            <v>31686.62185</v>
          </cell>
        </row>
        <row r="68">
          <cell r="A68" t="str">
            <v>8160-01-169</v>
          </cell>
          <cell r="B68" t="str">
            <v>Michal (Yuval) Hatuka</v>
          </cell>
          <cell r="C68" t="str">
            <v>023749609</v>
          </cell>
          <cell r="D68" t="str">
            <v>#REF!</v>
          </cell>
          <cell r="E68"/>
          <cell r="F68" t="str">
            <v>מיכל שטרית חתוק</v>
          </cell>
          <cell r="G68" t="str">
            <v>II</v>
          </cell>
          <cell r="H68"/>
          <cell r="I68">
            <v>250000</v>
          </cell>
          <cell r="J68">
            <v>3.4189276924417983E-3</v>
          </cell>
          <cell r="K68">
            <v>4676.6567074911563</v>
          </cell>
          <cell r="L68">
            <v>46607.258679135819</v>
          </cell>
          <cell r="M68">
            <v>51283.915386626977</v>
          </cell>
          <cell r="N68">
            <v>1169.1641768727891</v>
          </cell>
          <cell r="O68">
            <v>0</v>
          </cell>
          <cell r="P68">
            <v>0</v>
          </cell>
          <cell r="Q68">
            <v>1169.1641768727891</v>
          </cell>
          <cell r="R68">
            <v>1169.1641768727891</v>
          </cell>
          <cell r="S68" t="str">
            <v>X</v>
          </cell>
          <cell r="T68"/>
          <cell r="U68">
            <v>50115</v>
          </cell>
          <cell r="V68" t="str">
            <v>#REF!</v>
          </cell>
          <cell r="W68" t="str">
            <v>#REF!</v>
          </cell>
          <cell r="X68" t="str">
            <v>#REF!</v>
          </cell>
          <cell r="Y68" t="str">
            <v>#REF!</v>
          </cell>
          <cell r="Z68" t="str">
            <v>#REF!</v>
          </cell>
          <cell r="AA68" t="e">
            <v>#REF!</v>
          </cell>
          <cell r="AB68">
            <v>51283.915386626977</v>
          </cell>
          <cell r="AC68">
            <v>1169.1641768727891</v>
          </cell>
          <cell r="AD68">
            <v>50115</v>
          </cell>
          <cell r="AE68"/>
          <cell r="AK68"/>
          <cell r="AL68">
            <v>105.24149999999999</v>
          </cell>
          <cell r="AM68">
            <v>105.24149999999999</v>
          </cell>
          <cell r="AN68">
            <v>35</v>
          </cell>
          <cell r="AQ68">
            <v>19597.293529999999</v>
          </cell>
          <cell r="AR68">
            <v>31686.62185</v>
          </cell>
        </row>
        <row r="69">
          <cell r="A69" t="str">
            <v>8160-01-170</v>
          </cell>
          <cell r="B69" t="str">
            <v>E Hasson LTD</v>
          </cell>
          <cell r="C69">
            <v>512041591</v>
          </cell>
          <cell r="D69" t="str">
            <v>#REF!</v>
          </cell>
          <cell r="E69" t="str">
            <v>E Hasson LTD</v>
          </cell>
          <cell r="F69" t="str">
            <v>אליהו חסון בע"מ</v>
          </cell>
          <cell r="G69" t="str">
            <v>II</v>
          </cell>
          <cell r="H69"/>
          <cell r="I69">
            <v>1000000</v>
          </cell>
          <cell r="J69">
            <v>1.3675710769767193E-2</v>
          </cell>
          <cell r="K69">
            <v>18706.626829964625</v>
          </cell>
          <cell r="L69">
            <v>186429.03471654328</v>
          </cell>
          <cell r="M69">
            <v>205135.66154650791</v>
          </cell>
          <cell r="N69"/>
          <cell r="O69">
            <v>0</v>
          </cell>
          <cell r="P69"/>
          <cell r="Q69"/>
          <cell r="R69">
            <v>0</v>
          </cell>
          <cell r="S69" t="str">
            <v>V</v>
          </cell>
          <cell r="T69"/>
          <cell r="U69">
            <v>205136</v>
          </cell>
          <cell r="V69" t="str">
            <v>#REF!</v>
          </cell>
          <cell r="W69" t="str">
            <v>#REF!</v>
          </cell>
          <cell r="X69" t="str">
            <v>#REF!</v>
          </cell>
          <cell r="Y69" t="str">
            <v>#REF!</v>
          </cell>
          <cell r="Z69" t="str">
            <v>#REF!</v>
          </cell>
          <cell r="AA69" t="e">
            <v>#REF!</v>
          </cell>
          <cell r="AB69">
            <v>205135.66154650791</v>
          </cell>
          <cell r="AC69">
            <v>0</v>
          </cell>
          <cell r="AD69">
            <v>205136</v>
          </cell>
          <cell r="AE69"/>
          <cell r="AK69"/>
          <cell r="AL69">
            <v>430.78559999999999</v>
          </cell>
          <cell r="AM69">
            <v>430.78559999999999</v>
          </cell>
          <cell r="AN69">
            <v>35</v>
          </cell>
          <cell r="AQ69">
            <v>78389.174129999999</v>
          </cell>
          <cell r="AR69">
            <v>126746.4874</v>
          </cell>
        </row>
        <row r="70">
          <cell r="A70" t="str">
            <v>8160-01-171</v>
          </cell>
          <cell r="B70" t="str">
            <v>Yishai Fuchs</v>
          </cell>
          <cell r="C70" t="str">
            <v>040785750</v>
          </cell>
          <cell r="D70" t="str">
            <v>#REF!</v>
          </cell>
          <cell r="E70"/>
          <cell r="F70" t="str">
            <v>ישי פוקס</v>
          </cell>
          <cell r="G70" t="str">
            <v>II</v>
          </cell>
          <cell r="H70"/>
          <cell r="I70">
            <v>150000</v>
          </cell>
          <cell r="J70">
            <v>2.0513566154650789E-3</v>
          </cell>
          <cell r="K70">
            <v>2805.9940244946933</v>
          </cell>
          <cell r="L70">
            <v>27964.355207481487</v>
          </cell>
          <cell r="M70">
            <v>30770.349231976179</v>
          </cell>
          <cell r="N70">
            <v>701.49850612367334</v>
          </cell>
          <cell r="O70">
            <v>0</v>
          </cell>
          <cell r="P70">
            <v>0</v>
          </cell>
          <cell r="Q70">
            <v>701.49850612367334</v>
          </cell>
          <cell r="R70">
            <v>701.49850612367334</v>
          </cell>
          <cell r="S70" t="str">
            <v>X</v>
          </cell>
          <cell r="T70"/>
          <cell r="U70">
            <v>30069</v>
          </cell>
          <cell r="V70" t="str">
            <v>#REF!</v>
          </cell>
          <cell r="W70" t="str">
            <v>#REF!</v>
          </cell>
          <cell r="X70" t="str">
            <v>#REF!</v>
          </cell>
          <cell r="Y70" t="str">
            <v>#REF!</v>
          </cell>
          <cell r="Z70" t="str">
            <v>#REF!</v>
          </cell>
          <cell r="AA70" t="e">
            <v>#REF!</v>
          </cell>
          <cell r="AB70">
            <v>30770.349231976179</v>
          </cell>
          <cell r="AC70">
            <v>701.49850612367334</v>
          </cell>
          <cell r="AD70">
            <v>30069</v>
          </cell>
          <cell r="AE70"/>
          <cell r="AK70"/>
          <cell r="AL70">
            <v>63.144899999999993</v>
          </cell>
          <cell r="AM70">
            <v>63.144899999999993</v>
          </cell>
          <cell r="AN70">
            <v>35</v>
          </cell>
          <cell r="AQ70">
            <v>11758.376120000001</v>
          </cell>
          <cell r="AR70">
            <v>19011.973109999999</v>
          </cell>
        </row>
        <row r="71">
          <cell r="A71" t="str">
            <v>8160-01-172</v>
          </cell>
          <cell r="B71" t="str">
            <v>Ofer Jacobson</v>
          </cell>
          <cell r="C71" t="str">
            <v>057750606</v>
          </cell>
          <cell r="D71" t="str">
            <v>#REF!</v>
          </cell>
          <cell r="E71"/>
          <cell r="F71" t="str">
            <v>עופר יעקבזון</v>
          </cell>
          <cell r="G71" t="str">
            <v>II</v>
          </cell>
          <cell r="H71"/>
          <cell r="I71">
            <v>250000</v>
          </cell>
          <cell r="J71">
            <v>3.4189276924417983E-3</v>
          </cell>
          <cell r="K71">
            <v>4676.6567074911563</v>
          </cell>
          <cell r="L71">
            <v>46607.258679135819</v>
          </cell>
          <cell r="M71">
            <v>51283.915386626977</v>
          </cell>
          <cell r="N71">
            <v>1169.1641768727891</v>
          </cell>
          <cell r="O71">
            <v>0</v>
          </cell>
          <cell r="P71">
            <v>0</v>
          </cell>
          <cell r="Q71">
            <v>1169.1641768727891</v>
          </cell>
          <cell r="R71">
            <v>1169.1641768727891</v>
          </cell>
          <cell r="S71" t="str">
            <v>X</v>
          </cell>
          <cell r="T71"/>
          <cell r="U71">
            <v>50115</v>
          </cell>
          <cell r="V71" t="str">
            <v>#REF!</v>
          </cell>
          <cell r="W71" t="str">
            <v>#REF!</v>
          </cell>
          <cell r="X71" t="str">
            <v>#REF!</v>
          </cell>
          <cell r="Y71" t="str">
            <v>#REF!</v>
          </cell>
          <cell r="Z71" t="str">
            <v>#REF!</v>
          </cell>
          <cell r="AA71" t="e">
            <v>#REF!</v>
          </cell>
          <cell r="AB71">
            <v>51283.915386626977</v>
          </cell>
          <cell r="AC71">
            <v>1169.1641768727891</v>
          </cell>
          <cell r="AD71">
            <v>50115</v>
          </cell>
          <cell r="AE71"/>
          <cell r="AK71"/>
          <cell r="AL71">
            <v>105.24149999999999</v>
          </cell>
          <cell r="AM71">
            <v>105.24149999999999</v>
          </cell>
          <cell r="AN71">
            <v>35</v>
          </cell>
          <cell r="AQ71">
            <v>19597.293529999999</v>
          </cell>
          <cell r="AR71">
            <v>31686.62185</v>
          </cell>
        </row>
        <row r="72">
          <cell r="A72" t="str">
            <v>8160-01-173</v>
          </cell>
          <cell r="B72" t="str">
            <v>Oded Fuchs</v>
          </cell>
          <cell r="C72" t="str">
            <v>039301825</v>
          </cell>
          <cell r="D72" t="str">
            <v>#REF!</v>
          </cell>
          <cell r="E72"/>
          <cell r="F72" t="str">
            <v>עודד פוקס</v>
          </cell>
          <cell r="G72" t="str">
            <v>II</v>
          </cell>
          <cell r="H72"/>
          <cell r="I72">
            <v>150000</v>
          </cell>
          <cell r="J72">
            <v>2.0513566154650789E-3</v>
          </cell>
          <cell r="K72">
            <v>2805.9940244946933</v>
          </cell>
          <cell r="L72">
            <v>27964.355207481487</v>
          </cell>
          <cell r="M72">
            <v>30770.349231976179</v>
          </cell>
          <cell r="N72">
            <v>701.49850612367334</v>
          </cell>
          <cell r="O72">
            <v>0</v>
          </cell>
          <cell r="P72">
            <v>0</v>
          </cell>
          <cell r="Q72">
            <v>701.49850612367334</v>
          </cell>
          <cell r="R72">
            <v>701.49850612367334</v>
          </cell>
          <cell r="S72" t="str">
            <v>X</v>
          </cell>
          <cell r="T72"/>
          <cell r="U72">
            <v>30069</v>
          </cell>
          <cell r="V72" t="str">
            <v>#REF!</v>
          </cell>
          <cell r="W72" t="str">
            <v>#REF!</v>
          </cell>
          <cell r="X72" t="str">
            <v>#REF!</v>
          </cell>
          <cell r="Y72" t="str">
            <v>#REF!</v>
          </cell>
          <cell r="Z72" t="str">
            <v>#REF!</v>
          </cell>
          <cell r="AA72" t="e">
            <v>#REF!</v>
          </cell>
          <cell r="AB72">
            <v>30770.349231976179</v>
          </cell>
          <cell r="AC72">
            <v>701.49850612367334</v>
          </cell>
          <cell r="AD72">
            <v>30069</v>
          </cell>
          <cell r="AE72"/>
          <cell r="AK72"/>
          <cell r="AL72">
            <v>63.144899999999993</v>
          </cell>
          <cell r="AM72">
            <v>63.144899999999993</v>
          </cell>
          <cell r="AN72">
            <v>35</v>
          </cell>
          <cell r="AQ72">
            <v>11758.376120000001</v>
          </cell>
          <cell r="AR72">
            <v>19011.973109999999</v>
          </cell>
        </row>
        <row r="73">
          <cell r="A73" t="str">
            <v>8160-01-174</v>
          </cell>
          <cell r="B73" t="str">
            <v>Moshe Strumlaufer</v>
          </cell>
          <cell r="C73" t="str">
            <v>055710610</v>
          </cell>
          <cell r="D73" t="str">
            <v>#REF!</v>
          </cell>
          <cell r="E73"/>
          <cell r="F73" t="str">
            <v>משה שטורמלאופר</v>
          </cell>
          <cell r="G73" t="str">
            <v>II</v>
          </cell>
          <cell r="H73"/>
          <cell r="I73">
            <v>500000</v>
          </cell>
          <cell r="J73">
            <v>6.8378553848835967E-3</v>
          </cell>
          <cell r="K73">
            <v>9353.3134149823127</v>
          </cell>
          <cell r="L73">
            <v>93214.517358271638</v>
          </cell>
          <cell r="M73">
            <v>102567.83077325395</v>
          </cell>
          <cell r="N73">
            <v>2338.3283537455782</v>
          </cell>
          <cell r="O73">
            <v>0</v>
          </cell>
          <cell r="P73">
            <v>0</v>
          </cell>
          <cell r="Q73">
            <v>2338.3283537455782</v>
          </cell>
          <cell r="R73">
            <v>2338.3283537455782</v>
          </cell>
          <cell r="S73" t="str">
            <v>X</v>
          </cell>
          <cell r="T73"/>
          <cell r="U73">
            <v>100230</v>
          </cell>
          <cell r="V73" t="str">
            <v>#REF!</v>
          </cell>
          <cell r="W73" t="str">
            <v>#REF!</v>
          </cell>
          <cell r="X73" t="str">
            <v>#REF!</v>
          </cell>
          <cell r="Y73" t="str">
            <v>#REF!</v>
          </cell>
          <cell r="Z73" t="str">
            <v>#REF!</v>
          </cell>
          <cell r="AA73" t="e">
            <v>#REF!</v>
          </cell>
          <cell r="AB73">
            <v>102567.83077325395</v>
          </cell>
          <cell r="AC73">
            <v>2338.3283537455782</v>
          </cell>
          <cell r="AD73">
            <v>100230</v>
          </cell>
          <cell r="AE73"/>
          <cell r="AK73"/>
          <cell r="AL73">
            <v>210.48299999999998</v>
          </cell>
          <cell r="AM73">
            <v>210.48299999999998</v>
          </cell>
          <cell r="AN73">
            <v>35</v>
          </cell>
          <cell r="AQ73">
            <v>39194.587070000001</v>
          </cell>
          <cell r="AR73">
            <v>63373.243710000002</v>
          </cell>
        </row>
        <row r="74">
          <cell r="A74" t="str">
            <v>8160-01-175</v>
          </cell>
          <cell r="B74" t="str">
            <v>Vilnai Marketing Group LTD</v>
          </cell>
          <cell r="C74">
            <v>511973299</v>
          </cell>
          <cell r="D74" t="str">
            <v>#REF!</v>
          </cell>
          <cell r="E74" t="str">
            <v>Vilnai Marketing Group LTD</v>
          </cell>
          <cell r="F74" t="str">
            <v>קבוצת וילנאי לשיווק בע"מ</v>
          </cell>
          <cell r="G74" t="str">
            <v>II</v>
          </cell>
          <cell r="H74"/>
          <cell r="I74">
            <v>250000</v>
          </cell>
          <cell r="J74">
            <v>3.4189276924417983E-3</v>
          </cell>
          <cell r="K74">
            <v>4676.6567074911563</v>
          </cell>
          <cell r="L74">
            <v>46607.258679135819</v>
          </cell>
          <cell r="M74">
            <v>51283.915386626977</v>
          </cell>
          <cell r="N74"/>
          <cell r="O74">
            <v>0</v>
          </cell>
          <cell r="P74"/>
          <cell r="Q74"/>
          <cell r="R74">
            <v>0</v>
          </cell>
          <cell r="S74" t="str">
            <v>V</v>
          </cell>
          <cell r="T74">
            <v>0</v>
          </cell>
          <cell r="U74">
            <v>51284</v>
          </cell>
          <cell r="V74" t="str">
            <v>#REF!</v>
          </cell>
          <cell r="W74" t="str">
            <v>#REF!</v>
          </cell>
          <cell r="X74" t="str">
            <v>#REF!</v>
          </cell>
          <cell r="Y74" t="str">
            <v>#REF!</v>
          </cell>
          <cell r="Z74" t="str">
            <v>#REF!</v>
          </cell>
          <cell r="AA74" t="e">
            <v>#REF!</v>
          </cell>
          <cell r="AB74">
            <v>51283.915386626977</v>
          </cell>
          <cell r="AC74">
            <v>0</v>
          </cell>
          <cell r="AD74">
            <v>51284</v>
          </cell>
          <cell r="AE74"/>
          <cell r="AK74"/>
          <cell r="AL74">
            <v>107.6964</v>
          </cell>
          <cell r="AM74">
            <v>107.6964</v>
          </cell>
          <cell r="AN74">
            <v>35</v>
          </cell>
          <cell r="AQ74">
            <v>19597.293529999999</v>
          </cell>
          <cell r="AR74">
            <v>31686.62185</v>
          </cell>
        </row>
        <row r="75">
          <cell r="A75" t="str">
            <v>8160-01-176</v>
          </cell>
          <cell r="B75" t="str">
            <v>Atlas Multi Fund L.P</v>
          </cell>
          <cell r="C75" t="str">
            <v>OG-90358</v>
          </cell>
          <cell r="D75" t="str">
            <v>#REF!</v>
          </cell>
          <cell r="E75" t="str">
            <v>Atlas Multi Fund L.P</v>
          </cell>
          <cell r="F75"/>
          <cell r="G75" t="str">
            <v>II</v>
          </cell>
          <cell r="H75"/>
          <cell r="I75">
            <v>3000000</v>
          </cell>
          <cell r="J75">
            <v>4.1027132309301578E-2</v>
          </cell>
          <cell r="K75">
            <v>56119.880489893869</v>
          </cell>
          <cell r="L75">
            <v>559287.10414962971</v>
          </cell>
          <cell r="M75">
            <v>615406.98463952355</v>
          </cell>
          <cell r="N75"/>
          <cell r="O75">
            <v>0</v>
          </cell>
          <cell r="P75"/>
          <cell r="Q75"/>
          <cell r="R75">
            <v>0</v>
          </cell>
          <cell r="S75" t="str">
            <v>V</v>
          </cell>
          <cell r="T75"/>
          <cell r="U75">
            <v>615407</v>
          </cell>
          <cell r="V75" t="str">
            <v>#REF!</v>
          </cell>
          <cell r="W75" t="str">
            <v>#REF!</v>
          </cell>
          <cell r="X75" t="str">
            <v>#REF!</v>
          </cell>
          <cell r="Y75" t="str">
            <v>#REF!</v>
          </cell>
          <cell r="Z75" t="str">
            <v>#REF!</v>
          </cell>
          <cell r="AA75" t="e">
            <v>#REF!</v>
          </cell>
          <cell r="AB75">
            <v>615406.98463952355</v>
          </cell>
          <cell r="AC75">
            <v>0</v>
          </cell>
          <cell r="AD75">
            <v>615407</v>
          </cell>
          <cell r="AE75"/>
          <cell r="AK75"/>
          <cell r="AL75">
            <v>1292.3546999999999</v>
          </cell>
          <cell r="AM75">
            <v>1292.3546999999999</v>
          </cell>
          <cell r="AN75">
            <v>35</v>
          </cell>
          <cell r="AQ75">
            <v>235167.52239999999</v>
          </cell>
          <cell r="AR75">
            <v>380239.46220000001</v>
          </cell>
        </row>
        <row r="76">
          <cell r="A76" t="str">
            <v>8160-01-177</v>
          </cell>
          <cell r="B76" t="str">
            <v>Aviad Avni</v>
          </cell>
          <cell r="C76" t="str">
            <v>054973680</v>
          </cell>
          <cell r="D76" t="str">
            <v>#REF!</v>
          </cell>
          <cell r="E76"/>
          <cell r="F76" t="str">
            <v>אביעד יצחק אבני</v>
          </cell>
          <cell r="G76" t="str">
            <v>II</v>
          </cell>
          <cell r="H76" t="str">
            <v>Meitav</v>
          </cell>
          <cell r="I76">
            <v>250000</v>
          </cell>
          <cell r="J76">
            <v>3.4189276924417983E-3</v>
          </cell>
          <cell r="K76">
            <v>4676.6567074911563</v>
          </cell>
          <cell r="L76">
            <v>46607.258679135819</v>
          </cell>
          <cell r="M76">
            <v>51283.915386626977</v>
          </cell>
          <cell r="N76"/>
          <cell r="O76">
            <v>0</v>
          </cell>
          <cell r="P76"/>
          <cell r="Q76"/>
          <cell r="R76">
            <v>0</v>
          </cell>
          <cell r="S76" t="str">
            <v>IRA</v>
          </cell>
          <cell r="T76">
            <v>0</v>
          </cell>
          <cell r="U76">
            <v>51284</v>
          </cell>
          <cell r="V76" t="str">
            <v>#REF!</v>
          </cell>
          <cell r="W76" t="str">
            <v>#REF!</v>
          </cell>
          <cell r="X76" t="str">
            <v>#REF!</v>
          </cell>
          <cell r="Y76" t="str">
            <v>#REF!</v>
          </cell>
          <cell r="Z76" t="str">
            <v>#REF!</v>
          </cell>
          <cell r="AA76" t="e">
            <v>#REF!</v>
          </cell>
          <cell r="AB76">
            <v>51283.915386626977</v>
          </cell>
          <cell r="AC76">
            <v>0</v>
          </cell>
          <cell r="AD76">
            <v>51284</v>
          </cell>
          <cell r="AE76"/>
          <cell r="AK76"/>
          <cell r="AL76">
            <v>107.6964</v>
          </cell>
          <cell r="AM76">
            <v>107.6964</v>
          </cell>
          <cell r="AN76">
            <v>35</v>
          </cell>
          <cell r="AQ76">
            <v>19597.293529999999</v>
          </cell>
          <cell r="AR76">
            <v>31686.62185</v>
          </cell>
        </row>
        <row r="77">
          <cell r="A77" t="str">
            <v>8160-01-178</v>
          </cell>
          <cell r="B77" t="str">
            <v>Ehud Aloni</v>
          </cell>
          <cell r="C77" t="str">
            <v>001450287</v>
          </cell>
          <cell r="D77" t="str">
            <v>#REF!</v>
          </cell>
          <cell r="E77"/>
          <cell r="F77" t="str">
            <v>אהוד אלוני</v>
          </cell>
          <cell r="G77" t="str">
            <v>II</v>
          </cell>
          <cell r="H77" t="str">
            <v>Meitav</v>
          </cell>
          <cell r="I77">
            <v>1250000</v>
          </cell>
          <cell r="J77">
            <v>1.7094638462208992E-2</v>
          </cell>
          <cell r="K77">
            <v>23383.28353745578</v>
          </cell>
          <cell r="L77">
            <v>233036.29339567909</v>
          </cell>
          <cell r="M77">
            <v>256419.57693313487</v>
          </cell>
          <cell r="N77"/>
          <cell r="O77">
            <v>0</v>
          </cell>
          <cell r="P77"/>
          <cell r="Q77"/>
          <cell r="R77">
            <v>0</v>
          </cell>
          <cell r="S77" t="str">
            <v>IRA</v>
          </cell>
          <cell r="T77">
            <v>0</v>
          </cell>
          <cell r="U77">
            <v>256420</v>
          </cell>
          <cell r="V77" t="str">
            <v>#REF!</v>
          </cell>
          <cell r="W77" t="str">
            <v>#REF!</v>
          </cell>
          <cell r="X77" t="str">
            <v>#REF!</v>
          </cell>
          <cell r="Y77" t="str">
            <v>#REF!</v>
          </cell>
          <cell r="Z77" t="str">
            <v>#REF!</v>
          </cell>
          <cell r="AA77" t="e">
            <v>#REF!</v>
          </cell>
          <cell r="AB77">
            <v>256419.57693313487</v>
          </cell>
          <cell r="AC77">
            <v>0</v>
          </cell>
          <cell r="AD77">
            <v>256420</v>
          </cell>
          <cell r="AE77"/>
          <cell r="AK77"/>
          <cell r="AL77">
            <v>538.48199999999997</v>
          </cell>
          <cell r="AM77">
            <v>538.48199999999997</v>
          </cell>
          <cell r="AN77">
            <v>35</v>
          </cell>
          <cell r="AQ77">
            <v>97986.467669999998</v>
          </cell>
          <cell r="AR77">
            <v>158433.10930000001</v>
          </cell>
        </row>
        <row r="78">
          <cell r="A78" t="str">
            <v>8160-01-179</v>
          </cell>
          <cell r="B78" t="str">
            <v>Eyal Vardi</v>
          </cell>
          <cell r="C78" t="str">
            <v>055893275</v>
          </cell>
          <cell r="D78" t="str">
            <v>#REF!</v>
          </cell>
          <cell r="E78"/>
          <cell r="F78" t="str">
            <v>אייל ורדי</v>
          </cell>
          <cell r="G78" t="str">
            <v>II</v>
          </cell>
          <cell r="H78" t="str">
            <v>Meitav</v>
          </cell>
          <cell r="I78">
            <v>198602</v>
          </cell>
          <cell r="J78">
            <v>2.7160235102973041E-3</v>
          </cell>
          <cell r="K78">
            <v>3715.1735016846342</v>
          </cell>
          <cell r="L78">
            <v>37025.179152774923</v>
          </cell>
          <cell r="M78">
            <v>40740.352654459559</v>
          </cell>
          <cell r="N78"/>
          <cell r="O78">
            <v>0</v>
          </cell>
          <cell r="P78"/>
          <cell r="Q78"/>
          <cell r="R78">
            <v>0</v>
          </cell>
          <cell r="S78" t="str">
            <v>IRA</v>
          </cell>
          <cell r="T78">
            <v>0</v>
          </cell>
          <cell r="U78">
            <v>40740</v>
          </cell>
          <cell r="V78" t="str">
            <v>#REF!</v>
          </cell>
          <cell r="W78" t="str">
            <v>#REF!</v>
          </cell>
          <cell r="X78" t="str">
            <v>#REF!</v>
          </cell>
          <cell r="Y78" t="str">
            <v>#REF!</v>
          </cell>
          <cell r="Z78" t="str">
            <v>#REF!</v>
          </cell>
          <cell r="AA78" t="e">
            <v>#REF!</v>
          </cell>
          <cell r="AB78">
            <v>40740.352654459559</v>
          </cell>
          <cell r="AC78">
            <v>0</v>
          </cell>
          <cell r="AD78">
            <v>40740</v>
          </cell>
          <cell r="AE78"/>
          <cell r="AK78"/>
          <cell r="AL78">
            <v>85.553999999999988</v>
          </cell>
          <cell r="AM78">
            <v>85.553999999999988</v>
          </cell>
          <cell r="AN78">
            <v>35</v>
          </cell>
          <cell r="AQ78">
            <v>15568.24676</v>
          </cell>
          <cell r="AR78">
            <v>25172.105889999999</v>
          </cell>
        </row>
        <row r="79">
          <cell r="A79" t="str">
            <v>8160-01-180</v>
          </cell>
          <cell r="B79" t="str">
            <v>Eli Katzav</v>
          </cell>
          <cell r="C79" t="str">
            <v>053370367</v>
          </cell>
          <cell r="D79" t="str">
            <v>#REF!</v>
          </cell>
          <cell r="E79"/>
          <cell r="F79" t="str">
            <v>אלי קצב</v>
          </cell>
          <cell r="G79" t="str">
            <v>II</v>
          </cell>
          <cell r="H79" t="str">
            <v>Meitav</v>
          </cell>
          <cell r="I79">
            <v>250000</v>
          </cell>
          <cell r="J79">
            <v>3.4189276924417983E-3</v>
          </cell>
          <cell r="K79">
            <v>4676.6567074911563</v>
          </cell>
          <cell r="L79">
            <v>46607.258679135819</v>
          </cell>
          <cell r="M79">
            <v>51283.915386626977</v>
          </cell>
          <cell r="N79"/>
          <cell r="O79">
            <v>0</v>
          </cell>
          <cell r="P79"/>
          <cell r="Q79"/>
          <cell r="R79">
            <v>0</v>
          </cell>
          <cell r="S79" t="str">
            <v>IRA</v>
          </cell>
          <cell r="T79">
            <v>0</v>
          </cell>
          <cell r="U79">
            <v>51284</v>
          </cell>
          <cell r="V79" t="str">
            <v>#REF!</v>
          </cell>
          <cell r="W79" t="str">
            <v>#REF!</v>
          </cell>
          <cell r="X79" t="str">
            <v>#REF!</v>
          </cell>
          <cell r="Y79" t="str">
            <v>#REF!</v>
          </cell>
          <cell r="Z79" t="str">
            <v>#REF!</v>
          </cell>
          <cell r="AA79" t="e">
            <v>#REF!</v>
          </cell>
          <cell r="AB79">
            <v>51283.915386626977</v>
          </cell>
          <cell r="AC79">
            <v>0</v>
          </cell>
          <cell r="AD79">
            <v>51284</v>
          </cell>
          <cell r="AE79"/>
          <cell r="AK79"/>
          <cell r="AL79">
            <v>107.6964</v>
          </cell>
          <cell r="AM79">
            <v>107.6964</v>
          </cell>
          <cell r="AN79">
            <v>35</v>
          </cell>
          <cell r="AQ79">
            <v>19597.293529999999</v>
          </cell>
          <cell r="AR79">
            <v>31686.62185</v>
          </cell>
        </row>
        <row r="80">
          <cell r="A80" t="str">
            <v>8160-01-181</v>
          </cell>
          <cell r="B80" t="str">
            <v>Liora (Nachman) Manor</v>
          </cell>
          <cell r="C80" t="str">
            <v>002239028</v>
          </cell>
          <cell r="D80" t="str">
            <v>#REF!</v>
          </cell>
          <cell r="E80"/>
          <cell r="F80" t="str">
            <v>ליאורה מנור</v>
          </cell>
          <cell r="G80" t="str">
            <v>II</v>
          </cell>
          <cell r="H80" t="str">
            <v>Meitav</v>
          </cell>
          <cell r="I80">
            <v>250000</v>
          </cell>
          <cell r="J80">
            <v>3.4189276924417983E-3</v>
          </cell>
          <cell r="K80">
            <v>4676.6567074911563</v>
          </cell>
          <cell r="L80">
            <v>46607.258679135819</v>
          </cell>
          <cell r="M80">
            <v>51283.915386626977</v>
          </cell>
          <cell r="N80"/>
          <cell r="O80">
            <v>0</v>
          </cell>
          <cell r="P80"/>
          <cell r="Q80"/>
          <cell r="R80">
            <v>0</v>
          </cell>
          <cell r="S80" t="str">
            <v>IRA</v>
          </cell>
          <cell r="T80">
            <v>0</v>
          </cell>
          <cell r="U80">
            <v>51284</v>
          </cell>
          <cell r="V80" t="str">
            <v>#REF!</v>
          </cell>
          <cell r="W80" t="str">
            <v>#REF!</v>
          </cell>
          <cell r="X80" t="str">
            <v>#REF!</v>
          </cell>
          <cell r="Y80" t="str">
            <v>#REF!</v>
          </cell>
          <cell r="Z80" t="str">
            <v>#REF!</v>
          </cell>
          <cell r="AA80" t="e">
            <v>#REF!</v>
          </cell>
          <cell r="AB80">
            <v>51283.915386626977</v>
          </cell>
          <cell r="AC80">
            <v>0</v>
          </cell>
          <cell r="AD80">
            <v>51284</v>
          </cell>
          <cell r="AE80"/>
          <cell r="AK80"/>
          <cell r="AL80">
            <v>107.6964</v>
          </cell>
          <cell r="AM80">
            <v>107.6964</v>
          </cell>
          <cell r="AN80">
            <v>35</v>
          </cell>
          <cell r="AQ80">
            <v>19597.293529999999</v>
          </cell>
          <cell r="AR80">
            <v>31686.62185</v>
          </cell>
        </row>
        <row r="81">
          <cell r="A81" t="str">
            <v>8160-01-182</v>
          </cell>
          <cell r="B81" t="str">
            <v>Amos Nahir</v>
          </cell>
          <cell r="C81" t="str">
            <v>051388411</v>
          </cell>
          <cell r="D81" t="str">
            <v>#REF!</v>
          </cell>
          <cell r="E81"/>
          <cell r="F81" t="str">
            <v>עמוס נהיר</v>
          </cell>
          <cell r="G81" t="str">
            <v>II</v>
          </cell>
          <cell r="H81" t="str">
            <v>Meitav</v>
          </cell>
          <cell r="I81">
            <v>200000</v>
          </cell>
          <cell r="J81">
            <v>2.7351421539534388E-3</v>
          </cell>
          <cell r="K81">
            <v>3741.3253659929251</v>
          </cell>
          <cell r="L81">
            <v>37285.806943308657</v>
          </cell>
          <cell r="M81">
            <v>41027.132309301582</v>
          </cell>
          <cell r="N81"/>
          <cell r="O81">
            <v>0</v>
          </cell>
          <cell r="P81"/>
          <cell r="Q81"/>
          <cell r="R81">
            <v>0</v>
          </cell>
          <cell r="S81" t="str">
            <v>IRA</v>
          </cell>
          <cell r="T81">
            <v>0</v>
          </cell>
          <cell r="U81">
            <v>41027</v>
          </cell>
          <cell r="V81" t="str">
            <v>#REF!</v>
          </cell>
          <cell r="W81" t="str">
            <v>#REF!</v>
          </cell>
          <cell r="X81" t="str">
            <v>#REF!</v>
          </cell>
          <cell r="Y81" t="str">
            <v>#REF!</v>
          </cell>
          <cell r="Z81" t="str">
            <v>#REF!</v>
          </cell>
          <cell r="AA81" t="e">
            <v>#REF!</v>
          </cell>
          <cell r="AB81">
            <v>41027.132309301582</v>
          </cell>
          <cell r="AC81">
            <v>0</v>
          </cell>
          <cell r="AD81">
            <v>41027</v>
          </cell>
          <cell r="AE81"/>
          <cell r="AK81"/>
          <cell r="AL81">
            <v>86.156700000000001</v>
          </cell>
          <cell r="AM81">
            <v>86.156700000000001</v>
          </cell>
          <cell r="AN81">
            <v>35</v>
          </cell>
          <cell r="AQ81">
            <v>15677.83483</v>
          </cell>
          <cell r="AR81">
            <v>25349.297480000001</v>
          </cell>
        </row>
        <row r="82">
          <cell r="A82" t="str">
            <v>8160-01-183</v>
          </cell>
          <cell r="B82" t="str">
            <v>Ran Weldman</v>
          </cell>
          <cell r="C82" t="str">
            <v>055483424</v>
          </cell>
          <cell r="D82" t="str">
            <v>#REF!</v>
          </cell>
          <cell r="E82"/>
          <cell r="F82" t="str">
            <v>רן ולדמן</v>
          </cell>
          <cell r="G82" t="str">
            <v>II</v>
          </cell>
          <cell r="H82" t="str">
            <v>Meitav</v>
          </cell>
          <cell r="I82">
            <v>500000</v>
          </cell>
          <cell r="J82">
            <v>6.8378553848835967E-3</v>
          </cell>
          <cell r="K82">
            <v>9353.3134149823127</v>
          </cell>
          <cell r="L82">
            <v>93214.517358271638</v>
          </cell>
          <cell r="M82">
            <v>102567.83077325395</v>
          </cell>
          <cell r="N82"/>
          <cell r="O82">
            <v>0</v>
          </cell>
          <cell r="P82"/>
          <cell r="Q82"/>
          <cell r="R82">
            <v>0</v>
          </cell>
          <cell r="S82" t="str">
            <v>IRA</v>
          </cell>
          <cell r="T82">
            <v>0</v>
          </cell>
          <cell r="U82">
            <v>102568</v>
          </cell>
          <cell r="V82" t="str">
            <v>#REF!</v>
          </cell>
          <cell r="W82" t="str">
            <v>#REF!</v>
          </cell>
          <cell r="X82" t="str">
            <v>#REF!</v>
          </cell>
          <cell r="Y82" t="str">
            <v>#REF!</v>
          </cell>
          <cell r="Z82" t="str">
            <v>#REF!</v>
          </cell>
          <cell r="AA82" t="e">
            <v>#REF!</v>
          </cell>
          <cell r="AB82">
            <v>102567.83077325395</v>
          </cell>
          <cell r="AC82">
            <v>0</v>
          </cell>
          <cell r="AD82">
            <v>102568</v>
          </cell>
          <cell r="AE82"/>
          <cell r="AK82"/>
          <cell r="AL82">
            <v>215.39279999999999</v>
          </cell>
          <cell r="AM82">
            <v>215.39279999999999</v>
          </cell>
          <cell r="AN82">
            <v>35</v>
          </cell>
          <cell r="AQ82">
            <v>39194.587070000001</v>
          </cell>
          <cell r="AR82">
            <v>63373.243710000002</v>
          </cell>
        </row>
        <row r="83">
          <cell r="A83" t="str">
            <v>8160-01-184</v>
          </cell>
          <cell r="B83" t="str">
            <v>Shlomo Helinger</v>
          </cell>
          <cell r="C83" t="str">
            <v>056394026</v>
          </cell>
          <cell r="D83" t="str">
            <v>#REF!</v>
          </cell>
          <cell r="E83"/>
          <cell r="F83" t="str">
            <v>שלמה הלינגר</v>
          </cell>
          <cell r="G83" t="str">
            <v>II</v>
          </cell>
          <cell r="H83" t="str">
            <v>Meitav</v>
          </cell>
          <cell r="I83">
            <v>250000</v>
          </cell>
          <cell r="J83">
            <v>3.4189276924417983E-3</v>
          </cell>
          <cell r="K83">
            <v>4676.6567074911563</v>
          </cell>
          <cell r="L83">
            <v>46607.258679135819</v>
          </cell>
          <cell r="M83">
            <v>51283.915386626977</v>
          </cell>
          <cell r="N83"/>
          <cell r="O83">
            <v>0</v>
          </cell>
          <cell r="P83"/>
          <cell r="Q83"/>
          <cell r="R83">
            <v>0</v>
          </cell>
          <cell r="S83" t="str">
            <v>IRA</v>
          </cell>
          <cell r="T83">
            <v>0</v>
          </cell>
          <cell r="U83">
            <v>51284</v>
          </cell>
          <cell r="V83" t="str">
            <v>#REF!</v>
          </cell>
          <cell r="W83" t="str">
            <v>#REF!</v>
          </cell>
          <cell r="X83" t="str">
            <v>#REF!</v>
          </cell>
          <cell r="Y83" t="str">
            <v>#REF!</v>
          </cell>
          <cell r="Z83" t="str">
            <v>#REF!</v>
          </cell>
          <cell r="AA83" t="e">
            <v>#REF!</v>
          </cell>
          <cell r="AB83">
            <v>51283.915386626977</v>
          </cell>
          <cell r="AC83">
            <v>0</v>
          </cell>
          <cell r="AD83">
            <v>51284</v>
          </cell>
          <cell r="AE83"/>
          <cell r="AK83"/>
          <cell r="AL83">
            <v>107.6964</v>
          </cell>
          <cell r="AM83">
            <v>107.6964</v>
          </cell>
          <cell r="AN83">
            <v>35</v>
          </cell>
          <cell r="AQ83">
            <v>19597.293529999999</v>
          </cell>
          <cell r="AR83">
            <v>31686.62185</v>
          </cell>
        </row>
        <row r="84">
          <cell r="A84" t="str">
            <v>8160-01-185</v>
          </cell>
          <cell r="B84" t="str">
            <v>Ran Oz</v>
          </cell>
          <cell r="C84" t="str">
            <v>059855924</v>
          </cell>
          <cell r="D84" t="str">
            <v>#REF!</v>
          </cell>
          <cell r="E84"/>
          <cell r="F84" t="str">
            <v>רן מנחם עוז</v>
          </cell>
          <cell r="G84" t="str">
            <v>I</v>
          </cell>
          <cell r="H84" t="str">
            <v>Meitav</v>
          </cell>
          <cell r="I84">
            <v>250000</v>
          </cell>
          <cell r="J84">
            <v>3.4189276924417983E-3</v>
          </cell>
          <cell r="K84">
            <v>4676.6567074911563</v>
          </cell>
          <cell r="L84">
            <v>46607.258679135819</v>
          </cell>
          <cell r="M84">
            <v>51283.915386626977</v>
          </cell>
          <cell r="N84"/>
          <cell r="O84">
            <v>0</v>
          </cell>
          <cell r="P84"/>
          <cell r="Q84"/>
          <cell r="R84">
            <v>0</v>
          </cell>
          <cell r="S84" t="str">
            <v>IRA</v>
          </cell>
          <cell r="T84">
            <v>0</v>
          </cell>
          <cell r="U84">
            <v>51284</v>
          </cell>
          <cell r="V84" t="str">
            <v>#REF!</v>
          </cell>
          <cell r="W84" t="str">
            <v>#REF!</v>
          </cell>
          <cell r="X84" t="str">
            <v>#REF!</v>
          </cell>
          <cell r="Y84" t="str">
            <v>#REF!</v>
          </cell>
          <cell r="Z84" t="str">
            <v>#REF!</v>
          </cell>
          <cell r="AA84" t="e">
            <v>#REF!</v>
          </cell>
          <cell r="AB84">
            <v>51283.915386626977</v>
          </cell>
          <cell r="AC84">
            <v>0</v>
          </cell>
          <cell r="AD84">
            <v>51284</v>
          </cell>
          <cell r="AE84"/>
          <cell r="AK84"/>
          <cell r="AL84">
            <v>107.6964</v>
          </cell>
          <cell r="AM84">
            <v>107.6964</v>
          </cell>
          <cell r="AN84">
            <v>35</v>
          </cell>
          <cell r="AQ84">
            <v>19597.293529999999</v>
          </cell>
          <cell r="AR84">
            <v>31686.62185</v>
          </cell>
        </row>
        <row r="85">
          <cell r="A85" t="str">
            <v>8160-01-186</v>
          </cell>
          <cell r="B85" t="str">
            <v>Amotz Yarden</v>
          </cell>
          <cell r="C85">
            <v>53930681</v>
          </cell>
          <cell r="D85" t="str">
            <v>#REF!</v>
          </cell>
          <cell r="E85"/>
          <cell r="F85" t="str">
            <v>אמוץ ירדן</v>
          </cell>
          <cell r="G85" t="str">
            <v>III</v>
          </cell>
          <cell r="H85"/>
          <cell r="I85">
            <v>555000</v>
          </cell>
          <cell r="J85">
            <v>7.5900194772207923E-3</v>
          </cell>
          <cell r="K85">
            <v>10382.177890630366</v>
          </cell>
          <cell r="L85">
            <v>103468.11426768151</v>
          </cell>
          <cell r="M85">
            <v>113850.29215831187</v>
          </cell>
          <cell r="N85">
            <v>2595.5444726575915</v>
          </cell>
          <cell r="O85">
            <v>0</v>
          </cell>
          <cell r="P85">
            <v>0</v>
          </cell>
          <cell r="Q85">
            <v>2595.5444726575915</v>
          </cell>
          <cell r="R85">
            <v>2595.5444726575915</v>
          </cell>
          <cell r="S85" t="str">
            <v>X</v>
          </cell>
          <cell r="T85"/>
          <cell r="U85">
            <v>111255</v>
          </cell>
          <cell r="V85" t="str">
            <v>#REF!</v>
          </cell>
          <cell r="W85" t="str">
            <v>#REF!</v>
          </cell>
          <cell r="X85" t="str">
            <v>#REF!</v>
          </cell>
          <cell r="Y85" t="str">
            <v>#REF!</v>
          </cell>
          <cell r="Z85" t="str">
            <v>#REF!</v>
          </cell>
          <cell r="AA85" t="str">
            <v>Zero investment in 2019</v>
          </cell>
          <cell r="AB85">
            <v>113850.29215831187</v>
          </cell>
          <cell r="AC85">
            <v>2595.5444726575915</v>
          </cell>
          <cell r="AD85">
            <v>111255</v>
          </cell>
          <cell r="AE85"/>
          <cell r="AK85"/>
          <cell r="AL85">
            <v>233.63549999999998</v>
          </cell>
          <cell r="AM85">
            <v>233.63549999999998</v>
          </cell>
          <cell r="AN85">
            <v>35</v>
          </cell>
          <cell r="AQ85">
            <v>43505.99164</v>
          </cell>
          <cell r="AR85">
            <v>70344.300510000001</v>
          </cell>
        </row>
        <row r="86">
          <cell r="A86" t="str">
            <v>8160-01-187</v>
          </cell>
          <cell r="B86" t="str">
            <v>Eli Amit</v>
          </cell>
          <cell r="C86" t="str">
            <v>525944900</v>
          </cell>
          <cell r="D86" t="str">
            <v>#REF!</v>
          </cell>
          <cell r="E86"/>
          <cell r="F86" t="str">
            <v>אלי עמית</v>
          </cell>
          <cell r="G86" t="str">
            <v>III</v>
          </cell>
          <cell r="H86" t="str">
            <v>Kal-Gemel</v>
          </cell>
          <cell r="I86">
            <v>290000</v>
          </cell>
          <cell r="J86">
            <v>3.9659561232324864E-3</v>
          </cell>
          <cell r="K86">
            <v>5424.9217806897414</v>
          </cell>
          <cell r="L86">
            <v>54064.420067797553</v>
          </cell>
          <cell r="M86">
            <v>59489.341848487296</v>
          </cell>
          <cell r="N86"/>
          <cell r="O86">
            <v>0</v>
          </cell>
          <cell r="P86"/>
          <cell r="Q86"/>
          <cell r="R86">
            <v>0</v>
          </cell>
          <cell r="S86" t="str">
            <v>IRA</v>
          </cell>
          <cell r="T86">
            <v>0</v>
          </cell>
          <cell r="U86">
            <v>59489</v>
          </cell>
          <cell r="V86" t="str">
            <v>#REF!</v>
          </cell>
          <cell r="W86" t="str">
            <v>#REF!</v>
          </cell>
          <cell r="X86" t="str">
            <v>#REF!</v>
          </cell>
          <cell r="Y86" t="str">
            <v>#REF!</v>
          </cell>
          <cell r="Z86" t="str">
            <v>#REF!</v>
          </cell>
          <cell r="AA86" t="str">
            <v>Zero investment in 2019</v>
          </cell>
          <cell r="AB86">
            <v>59489.341848487296</v>
          </cell>
          <cell r="AC86">
            <v>0</v>
          </cell>
          <cell r="AD86">
            <v>59489</v>
          </cell>
          <cell r="AE86"/>
          <cell r="AK86"/>
          <cell r="AL86">
            <v>124.92689999999999</v>
          </cell>
          <cell r="AM86">
            <v>124.92689999999999</v>
          </cell>
          <cell r="AN86">
            <v>35</v>
          </cell>
          <cell r="AQ86">
            <v>22732.860499999999</v>
          </cell>
          <cell r="AR86">
            <v>36756.481350000002</v>
          </cell>
        </row>
        <row r="87">
          <cell r="A87" t="str">
            <v>8160-01-188</v>
          </cell>
          <cell r="B87" t="str">
            <v>Yoram &amp; Smadar Gurwich</v>
          </cell>
          <cell r="C87" t="str">
            <v>Yoram- 064445661
Smadar - 054119714</v>
          </cell>
          <cell r="D87" t="str">
            <v>#REF!</v>
          </cell>
          <cell r="E87"/>
          <cell r="F87" t="str">
            <v>יורם גורביץ וסמדר גורביץ</v>
          </cell>
          <cell r="G87" t="str">
            <v>III</v>
          </cell>
          <cell r="H87"/>
          <cell r="I87">
            <v>250000</v>
          </cell>
          <cell r="J87">
            <v>3.4189276924417983E-3</v>
          </cell>
          <cell r="K87">
            <v>4676.6567074911563</v>
          </cell>
          <cell r="L87">
            <v>46607.258679135819</v>
          </cell>
          <cell r="M87">
            <v>51283.915386626977</v>
          </cell>
          <cell r="N87">
            <v>1169.1641768727891</v>
          </cell>
          <cell r="O87">
            <v>0</v>
          </cell>
          <cell r="P87">
            <v>0</v>
          </cell>
          <cell r="Q87">
            <v>1169.1641768727891</v>
          </cell>
          <cell r="R87">
            <v>1169.1641768727891</v>
          </cell>
          <cell r="S87" t="str">
            <v>X</v>
          </cell>
          <cell r="T87"/>
          <cell r="U87">
            <v>50115</v>
          </cell>
          <cell r="V87" t="str">
            <v>#REF!</v>
          </cell>
          <cell r="W87" t="str">
            <v>#REF!</v>
          </cell>
          <cell r="X87" t="str">
            <v>#REF!</v>
          </cell>
          <cell r="Y87" t="str">
            <v>#REF!</v>
          </cell>
          <cell r="Z87" t="str">
            <v>#REF!</v>
          </cell>
          <cell r="AA87" t="str">
            <v>Zero investment in 2019</v>
          </cell>
          <cell r="AB87">
            <v>51283.915386626977</v>
          </cell>
          <cell r="AC87">
            <v>1169.1641768727891</v>
          </cell>
          <cell r="AD87">
            <v>50115</v>
          </cell>
          <cell r="AE87"/>
          <cell r="AK87"/>
          <cell r="AL87">
            <v>105.24149999999999</v>
          </cell>
          <cell r="AM87">
            <v>105.24149999999999</v>
          </cell>
          <cell r="AN87">
            <v>35</v>
          </cell>
          <cell r="AQ87">
            <v>19597.293529999999</v>
          </cell>
          <cell r="AR87">
            <v>31686.62185</v>
          </cell>
        </row>
        <row r="88">
          <cell r="A88" t="str">
            <v>8160-01-189</v>
          </cell>
          <cell r="B88" t="str">
            <v>Channa Sharef</v>
          </cell>
          <cell r="C88" t="str">
            <v>001075324</v>
          </cell>
          <cell r="D88" t="str">
            <v>#REF!</v>
          </cell>
          <cell r="E88"/>
          <cell r="F88" t="str">
            <v>חנה שרף</v>
          </cell>
          <cell r="G88" t="str">
            <v>III</v>
          </cell>
          <cell r="H88" t="str">
            <v>Meitav</v>
          </cell>
          <cell r="I88">
            <v>250000</v>
          </cell>
          <cell r="J88">
            <v>3.4189276924417983E-3</v>
          </cell>
          <cell r="K88">
            <v>4676.6567074911563</v>
          </cell>
          <cell r="L88">
            <v>46607.258679135819</v>
          </cell>
          <cell r="M88">
            <v>51283.915386626977</v>
          </cell>
          <cell r="N88"/>
          <cell r="O88">
            <v>0</v>
          </cell>
          <cell r="P88"/>
          <cell r="Q88"/>
          <cell r="R88">
            <v>0</v>
          </cell>
          <cell r="S88" t="str">
            <v>IRA</v>
          </cell>
          <cell r="T88">
            <v>0</v>
          </cell>
          <cell r="U88">
            <v>51284</v>
          </cell>
          <cell r="V88" t="str">
            <v>#REF!</v>
          </cell>
          <cell r="W88" t="str">
            <v>#REF!</v>
          </cell>
          <cell r="X88" t="str">
            <v>#REF!</v>
          </cell>
          <cell r="Y88" t="str">
            <v>#REF!</v>
          </cell>
          <cell r="Z88" t="str">
            <v>#REF!</v>
          </cell>
          <cell r="AA88" t="str">
            <v>Zero investment in 2019</v>
          </cell>
          <cell r="AB88">
            <v>51283.915386626977</v>
          </cell>
          <cell r="AC88">
            <v>0</v>
          </cell>
          <cell r="AD88">
            <v>51284</v>
          </cell>
          <cell r="AE88"/>
          <cell r="AK88"/>
          <cell r="AL88">
            <v>107.6964</v>
          </cell>
          <cell r="AM88">
            <v>107.6964</v>
          </cell>
          <cell r="AN88">
            <v>35</v>
          </cell>
          <cell r="AQ88">
            <v>19597.293529999999</v>
          </cell>
          <cell r="AR88">
            <v>31686.62185</v>
          </cell>
        </row>
        <row r="89">
          <cell r="A89" t="str">
            <v>8160-01-190</v>
          </cell>
          <cell r="B89" t="str">
            <v>Yair Amit</v>
          </cell>
          <cell r="C89" t="str">
            <v>038757068</v>
          </cell>
          <cell r="D89" t="str">
            <v>#REF!</v>
          </cell>
          <cell r="E89"/>
          <cell r="F89" t="str">
            <v>יאיר עמית</v>
          </cell>
          <cell r="G89" t="str">
            <v>III</v>
          </cell>
          <cell r="H89"/>
          <cell r="I89">
            <v>250000</v>
          </cell>
          <cell r="J89">
            <v>3.4189276924417983E-3</v>
          </cell>
          <cell r="K89">
            <v>4676.6567074911563</v>
          </cell>
          <cell r="L89">
            <v>46607.258679135819</v>
          </cell>
          <cell r="M89">
            <v>51283.915386626977</v>
          </cell>
          <cell r="N89">
            <v>1169.1641768727891</v>
          </cell>
          <cell r="O89">
            <v>0</v>
          </cell>
          <cell r="P89">
            <v>0</v>
          </cell>
          <cell r="Q89">
            <v>1169.1641768727891</v>
          </cell>
          <cell r="R89">
            <v>1169.1641768727891</v>
          </cell>
          <cell r="S89" t="str">
            <v>X</v>
          </cell>
          <cell r="T89"/>
          <cell r="U89">
            <v>50115</v>
          </cell>
          <cell r="V89" t="str">
            <v>#REF!</v>
          </cell>
          <cell r="W89" t="str">
            <v>#REF!</v>
          </cell>
          <cell r="X89" t="str">
            <v>#REF!</v>
          </cell>
          <cell r="Y89" t="str">
            <v>#REF!</v>
          </cell>
          <cell r="Z89" t="str">
            <v>#REF!</v>
          </cell>
          <cell r="AA89" t="str">
            <v>Zero investment in 2019</v>
          </cell>
          <cell r="AB89">
            <v>51283.915386626977</v>
          </cell>
          <cell r="AC89">
            <v>1169.1641768727891</v>
          </cell>
          <cell r="AD89">
            <v>50115</v>
          </cell>
          <cell r="AE89"/>
          <cell r="AK89"/>
          <cell r="AL89">
            <v>105.24149999999999</v>
          </cell>
          <cell r="AM89">
            <v>105.24149999999999</v>
          </cell>
          <cell r="AN89">
            <v>35</v>
          </cell>
          <cell r="AQ89">
            <v>19597.293529999999</v>
          </cell>
          <cell r="AR89">
            <v>31686.62185</v>
          </cell>
        </row>
        <row r="90">
          <cell r="A90" t="str">
            <v>8160-01-191</v>
          </cell>
          <cell r="B90" t="str">
            <v>Ariel Cohen</v>
          </cell>
          <cell r="C90" t="str">
            <v>Ariel - 056164510
Nurit - 022583181</v>
          </cell>
          <cell r="D90" t="str">
            <v>#REF!</v>
          </cell>
          <cell r="E90"/>
          <cell r="F90" t="str">
            <v>אריאל כהן ונורית כהן</v>
          </cell>
          <cell r="G90" t="str">
            <v>III</v>
          </cell>
          <cell r="H90"/>
          <cell r="I90">
            <v>300000</v>
          </cell>
          <cell r="J90">
            <v>4.1027132309301578E-3</v>
          </cell>
          <cell r="K90">
            <v>5611.9880489893867</v>
          </cell>
          <cell r="L90">
            <v>55928.710414962974</v>
          </cell>
          <cell r="M90">
            <v>61540.698463952358</v>
          </cell>
          <cell r="N90">
            <v>1402.9970122473467</v>
          </cell>
          <cell r="O90">
            <v>0</v>
          </cell>
          <cell r="P90">
            <v>0</v>
          </cell>
          <cell r="Q90">
            <v>1402.9970122473467</v>
          </cell>
          <cell r="R90">
            <v>1402.9970122473467</v>
          </cell>
          <cell r="S90" t="str">
            <v>X</v>
          </cell>
          <cell r="T90"/>
          <cell r="U90">
            <v>60138</v>
          </cell>
          <cell r="V90" t="str">
            <v>#REF!</v>
          </cell>
          <cell r="W90" t="str">
            <v>#REF!</v>
          </cell>
          <cell r="X90" t="str">
            <v>#REF!</v>
          </cell>
          <cell r="Y90" t="str">
            <v>#REF!</v>
          </cell>
          <cell r="Z90" t="str">
            <v>#REF!</v>
          </cell>
          <cell r="AA90" t="str">
            <v>Zero investment in 2019</v>
          </cell>
          <cell r="AB90">
            <v>61540.698463952358</v>
          </cell>
          <cell r="AC90">
            <v>1402.9970122473467</v>
          </cell>
          <cell r="AD90">
            <v>60138</v>
          </cell>
          <cell r="AE90"/>
          <cell r="AK90"/>
          <cell r="AL90">
            <v>126.28979999999999</v>
          </cell>
          <cell r="AM90">
            <v>126.28979999999999</v>
          </cell>
          <cell r="AN90">
            <v>35</v>
          </cell>
          <cell r="AQ90">
            <v>23516.752240000002</v>
          </cell>
          <cell r="AR90">
            <v>38023.946219999998</v>
          </cell>
        </row>
        <row r="91">
          <cell r="A91" t="str">
            <v>8160-01-192</v>
          </cell>
          <cell r="B91" t="str">
            <v>Ranuman LTD</v>
          </cell>
          <cell r="C91">
            <v>514201912</v>
          </cell>
          <cell r="D91" t="str">
            <v>#REF!</v>
          </cell>
          <cell r="E91" t="str">
            <v>Ranuman LTD</v>
          </cell>
          <cell r="F91" t="str">
            <v>רנאומן בע"מ</v>
          </cell>
          <cell r="G91" t="str">
            <v>III</v>
          </cell>
          <cell r="H91"/>
          <cell r="I91">
            <v>500000</v>
          </cell>
          <cell r="J91">
            <v>6.8378553848835967E-3</v>
          </cell>
          <cell r="K91">
            <v>9353.3134149823127</v>
          </cell>
          <cell r="L91">
            <v>93214.517358271638</v>
          </cell>
          <cell r="M91">
            <v>102567.83077325395</v>
          </cell>
          <cell r="N91"/>
          <cell r="O91">
            <v>0</v>
          </cell>
          <cell r="P91"/>
          <cell r="Q91"/>
          <cell r="R91">
            <v>0</v>
          </cell>
          <cell r="S91" t="str">
            <v>V</v>
          </cell>
          <cell r="T91">
            <v>0</v>
          </cell>
          <cell r="U91">
            <v>102568</v>
          </cell>
          <cell r="V91" t="str">
            <v>#REF!</v>
          </cell>
          <cell r="W91" t="str">
            <v>#REF!</v>
          </cell>
          <cell r="X91" t="str">
            <v>#REF!</v>
          </cell>
          <cell r="Y91" t="str">
            <v>#REF!</v>
          </cell>
          <cell r="Z91" t="str">
            <v>#REF!</v>
          </cell>
          <cell r="AA91" t="str">
            <v>Zero investment in 2019</v>
          </cell>
          <cell r="AB91">
            <v>102567.83077325395</v>
          </cell>
          <cell r="AC91">
            <v>0</v>
          </cell>
          <cell r="AD91">
            <v>102568</v>
          </cell>
          <cell r="AE91"/>
          <cell r="AK91"/>
          <cell r="AL91">
            <v>215.39279999999999</v>
          </cell>
          <cell r="AM91">
            <v>215.39279999999999</v>
          </cell>
          <cell r="AN91">
            <v>35</v>
          </cell>
          <cell r="AQ91">
            <v>39194.587070000001</v>
          </cell>
          <cell r="AR91">
            <v>63373.243710000002</v>
          </cell>
        </row>
        <row r="92">
          <cell r="A92" t="str">
            <v>8160-01-193</v>
          </cell>
          <cell r="B92" t="str">
            <v>Gabriela Avron</v>
          </cell>
          <cell r="C92" t="str">
            <v>026127795</v>
          </cell>
          <cell r="D92" t="str">
            <v>#REF!</v>
          </cell>
          <cell r="E92"/>
          <cell r="F92" t="str">
            <v>גבריאלה אברון</v>
          </cell>
          <cell r="G92" t="str">
            <v>III</v>
          </cell>
          <cell r="H92"/>
          <cell r="I92">
            <v>150000</v>
          </cell>
          <cell r="J92">
            <v>2.0513566154650789E-3</v>
          </cell>
          <cell r="K92">
            <v>2805.9940244946933</v>
          </cell>
          <cell r="L92">
            <v>27964.355207481487</v>
          </cell>
          <cell r="M92">
            <v>30770.349231976179</v>
          </cell>
          <cell r="N92">
            <v>701.49850612367334</v>
          </cell>
          <cell r="O92">
            <v>0</v>
          </cell>
          <cell r="P92">
            <v>0</v>
          </cell>
          <cell r="Q92">
            <v>701.49850612367334</v>
          </cell>
          <cell r="R92">
            <v>701.49850612367334</v>
          </cell>
          <cell r="S92" t="str">
            <v>X</v>
          </cell>
          <cell r="T92"/>
          <cell r="U92">
            <v>30069</v>
          </cell>
          <cell r="V92" t="str">
            <v>#REF!</v>
          </cell>
          <cell r="W92" t="str">
            <v>#REF!</v>
          </cell>
          <cell r="X92" t="str">
            <v>#REF!</v>
          </cell>
          <cell r="Y92" t="str">
            <v>#REF!</v>
          </cell>
          <cell r="Z92" t="str">
            <v>#REF!</v>
          </cell>
          <cell r="AA92" t="str">
            <v>Zero investment in 2019</v>
          </cell>
          <cell r="AB92">
            <v>30770.349231976179</v>
          </cell>
          <cell r="AC92">
            <v>701.49850612367334</v>
          </cell>
          <cell r="AD92">
            <v>30069</v>
          </cell>
          <cell r="AE92"/>
          <cell r="AK92"/>
          <cell r="AL92">
            <v>63.144899999999993</v>
          </cell>
          <cell r="AM92">
            <v>63.144899999999993</v>
          </cell>
          <cell r="AN92">
            <v>35</v>
          </cell>
          <cell r="AQ92">
            <v>11758.376120000001</v>
          </cell>
          <cell r="AR92">
            <v>19011.973109999999</v>
          </cell>
        </row>
        <row r="93">
          <cell r="A93" t="str">
            <v>8160-01-194</v>
          </cell>
          <cell r="B93" t="str">
            <v>Ilan Cohen</v>
          </cell>
          <cell r="C93" t="str">
            <v>058105131</v>
          </cell>
          <cell r="D93" t="str">
            <v>#REF!</v>
          </cell>
          <cell r="E93"/>
          <cell r="F93" t="str">
            <v>אילן כהן</v>
          </cell>
          <cell r="G93" t="str">
            <v>III</v>
          </cell>
          <cell r="H93"/>
          <cell r="I93">
            <v>100000</v>
          </cell>
          <cell r="J93">
            <v>1.3675710769767194E-3</v>
          </cell>
          <cell r="K93">
            <v>1870.6626829964625</v>
          </cell>
          <cell r="L93">
            <v>18642.903471654328</v>
          </cell>
          <cell r="M93">
            <v>20513.566154650791</v>
          </cell>
          <cell r="N93">
            <v>467.66567074911563</v>
          </cell>
          <cell r="O93">
            <v>0</v>
          </cell>
          <cell r="P93">
            <v>0</v>
          </cell>
          <cell r="Q93">
            <v>467.66567074911563</v>
          </cell>
          <cell r="R93">
            <v>467.66567074911563</v>
          </cell>
          <cell r="S93" t="str">
            <v>X</v>
          </cell>
          <cell r="T93"/>
          <cell r="U93">
            <v>20046</v>
          </cell>
          <cell r="V93" t="str">
            <v>#REF!</v>
          </cell>
          <cell r="W93" t="str">
            <v>#REF!</v>
          </cell>
          <cell r="X93" t="str">
            <v>#REF!</v>
          </cell>
          <cell r="Y93" t="str">
            <v>#REF!</v>
          </cell>
          <cell r="Z93" t="str">
            <v>#REF!</v>
          </cell>
          <cell r="AA93" t="str">
            <v>Zero investment in 2019</v>
          </cell>
          <cell r="AB93">
            <v>20513.566154650791</v>
          </cell>
          <cell r="AC93">
            <v>467.66567074911563</v>
          </cell>
          <cell r="AD93">
            <v>20046</v>
          </cell>
          <cell r="AE93"/>
          <cell r="AK93"/>
          <cell r="AL93">
            <v>42.096599999999995</v>
          </cell>
          <cell r="AM93">
            <v>42.096599999999995</v>
          </cell>
          <cell r="AN93">
            <v>35</v>
          </cell>
          <cell r="AQ93">
            <v>7838.9174130000001</v>
          </cell>
          <cell r="AR93">
            <v>12674.648740000001</v>
          </cell>
        </row>
        <row r="94">
          <cell r="A94" t="str">
            <v>8160-01-195</v>
          </cell>
          <cell r="B94" t="str">
            <v>Kopelman LTD</v>
          </cell>
          <cell r="C94">
            <v>510204555</v>
          </cell>
          <cell r="D94" t="str">
            <v>#REF!</v>
          </cell>
          <cell r="E94" t="str">
            <v>Kopelman LTD</v>
          </cell>
          <cell r="F94" t="str">
            <v>חברת קופלמן בע"מ</v>
          </cell>
          <cell r="G94" t="str">
            <v>III</v>
          </cell>
          <cell r="H94"/>
          <cell r="I94">
            <v>250000</v>
          </cell>
          <cell r="J94">
            <v>3.4189276924417983E-3</v>
          </cell>
          <cell r="K94">
            <v>4676.6567074911563</v>
          </cell>
          <cell r="L94">
            <v>46607.258679135819</v>
          </cell>
          <cell r="M94">
            <v>51283.915386626977</v>
          </cell>
          <cell r="N94"/>
          <cell r="O94">
            <v>0</v>
          </cell>
          <cell r="P94">
            <v>0</v>
          </cell>
          <cell r="Q94"/>
          <cell r="R94">
            <v>0</v>
          </cell>
          <cell r="S94" t="str">
            <v>V</v>
          </cell>
          <cell r="T94"/>
          <cell r="U94">
            <v>51284</v>
          </cell>
          <cell r="V94" t="str">
            <v>#REF!</v>
          </cell>
          <cell r="W94" t="str">
            <v>#REF!</v>
          </cell>
          <cell r="X94" t="str">
            <v>#REF!</v>
          </cell>
          <cell r="Y94" t="str">
            <v>#REF!</v>
          </cell>
          <cell r="Z94" t="str">
            <v>#REF!</v>
          </cell>
          <cell r="AA94" t="str">
            <v>Zero investment in 2019</v>
          </cell>
          <cell r="AB94">
            <v>51283.915386626977</v>
          </cell>
          <cell r="AC94">
            <v>0</v>
          </cell>
          <cell r="AD94">
            <v>51284</v>
          </cell>
          <cell r="AE94"/>
          <cell r="AK94"/>
          <cell r="AL94">
            <v>107.6964</v>
          </cell>
          <cell r="AM94">
            <v>107.6964</v>
          </cell>
          <cell r="AN94">
            <v>35</v>
          </cell>
          <cell r="AQ94">
            <v>19597.293529999999</v>
          </cell>
          <cell r="AR94">
            <v>31686.62185</v>
          </cell>
        </row>
        <row r="95">
          <cell r="A95" t="str">
            <v>8160-01-196</v>
          </cell>
          <cell r="B95" t="str">
            <v>Michael lutzky</v>
          </cell>
          <cell r="C95" t="str">
            <v>017518861</v>
          </cell>
          <cell r="D95" t="str">
            <v>#REF!</v>
          </cell>
          <cell r="E95"/>
          <cell r="F95" t="str">
            <v>מיכאל לוצקי</v>
          </cell>
          <cell r="G95" t="str">
            <v>III</v>
          </cell>
          <cell r="H95"/>
          <cell r="I95">
            <v>300000</v>
          </cell>
          <cell r="J95">
            <v>4.1027132309301578E-3</v>
          </cell>
          <cell r="K95">
            <v>5611.9880489893867</v>
          </cell>
          <cell r="L95">
            <v>55928.710414962974</v>
          </cell>
          <cell r="M95">
            <v>61540.698463952358</v>
          </cell>
          <cell r="N95">
            <v>1402.9970122473467</v>
          </cell>
          <cell r="O95">
            <v>0</v>
          </cell>
          <cell r="P95">
            <v>0</v>
          </cell>
          <cell r="Q95">
            <v>1402.9970122473467</v>
          </cell>
          <cell r="R95">
            <v>1402.9970122473467</v>
          </cell>
          <cell r="S95" t="str">
            <v>X</v>
          </cell>
          <cell r="T95"/>
          <cell r="U95">
            <v>60138</v>
          </cell>
          <cell r="V95" t="str">
            <v>#REF!</v>
          </cell>
          <cell r="W95" t="str">
            <v>#REF!</v>
          </cell>
          <cell r="X95" t="str">
            <v>#REF!</v>
          </cell>
          <cell r="Y95" t="str">
            <v>#REF!</v>
          </cell>
          <cell r="Z95" t="str">
            <v>#REF!</v>
          </cell>
          <cell r="AA95" t="str">
            <v>Zero investment in 2019</v>
          </cell>
          <cell r="AB95">
            <v>61540.698463952358</v>
          </cell>
          <cell r="AC95">
            <v>1402.9970122473467</v>
          </cell>
          <cell r="AD95">
            <v>60138</v>
          </cell>
          <cell r="AE95"/>
          <cell r="AK95"/>
          <cell r="AL95">
            <v>126.28979999999999</v>
          </cell>
          <cell r="AM95">
            <v>126.28979999999999</v>
          </cell>
          <cell r="AN95">
            <v>35</v>
          </cell>
          <cell r="AQ95">
            <v>23516.752240000002</v>
          </cell>
          <cell r="AR95">
            <v>38023.946219999998</v>
          </cell>
        </row>
        <row r="96">
          <cell r="A96" t="str">
            <v>8160-01-197</v>
          </cell>
          <cell r="B96" t="str">
            <v>Nirit Leshem</v>
          </cell>
          <cell r="C96">
            <v>56158298</v>
          </cell>
          <cell r="D96" t="str">
            <v>#REF!</v>
          </cell>
          <cell r="E96"/>
          <cell r="F96" t="str">
            <v>נירית לשם</v>
          </cell>
          <cell r="G96" t="str">
            <v>III</v>
          </cell>
          <cell r="H96"/>
          <cell r="I96">
            <v>250000</v>
          </cell>
          <cell r="J96">
            <v>3.4189276924417983E-3</v>
          </cell>
          <cell r="K96">
            <v>4676.6567074911563</v>
          </cell>
          <cell r="L96">
            <v>46607.258679135819</v>
          </cell>
          <cell r="M96">
            <v>51283.915386626977</v>
          </cell>
          <cell r="N96">
            <v>1169.1641768727891</v>
          </cell>
          <cell r="O96">
            <v>0</v>
          </cell>
          <cell r="P96">
            <v>0</v>
          </cell>
          <cell r="Q96">
            <v>1169.1641768727891</v>
          </cell>
          <cell r="R96">
            <v>1169.1641768727891</v>
          </cell>
          <cell r="S96" t="str">
            <v>X</v>
          </cell>
          <cell r="T96"/>
          <cell r="U96">
            <v>50115</v>
          </cell>
          <cell r="V96" t="str">
            <v>#REF!</v>
          </cell>
          <cell r="W96" t="str">
            <v>#REF!</v>
          </cell>
          <cell r="X96" t="str">
            <v>#REF!</v>
          </cell>
          <cell r="Y96" t="str">
            <v>#REF!</v>
          </cell>
          <cell r="Z96" t="str">
            <v>#REF!</v>
          </cell>
          <cell r="AA96" t="str">
            <v>Zero investment in 2019</v>
          </cell>
          <cell r="AB96">
            <v>51283.915386626977</v>
          </cell>
          <cell r="AC96">
            <v>1169.1641768727891</v>
          </cell>
          <cell r="AD96">
            <v>50115</v>
          </cell>
          <cell r="AE96"/>
          <cell r="AK96"/>
          <cell r="AL96">
            <v>105.24149999999999</v>
          </cell>
          <cell r="AM96">
            <v>105.24149999999999</v>
          </cell>
          <cell r="AN96">
            <v>35</v>
          </cell>
          <cell r="AQ96">
            <v>19597.293529999999</v>
          </cell>
          <cell r="AR96">
            <v>31686.62185</v>
          </cell>
        </row>
        <row r="97">
          <cell r="A97" t="str">
            <v>8160-01-198</v>
          </cell>
          <cell r="B97" t="str">
            <v>Nurit Cohen</v>
          </cell>
          <cell r="C97" t="str">
            <v>001634542</v>
          </cell>
          <cell r="D97" t="str">
            <v>#REF!</v>
          </cell>
          <cell r="E97"/>
          <cell r="F97" t="str">
            <v>נורית כהן</v>
          </cell>
          <cell r="G97" t="str">
            <v>III</v>
          </cell>
          <cell r="H97"/>
          <cell r="I97">
            <v>300000</v>
          </cell>
          <cell r="J97">
            <v>4.1027132309301578E-3</v>
          </cell>
          <cell r="K97">
            <v>5611.9880489893867</v>
          </cell>
          <cell r="L97">
            <v>55928.710414962974</v>
          </cell>
          <cell r="M97">
            <v>61540.698463952358</v>
          </cell>
          <cell r="N97">
            <v>1402.9970122473467</v>
          </cell>
          <cell r="O97">
            <v>0</v>
          </cell>
          <cell r="P97">
            <v>0</v>
          </cell>
          <cell r="Q97">
            <v>1402.9970122473467</v>
          </cell>
          <cell r="R97">
            <v>1402.9970122473467</v>
          </cell>
          <cell r="S97" t="str">
            <v>X</v>
          </cell>
          <cell r="T97"/>
          <cell r="U97">
            <v>60138</v>
          </cell>
          <cell r="V97" t="str">
            <v>#REF!</v>
          </cell>
          <cell r="W97" t="str">
            <v>#REF!</v>
          </cell>
          <cell r="X97" t="str">
            <v>#REF!</v>
          </cell>
          <cell r="Y97" t="str">
            <v>#REF!</v>
          </cell>
          <cell r="Z97" t="str">
            <v>#REF!</v>
          </cell>
          <cell r="AA97" t="str">
            <v>Zero investment in 2019</v>
          </cell>
          <cell r="AB97">
            <v>61540.698463952358</v>
          </cell>
          <cell r="AC97">
            <v>1402.9970122473467</v>
          </cell>
          <cell r="AD97">
            <v>60138</v>
          </cell>
          <cell r="AE97"/>
          <cell r="AK97"/>
          <cell r="AL97">
            <v>126.28979999999999</v>
          </cell>
          <cell r="AM97">
            <v>126.28979999999999</v>
          </cell>
          <cell r="AN97">
            <v>35</v>
          </cell>
          <cell r="AQ97">
            <v>23516.752240000002</v>
          </cell>
          <cell r="AR97">
            <v>38023.946219999998</v>
          </cell>
        </row>
        <row r="98">
          <cell r="A98" t="str">
            <v>8160-01-199</v>
          </cell>
          <cell r="B98" t="str">
            <v>Ofer Adler</v>
          </cell>
          <cell r="C98" t="str">
            <v>027750660</v>
          </cell>
          <cell r="D98" t="str">
            <v>#REF!</v>
          </cell>
          <cell r="E98"/>
          <cell r="F98" t="str">
            <v>עופר אדלר</v>
          </cell>
          <cell r="G98" t="str">
            <v>III</v>
          </cell>
          <cell r="H98"/>
          <cell r="I98">
            <v>280000</v>
          </cell>
          <cell r="J98">
            <v>3.829199015534814E-3</v>
          </cell>
          <cell r="K98">
            <v>5237.8555123900942</v>
          </cell>
          <cell r="L98">
            <v>52200.129720632111</v>
          </cell>
          <cell r="M98">
            <v>57437.985233022206</v>
          </cell>
          <cell r="N98">
            <v>1309.4638780975235</v>
          </cell>
          <cell r="O98">
            <v>0</v>
          </cell>
          <cell r="P98">
            <v>0</v>
          </cell>
          <cell r="Q98">
            <v>1309.4638780975235</v>
          </cell>
          <cell r="R98">
            <v>1309.4638780975235</v>
          </cell>
          <cell r="S98" t="str">
            <v>X</v>
          </cell>
          <cell r="T98"/>
          <cell r="U98">
            <v>56129</v>
          </cell>
          <cell r="V98" t="str">
            <v>#REF!</v>
          </cell>
          <cell r="W98" t="str">
            <v>#REF!</v>
          </cell>
          <cell r="X98" t="str">
            <v>#REF!</v>
          </cell>
          <cell r="Y98" t="str">
            <v>#REF!</v>
          </cell>
          <cell r="Z98" t="str">
            <v>#REF!</v>
          </cell>
          <cell r="AA98" t="str">
            <v>Zero investment in 2019</v>
          </cell>
          <cell r="AB98">
            <v>57437.985233022206</v>
          </cell>
          <cell r="AC98">
            <v>1309.4638780975235</v>
          </cell>
          <cell r="AD98">
            <v>56129</v>
          </cell>
          <cell r="AE98"/>
          <cell r="AK98"/>
          <cell r="AL98">
            <v>117.87089999999999</v>
          </cell>
          <cell r="AM98">
            <v>117.87089999999999</v>
          </cell>
          <cell r="AN98">
            <v>35</v>
          </cell>
          <cell r="AQ98">
            <v>21948.96876</v>
          </cell>
          <cell r="AR98">
            <v>35489.016479999998</v>
          </cell>
        </row>
        <row r="99">
          <cell r="A99" t="str">
            <v>8160-01-200</v>
          </cell>
          <cell r="B99" t="str">
            <v>Tamir Cohen</v>
          </cell>
          <cell r="C99" t="str">
            <v>024117152</v>
          </cell>
          <cell r="D99" t="str">
            <v>#REF!</v>
          </cell>
          <cell r="E99"/>
          <cell r="F99" t="str">
            <v>תמיר כהן</v>
          </cell>
          <cell r="G99" t="str">
            <v>III</v>
          </cell>
          <cell r="H99"/>
          <cell r="I99">
            <v>100000</v>
          </cell>
          <cell r="J99">
            <v>1.3675710769767194E-3</v>
          </cell>
          <cell r="K99">
            <v>1870.6626829964625</v>
          </cell>
          <cell r="L99">
            <v>18642.903471654328</v>
          </cell>
          <cell r="M99">
            <v>20513.566154650791</v>
          </cell>
          <cell r="N99">
            <v>467.66567074911563</v>
          </cell>
          <cell r="O99">
            <v>0</v>
          </cell>
          <cell r="P99">
            <v>0</v>
          </cell>
          <cell r="Q99">
            <v>467.66567074911563</v>
          </cell>
          <cell r="R99">
            <v>467.66567074911563</v>
          </cell>
          <cell r="S99" t="str">
            <v>X</v>
          </cell>
          <cell r="T99"/>
          <cell r="U99">
            <v>20046</v>
          </cell>
          <cell r="V99" t="str">
            <v>#REF!</v>
          </cell>
          <cell r="W99" t="str">
            <v>#REF!</v>
          </cell>
          <cell r="X99" t="str">
            <v>#REF!</v>
          </cell>
          <cell r="Y99" t="str">
            <v>#REF!</v>
          </cell>
          <cell r="Z99" t="str">
            <v>#REF!</v>
          </cell>
          <cell r="AA99" t="str">
            <v>Zero investment in 2019</v>
          </cell>
          <cell r="AB99">
            <v>20513.566154650791</v>
          </cell>
          <cell r="AC99">
            <v>467.66567074911563</v>
          </cell>
          <cell r="AD99">
            <v>20046</v>
          </cell>
          <cell r="AE99"/>
          <cell r="AK99"/>
          <cell r="AL99">
            <v>42.096599999999995</v>
          </cell>
          <cell r="AM99">
            <v>42.096599999999995</v>
          </cell>
          <cell r="AN99">
            <v>35</v>
          </cell>
          <cell r="AQ99">
            <v>7838.9174130000001</v>
          </cell>
          <cell r="AR99">
            <v>12674.648740000001</v>
          </cell>
        </row>
        <row r="100">
          <cell r="A100" t="str">
            <v>8160-01-201</v>
          </cell>
          <cell r="B100" t="str">
            <v>Zeev Kalimi</v>
          </cell>
          <cell r="C100" t="str">
            <v>056076888</v>
          </cell>
          <cell r="D100" t="str">
            <v>#REF!</v>
          </cell>
          <cell r="E100"/>
          <cell r="F100" t="str">
            <v>זאב קלימי</v>
          </cell>
          <cell r="G100" t="str">
            <v>III</v>
          </cell>
          <cell r="H100"/>
          <cell r="I100">
            <v>300000</v>
          </cell>
          <cell r="J100">
            <v>4.1027132309301578E-3</v>
          </cell>
          <cell r="K100">
            <v>5611.9880489893867</v>
          </cell>
          <cell r="L100">
            <v>55928.710414962974</v>
          </cell>
          <cell r="M100">
            <v>61540.698463952358</v>
          </cell>
          <cell r="N100">
            <v>1402.9970122473467</v>
          </cell>
          <cell r="O100">
            <v>0</v>
          </cell>
          <cell r="P100">
            <v>0</v>
          </cell>
          <cell r="Q100">
            <v>1402.9970122473467</v>
          </cell>
          <cell r="R100">
            <v>1402.9970122473467</v>
          </cell>
          <cell r="S100" t="str">
            <v>X</v>
          </cell>
          <cell r="T100"/>
          <cell r="U100">
            <v>60138</v>
          </cell>
          <cell r="V100" t="str">
            <v>#REF!</v>
          </cell>
          <cell r="W100" t="str">
            <v>#REF!</v>
          </cell>
          <cell r="X100" t="str">
            <v>#REF!</v>
          </cell>
          <cell r="Y100" t="str">
            <v>#REF!</v>
          </cell>
          <cell r="Z100" t="str">
            <v>#REF!</v>
          </cell>
          <cell r="AA100" t="str">
            <v>Zero investment in 2019</v>
          </cell>
          <cell r="AB100">
            <v>61540.698463952358</v>
          </cell>
          <cell r="AC100">
            <v>1402.9970122473467</v>
          </cell>
          <cell r="AD100">
            <v>60138</v>
          </cell>
          <cell r="AE100"/>
          <cell r="AK100"/>
          <cell r="AL100">
            <v>126.28979999999999</v>
          </cell>
          <cell r="AM100">
            <v>126.28979999999999</v>
          </cell>
          <cell r="AN100">
            <v>35</v>
          </cell>
          <cell r="AQ100">
            <v>23516.752240000002</v>
          </cell>
          <cell r="AR100">
            <v>38023.946219999998</v>
          </cell>
        </row>
        <row r="101">
          <cell r="A101" t="str">
            <v>8160-01-202</v>
          </cell>
          <cell r="B101" t="str">
            <v>Cidev Group LTD</v>
          </cell>
          <cell r="C101">
            <v>510657612</v>
          </cell>
          <cell r="D101" t="str">
            <v>#REF!</v>
          </cell>
          <cell r="E101" t="str">
            <v>Cidev Group LTD</v>
          </cell>
          <cell r="F101" t="str">
            <v>קבוצת סידב בע"מ</v>
          </cell>
          <cell r="G101" t="str">
            <v>III</v>
          </cell>
          <cell r="H101"/>
          <cell r="I101">
            <v>500000</v>
          </cell>
          <cell r="J101">
            <v>6.8378553848835967E-3</v>
          </cell>
          <cell r="K101">
            <v>9353.3134149823127</v>
          </cell>
          <cell r="L101">
            <v>93214.517358271638</v>
          </cell>
          <cell r="M101">
            <v>102567.83077325395</v>
          </cell>
          <cell r="N101"/>
          <cell r="O101">
            <v>0</v>
          </cell>
          <cell r="P101"/>
          <cell r="Q101"/>
          <cell r="R101">
            <v>0</v>
          </cell>
          <cell r="S101" t="str">
            <v>V</v>
          </cell>
          <cell r="T101">
            <v>0</v>
          </cell>
          <cell r="U101">
            <v>102568</v>
          </cell>
          <cell r="V101" t="str">
            <v>#REF!</v>
          </cell>
          <cell r="W101" t="str">
            <v>#REF!</v>
          </cell>
          <cell r="X101" t="str">
            <v>#REF!</v>
          </cell>
          <cell r="Y101" t="str">
            <v>#REF!</v>
          </cell>
          <cell r="Z101" t="str">
            <v>#REF!</v>
          </cell>
          <cell r="AA101" t="str">
            <v>Zero investment in 2019</v>
          </cell>
          <cell r="AB101">
            <v>102567.83077325395</v>
          </cell>
          <cell r="AC101">
            <v>0</v>
          </cell>
          <cell r="AD101">
            <v>102568</v>
          </cell>
          <cell r="AE101"/>
          <cell r="AK101"/>
          <cell r="AL101">
            <v>215.39279999999999</v>
          </cell>
          <cell r="AM101">
            <v>215.39279999999999</v>
          </cell>
          <cell r="AN101">
            <v>35</v>
          </cell>
          <cell r="AQ101">
            <v>39194.587070000001</v>
          </cell>
          <cell r="AR101">
            <v>63373.243710000002</v>
          </cell>
        </row>
        <row r="102">
          <cell r="A102" t="str">
            <v>8160-01-204</v>
          </cell>
          <cell r="B102" t="str">
            <v>S.H.I.F.A.T Architectures Ltd</v>
          </cell>
          <cell r="C102">
            <v>513075838</v>
          </cell>
          <cell r="D102" t="str">
            <v>#REF!</v>
          </cell>
          <cell r="E102" t="str">
            <v>S.H.I.F.A.T Architectures Ltd</v>
          </cell>
          <cell r="F102" t="str">
            <v>ש.י.פ.ת לוי אדריכלים בע"מ</v>
          </cell>
          <cell r="G102" t="str">
            <v>III</v>
          </cell>
          <cell r="H102"/>
          <cell r="I102">
            <v>250000</v>
          </cell>
          <cell r="J102">
            <v>3.4189276924417983E-3</v>
          </cell>
          <cell r="K102">
            <v>4676.6567074911563</v>
          </cell>
          <cell r="L102">
            <v>46607.258679135819</v>
          </cell>
          <cell r="M102">
            <v>51283.915386626977</v>
          </cell>
          <cell r="N102"/>
          <cell r="O102">
            <v>0</v>
          </cell>
          <cell r="P102"/>
          <cell r="Q102"/>
          <cell r="R102">
            <v>0</v>
          </cell>
          <cell r="S102" t="str">
            <v>V</v>
          </cell>
          <cell r="T102">
            <v>0</v>
          </cell>
          <cell r="U102">
            <v>51284</v>
          </cell>
          <cell r="V102" t="str">
            <v>#REF!</v>
          </cell>
          <cell r="W102" t="str">
            <v>#REF!</v>
          </cell>
          <cell r="X102" t="str">
            <v>#REF!</v>
          </cell>
          <cell r="Y102" t="str">
            <v>#REF!</v>
          </cell>
          <cell r="Z102" t="str">
            <v>#REF!</v>
          </cell>
          <cell r="AA102" t="str">
            <v>Zero investment in 2019</v>
          </cell>
          <cell r="AB102">
            <v>51283.915386626977</v>
          </cell>
          <cell r="AC102">
            <v>0</v>
          </cell>
          <cell r="AD102">
            <v>51284</v>
          </cell>
          <cell r="AE102"/>
          <cell r="AK102"/>
          <cell r="AL102">
            <v>107.6964</v>
          </cell>
          <cell r="AM102">
            <v>107.6964</v>
          </cell>
          <cell r="AN102">
            <v>35</v>
          </cell>
          <cell r="AQ102">
            <v>19597.293529999999</v>
          </cell>
          <cell r="AR102">
            <v>31686.62185</v>
          </cell>
        </row>
        <row r="103">
          <cell r="A103" t="str">
            <v>8160-01-205</v>
          </cell>
          <cell r="B103" t="str">
            <v>R.B LTD</v>
          </cell>
          <cell r="C103">
            <v>513179796</v>
          </cell>
          <cell r="D103" t="str">
            <v>#REF!</v>
          </cell>
          <cell r="E103" t="str">
            <v>R.B LTD</v>
          </cell>
          <cell r="F103" t="str">
            <v>אר.בי ביטון רפאל החזקות בע"מ</v>
          </cell>
          <cell r="G103" t="str">
            <v>III</v>
          </cell>
          <cell r="H103"/>
          <cell r="I103">
            <v>300000</v>
          </cell>
          <cell r="J103">
            <v>4.1027132309301578E-3</v>
          </cell>
          <cell r="K103">
            <v>5611.9880489893867</v>
          </cell>
          <cell r="L103">
            <v>55928.710414962974</v>
          </cell>
          <cell r="M103">
            <v>61540.698463952358</v>
          </cell>
          <cell r="N103"/>
          <cell r="O103">
            <v>0</v>
          </cell>
          <cell r="P103"/>
          <cell r="Q103"/>
          <cell r="R103">
            <v>0</v>
          </cell>
          <cell r="S103" t="str">
            <v>V</v>
          </cell>
          <cell r="T103">
            <v>0</v>
          </cell>
          <cell r="U103">
            <v>61541</v>
          </cell>
          <cell r="V103" t="str">
            <v>#REF!</v>
          </cell>
          <cell r="W103" t="str">
            <v>#REF!</v>
          </cell>
          <cell r="X103" t="str">
            <v>#REF!</v>
          </cell>
          <cell r="Y103" t="str">
            <v>#REF!</v>
          </cell>
          <cell r="Z103" t="str">
            <v>#REF!</v>
          </cell>
          <cell r="AA103" t="str">
            <v>Zero investment in 2019</v>
          </cell>
          <cell r="AB103">
            <v>61540.698463952358</v>
          </cell>
          <cell r="AC103">
            <v>0</v>
          </cell>
          <cell r="AD103">
            <v>61541</v>
          </cell>
          <cell r="AE103"/>
          <cell r="AK103"/>
          <cell r="AL103">
            <v>129.23609999999999</v>
          </cell>
          <cell r="AM103">
            <v>129.23609999999999</v>
          </cell>
          <cell r="AN103">
            <v>35</v>
          </cell>
          <cell r="AQ103">
            <v>23516.752240000002</v>
          </cell>
          <cell r="AR103">
            <v>38023.946219999998</v>
          </cell>
        </row>
        <row r="104">
          <cell r="A104" t="str">
            <v>8160-01-206</v>
          </cell>
          <cell r="B104" t="str">
            <v>Hevra Kadisha Haifa</v>
          </cell>
          <cell r="C104">
            <v>580014777</v>
          </cell>
          <cell r="D104" t="str">
            <v>#REF!</v>
          </cell>
          <cell r="E104" t="str">
            <v>Hevra Kadisha Haifa</v>
          </cell>
          <cell r="F104" t="str">
            <v>חברה קדישא חיפה</v>
          </cell>
          <cell r="G104" t="str">
            <v>III</v>
          </cell>
          <cell r="H104"/>
          <cell r="I104">
            <v>570000</v>
          </cell>
          <cell r="J104">
            <v>7.7951551387673004E-3</v>
          </cell>
          <cell r="K104">
            <v>10662.777293079836</v>
          </cell>
          <cell r="L104">
            <v>106264.54978842966</v>
          </cell>
          <cell r="M104">
            <v>116927.3270815095</v>
          </cell>
          <cell r="N104"/>
          <cell r="O104">
            <v>0</v>
          </cell>
          <cell r="P104"/>
          <cell r="Q104"/>
          <cell r="R104">
            <v>0</v>
          </cell>
          <cell r="S104" t="str">
            <v>V</v>
          </cell>
          <cell r="T104">
            <v>0</v>
          </cell>
          <cell r="U104">
            <v>116927</v>
          </cell>
          <cell r="V104" t="str">
            <v>#REF!</v>
          </cell>
          <cell r="W104" t="str">
            <v>#REF!</v>
          </cell>
          <cell r="X104" t="str">
            <v>#REF!</v>
          </cell>
          <cell r="Y104" t="str">
            <v>#REF!</v>
          </cell>
          <cell r="Z104" t="str">
            <v>#REF!</v>
          </cell>
          <cell r="AA104" t="str">
            <v>Zero investment in 2019</v>
          </cell>
          <cell r="AB104">
            <v>116927.3270815095</v>
          </cell>
          <cell r="AC104">
            <v>0</v>
          </cell>
          <cell r="AD104">
            <v>116927</v>
          </cell>
          <cell r="AE104"/>
          <cell r="AK104"/>
          <cell r="AL104">
            <v>245.54669999999999</v>
          </cell>
          <cell r="AM104">
            <v>245.54669999999999</v>
          </cell>
          <cell r="AN104">
            <v>35</v>
          </cell>
          <cell r="AQ104">
            <v>44681.829259999999</v>
          </cell>
          <cell r="AR104">
            <v>72245.497829999993</v>
          </cell>
        </row>
        <row r="105">
          <cell r="A105" t="str">
            <v>8160-01-207</v>
          </cell>
          <cell r="B105" t="str">
            <v>Assaf Burstein</v>
          </cell>
          <cell r="C105" t="str">
            <v>058837238</v>
          </cell>
          <cell r="D105" t="str">
            <v>#REF!</v>
          </cell>
          <cell r="E105"/>
          <cell r="F105" t="str">
            <v>אסף בורשטיין</v>
          </cell>
          <cell r="G105" t="str">
            <v>III</v>
          </cell>
          <cell r="H105"/>
          <cell r="I105">
            <v>300000</v>
          </cell>
          <cell r="J105">
            <v>4.1027132309301578E-3</v>
          </cell>
          <cell r="K105">
            <v>5611.9880489893867</v>
          </cell>
          <cell r="L105">
            <v>55928.710414962974</v>
          </cell>
          <cell r="M105">
            <v>61540.698463952358</v>
          </cell>
          <cell r="N105">
            <v>1402.9970122473467</v>
          </cell>
          <cell r="O105">
            <v>0</v>
          </cell>
          <cell r="P105">
            <v>0</v>
          </cell>
          <cell r="Q105">
            <v>1402.9970122473467</v>
          </cell>
          <cell r="R105">
            <v>1402.9970122473467</v>
          </cell>
          <cell r="S105" t="str">
            <v>X</v>
          </cell>
          <cell r="T105"/>
          <cell r="U105">
            <v>60138</v>
          </cell>
          <cell r="V105" t="str">
            <v>#REF!</v>
          </cell>
          <cell r="W105" t="str">
            <v>#REF!</v>
          </cell>
          <cell r="X105" t="str">
            <v>#REF!</v>
          </cell>
          <cell r="Y105" t="str">
            <v>#REF!</v>
          </cell>
          <cell r="Z105" t="str">
            <v>#REF!</v>
          </cell>
          <cell r="AA105" t="str">
            <v>Zero investment in 2019</v>
          </cell>
          <cell r="AB105">
            <v>61540.698463952358</v>
          </cell>
          <cell r="AC105">
            <v>1402.9970122473467</v>
          </cell>
          <cell r="AD105">
            <v>60138</v>
          </cell>
          <cell r="AE105"/>
          <cell r="AK105"/>
          <cell r="AL105">
            <v>126.28979999999999</v>
          </cell>
          <cell r="AM105">
            <v>126.28979999999999</v>
          </cell>
          <cell r="AN105">
            <v>35</v>
          </cell>
          <cell r="AQ105">
            <v>23516.752240000002</v>
          </cell>
          <cell r="AR105">
            <v>38023.946219999998</v>
          </cell>
        </row>
        <row r="106">
          <cell r="A106" t="str">
            <v>8160-01-208</v>
          </cell>
          <cell r="B106" t="str">
            <v>Dan Arazi</v>
          </cell>
          <cell r="C106" t="str">
            <v>08986978</v>
          </cell>
          <cell r="D106" t="str">
            <v>#REF!</v>
          </cell>
          <cell r="E106"/>
          <cell r="F106" t="str">
            <v>דן ארזי</v>
          </cell>
          <cell r="G106" t="str">
            <v>III</v>
          </cell>
          <cell r="H106"/>
          <cell r="I106">
            <v>250000</v>
          </cell>
          <cell r="J106">
            <v>3.4189276924417983E-3</v>
          </cell>
          <cell r="K106">
            <v>4676.6567074911563</v>
          </cell>
          <cell r="L106">
            <v>46607.258679135819</v>
          </cell>
          <cell r="M106">
            <v>51283.915386626977</v>
          </cell>
          <cell r="N106">
            <v>1169.1641768727891</v>
          </cell>
          <cell r="O106">
            <v>0</v>
          </cell>
          <cell r="P106">
            <v>0</v>
          </cell>
          <cell r="Q106">
            <v>1169.1641768727891</v>
          </cell>
          <cell r="R106">
            <v>1169.1641768727891</v>
          </cell>
          <cell r="S106" t="str">
            <v>X</v>
          </cell>
          <cell r="T106"/>
          <cell r="U106">
            <v>50115</v>
          </cell>
          <cell r="V106" t="str">
            <v>#REF!</v>
          </cell>
          <cell r="W106" t="str">
            <v>#REF!</v>
          </cell>
          <cell r="X106" t="str">
            <v>#REF!</v>
          </cell>
          <cell r="Y106" t="str">
            <v>#REF!</v>
          </cell>
          <cell r="Z106" t="str">
            <v>#REF!</v>
          </cell>
          <cell r="AA106" t="str">
            <v>Zero investment in 2019</v>
          </cell>
          <cell r="AB106">
            <v>51283.915386626977</v>
          </cell>
          <cell r="AC106">
            <v>1169.1641768727891</v>
          </cell>
          <cell r="AD106">
            <v>50115</v>
          </cell>
          <cell r="AE106"/>
          <cell r="AK106"/>
          <cell r="AL106">
            <v>105.24149999999999</v>
          </cell>
          <cell r="AM106">
            <v>105.24149999999999</v>
          </cell>
          <cell r="AN106">
            <v>35</v>
          </cell>
          <cell r="AQ106">
            <v>19597.293529999999</v>
          </cell>
          <cell r="AR106">
            <v>31686.62185</v>
          </cell>
        </row>
        <row r="107">
          <cell r="A107" t="str">
            <v>8160-01-209</v>
          </cell>
          <cell r="B107" t="str">
            <v>Daphna Cohen Ben Shaul</v>
          </cell>
          <cell r="C107" t="str">
            <v>054201264</v>
          </cell>
          <cell r="D107" t="str">
            <v>#REF!</v>
          </cell>
          <cell r="E107"/>
          <cell r="F107" t="str">
            <v>דפנה כהן בן שאול</v>
          </cell>
          <cell r="G107" t="str">
            <v>III</v>
          </cell>
          <cell r="H107"/>
          <cell r="I107">
            <v>300000</v>
          </cell>
          <cell r="J107">
            <v>4.1027132309301578E-3</v>
          </cell>
          <cell r="K107">
            <v>5611.9880489893867</v>
          </cell>
          <cell r="L107">
            <v>55928.710414962974</v>
          </cell>
          <cell r="M107">
            <v>61540.698463952358</v>
          </cell>
          <cell r="N107">
            <v>1402.9970122473467</v>
          </cell>
          <cell r="O107">
            <v>0</v>
          </cell>
          <cell r="P107">
            <v>0</v>
          </cell>
          <cell r="Q107">
            <v>1402.9970122473467</v>
          </cell>
          <cell r="R107">
            <v>1402.9970122473467</v>
          </cell>
          <cell r="S107" t="str">
            <v>X</v>
          </cell>
          <cell r="T107"/>
          <cell r="U107">
            <v>60138</v>
          </cell>
          <cell r="V107" t="str">
            <v>#REF!</v>
          </cell>
          <cell r="W107" t="str">
            <v>#REF!</v>
          </cell>
          <cell r="X107" t="str">
            <v>#REF!</v>
          </cell>
          <cell r="Y107" t="str">
            <v>#REF!</v>
          </cell>
          <cell r="Z107" t="str">
            <v>#REF!</v>
          </cell>
          <cell r="AA107" t="str">
            <v>Zero investment in 2019</v>
          </cell>
          <cell r="AB107">
            <v>61540.698463952358</v>
          </cell>
          <cell r="AC107">
            <v>1402.9970122473467</v>
          </cell>
          <cell r="AD107">
            <v>60138</v>
          </cell>
          <cell r="AE107"/>
          <cell r="AK107"/>
          <cell r="AL107">
            <v>126.28979999999999</v>
          </cell>
          <cell r="AM107">
            <v>126.28979999999999</v>
          </cell>
          <cell r="AN107">
            <v>35</v>
          </cell>
          <cell r="AQ107">
            <v>23516.752240000002</v>
          </cell>
          <cell r="AR107">
            <v>38023.946219999998</v>
          </cell>
        </row>
        <row r="108">
          <cell r="A108" t="str">
            <v>8160-01-210</v>
          </cell>
          <cell r="B108" t="str">
            <v>Eyal Kishon</v>
          </cell>
          <cell r="C108" t="str">
            <v>056197676</v>
          </cell>
          <cell r="D108" t="str">
            <v>#REF!</v>
          </cell>
          <cell r="E108"/>
          <cell r="F108" t="str">
            <v>איל קישון</v>
          </cell>
          <cell r="G108" t="str">
            <v>III</v>
          </cell>
          <cell r="H108"/>
          <cell r="I108">
            <v>500000</v>
          </cell>
          <cell r="J108">
            <v>6.8378553848835967E-3</v>
          </cell>
          <cell r="K108">
            <v>9353.3134149823127</v>
          </cell>
          <cell r="L108">
            <v>93214.517358271638</v>
          </cell>
          <cell r="M108">
            <v>102567.83077325395</v>
          </cell>
          <cell r="N108">
            <v>2338.3283537455782</v>
          </cell>
          <cell r="O108">
            <v>0</v>
          </cell>
          <cell r="P108">
            <v>0</v>
          </cell>
          <cell r="Q108">
            <v>2338.3283537455782</v>
          </cell>
          <cell r="R108">
            <v>2338.3283537455782</v>
          </cell>
          <cell r="S108" t="str">
            <v>X</v>
          </cell>
          <cell r="T108"/>
          <cell r="U108">
            <v>100230</v>
          </cell>
          <cell r="V108" t="str">
            <v>#REF!</v>
          </cell>
          <cell r="W108" t="str">
            <v>#REF!</v>
          </cell>
          <cell r="X108" t="str">
            <v>#REF!</v>
          </cell>
          <cell r="Y108" t="str">
            <v>#REF!</v>
          </cell>
          <cell r="Z108" t="str">
            <v>#REF!</v>
          </cell>
          <cell r="AA108" t="str">
            <v>Zero investment in 2019</v>
          </cell>
          <cell r="AB108">
            <v>102567.83077325395</v>
          </cell>
          <cell r="AC108">
            <v>2338.3283537455782</v>
          </cell>
          <cell r="AD108">
            <v>100230</v>
          </cell>
          <cell r="AE108"/>
          <cell r="AK108"/>
          <cell r="AL108">
            <v>210.48299999999998</v>
          </cell>
          <cell r="AM108">
            <v>210.48299999999998</v>
          </cell>
          <cell r="AN108">
            <v>35</v>
          </cell>
          <cell r="AQ108">
            <v>39194.587070000001</v>
          </cell>
          <cell r="AR108">
            <v>63373.243710000002</v>
          </cell>
        </row>
        <row r="109">
          <cell r="A109" t="str">
            <v>8160-01-211</v>
          </cell>
          <cell r="B109" t="str">
            <v>Gideon Schurr</v>
          </cell>
          <cell r="C109" t="str">
            <v>051251288</v>
          </cell>
          <cell r="D109" t="str">
            <v>#REF!</v>
          </cell>
          <cell r="E109"/>
          <cell r="F109" t="str">
            <v>גדעון שור</v>
          </cell>
          <cell r="G109" t="str">
            <v>III</v>
          </cell>
          <cell r="H109"/>
          <cell r="I109">
            <v>250000</v>
          </cell>
          <cell r="J109">
            <v>3.4189276924417983E-3</v>
          </cell>
          <cell r="K109">
            <v>4676.6567074911563</v>
          </cell>
          <cell r="L109">
            <v>46607.258679135819</v>
          </cell>
          <cell r="M109">
            <v>51283.915386626977</v>
          </cell>
          <cell r="N109">
            <v>1169.1641768727891</v>
          </cell>
          <cell r="O109">
            <v>0</v>
          </cell>
          <cell r="P109">
            <v>0</v>
          </cell>
          <cell r="Q109">
            <v>1169.1641768727891</v>
          </cell>
          <cell r="R109">
            <v>1169.1641768727891</v>
          </cell>
          <cell r="S109" t="str">
            <v>X</v>
          </cell>
          <cell r="T109"/>
          <cell r="U109">
            <v>50115</v>
          </cell>
          <cell r="V109" t="str">
            <v>#REF!</v>
          </cell>
          <cell r="W109" t="str">
            <v>#REF!</v>
          </cell>
          <cell r="X109" t="str">
            <v>#REF!</v>
          </cell>
          <cell r="Y109" t="str">
            <v>#REF!</v>
          </cell>
          <cell r="Z109" t="str">
            <v>#REF!</v>
          </cell>
          <cell r="AA109" t="str">
            <v>Zero investment in 2019</v>
          </cell>
          <cell r="AB109">
            <v>51283.915386626977</v>
          </cell>
          <cell r="AC109">
            <v>1169.1641768727891</v>
          </cell>
          <cell r="AD109">
            <v>50115</v>
          </cell>
          <cell r="AE109"/>
          <cell r="AK109"/>
          <cell r="AL109">
            <v>105.24149999999999</v>
          </cell>
          <cell r="AM109">
            <v>105.24149999999999</v>
          </cell>
          <cell r="AN109">
            <v>35</v>
          </cell>
          <cell r="AQ109">
            <v>19597.293529999999</v>
          </cell>
          <cell r="AR109">
            <v>31686.62185</v>
          </cell>
        </row>
        <row r="110">
          <cell r="A110" t="str">
            <v>8160-01-212</v>
          </cell>
          <cell r="B110" t="str">
            <v>Cipora Elkis</v>
          </cell>
          <cell r="C110" t="str">
            <v>007318157</v>
          </cell>
          <cell r="D110" t="str">
            <v>#REF!</v>
          </cell>
          <cell r="E110"/>
          <cell r="F110" t="str">
            <v>ציפורה אלקיס</v>
          </cell>
          <cell r="G110" t="str">
            <v>III</v>
          </cell>
          <cell r="H110" t="str">
            <v>Meitav</v>
          </cell>
          <cell r="I110">
            <v>250000</v>
          </cell>
          <cell r="J110">
            <v>3.4189276924417983E-3</v>
          </cell>
          <cell r="K110">
            <v>4676.6567074911563</v>
          </cell>
          <cell r="L110">
            <v>46607.258679135819</v>
          </cell>
          <cell r="M110">
            <v>51283.915386626977</v>
          </cell>
          <cell r="N110"/>
          <cell r="O110">
            <v>0</v>
          </cell>
          <cell r="P110"/>
          <cell r="Q110"/>
          <cell r="R110">
            <v>0</v>
          </cell>
          <cell r="S110" t="str">
            <v>IRA</v>
          </cell>
          <cell r="T110">
            <v>0</v>
          </cell>
          <cell r="U110">
            <v>51284</v>
          </cell>
          <cell r="V110" t="str">
            <v>#REF!</v>
          </cell>
          <cell r="W110" t="str">
            <v>#REF!</v>
          </cell>
          <cell r="X110" t="str">
            <v>#REF!</v>
          </cell>
          <cell r="Y110" t="str">
            <v>#REF!</v>
          </cell>
          <cell r="Z110" t="str">
            <v>#REF!</v>
          </cell>
          <cell r="AA110" t="str">
            <v>Zero investment in 2019</v>
          </cell>
          <cell r="AB110">
            <v>51283.915386626977</v>
          </cell>
          <cell r="AC110">
            <v>0</v>
          </cell>
          <cell r="AD110">
            <v>51284</v>
          </cell>
          <cell r="AE110"/>
          <cell r="AK110"/>
          <cell r="AL110">
            <v>107.6964</v>
          </cell>
          <cell r="AM110">
            <v>107.6964</v>
          </cell>
          <cell r="AN110">
            <v>35</v>
          </cell>
          <cell r="AQ110">
            <v>19597.293529999999</v>
          </cell>
          <cell r="AR110">
            <v>31686.62185</v>
          </cell>
        </row>
        <row r="111">
          <cell r="A111" t="str">
            <v>8160-01-213</v>
          </cell>
          <cell r="B111" t="str">
            <v>Ester Tal</v>
          </cell>
          <cell r="C111" t="str">
            <v>057146813</v>
          </cell>
          <cell r="D111" t="str">
            <v>#REF!</v>
          </cell>
          <cell r="E111"/>
          <cell r="F111" t="str">
            <v>אסתר טל</v>
          </cell>
          <cell r="G111" t="str">
            <v>III</v>
          </cell>
          <cell r="H111" t="str">
            <v>Meitav</v>
          </cell>
          <cell r="I111">
            <v>250000</v>
          </cell>
          <cell r="J111">
            <v>3.4189276924417983E-3</v>
          </cell>
          <cell r="K111">
            <v>4676.6567074911563</v>
          </cell>
          <cell r="L111">
            <v>46607.258679135819</v>
          </cell>
          <cell r="M111">
            <v>51283.915386626977</v>
          </cell>
          <cell r="N111"/>
          <cell r="O111">
            <v>0</v>
          </cell>
          <cell r="P111"/>
          <cell r="Q111"/>
          <cell r="R111">
            <v>0</v>
          </cell>
          <cell r="S111" t="str">
            <v>IRA</v>
          </cell>
          <cell r="T111">
            <v>0</v>
          </cell>
          <cell r="U111">
            <v>51284</v>
          </cell>
          <cell r="V111" t="str">
            <v>#REF!</v>
          </cell>
          <cell r="W111" t="str">
            <v>#REF!</v>
          </cell>
          <cell r="X111" t="str">
            <v>#REF!</v>
          </cell>
          <cell r="Y111" t="str">
            <v>#REF!</v>
          </cell>
          <cell r="Z111" t="str">
            <v>#REF!</v>
          </cell>
          <cell r="AA111" t="str">
            <v>Zero investment in 2019</v>
          </cell>
          <cell r="AB111">
            <v>51283.915386626977</v>
          </cell>
          <cell r="AC111">
            <v>0</v>
          </cell>
          <cell r="AD111">
            <v>51284</v>
          </cell>
          <cell r="AE111"/>
          <cell r="AK111"/>
          <cell r="AL111">
            <v>107.6964</v>
          </cell>
          <cell r="AM111">
            <v>107.6964</v>
          </cell>
          <cell r="AN111">
            <v>35</v>
          </cell>
          <cell r="AQ111">
            <v>19597.293529999999</v>
          </cell>
          <cell r="AR111">
            <v>31686.62185</v>
          </cell>
        </row>
        <row r="112">
          <cell r="A112" t="str">
            <v>8160-01-214</v>
          </cell>
          <cell r="B112" t="str">
            <v>Eyal Yaakov</v>
          </cell>
          <cell r="C112" t="str">
            <v>027136324</v>
          </cell>
          <cell r="D112" t="str">
            <v>#REF!</v>
          </cell>
          <cell r="E112"/>
          <cell r="F112" t="str">
            <v>איל יעקב</v>
          </cell>
          <cell r="G112" t="str">
            <v>III</v>
          </cell>
          <cell r="H112" t="str">
            <v>Meitav</v>
          </cell>
          <cell r="I112">
            <v>220000</v>
          </cell>
          <cell r="J112">
            <v>3.0086563693487826E-3</v>
          </cell>
          <cell r="K112">
            <v>4115.4579025922176</v>
          </cell>
          <cell r="L112">
            <v>41014.38763763952</v>
          </cell>
          <cell r="M112">
            <v>45129.845540231734</v>
          </cell>
          <cell r="N112"/>
          <cell r="O112">
            <v>0</v>
          </cell>
          <cell r="P112"/>
          <cell r="Q112"/>
          <cell r="R112">
            <v>0</v>
          </cell>
          <cell r="S112" t="str">
            <v>IRA</v>
          </cell>
          <cell r="T112">
            <v>0</v>
          </cell>
          <cell r="U112">
            <v>45130</v>
          </cell>
          <cell r="V112" t="str">
            <v>#REF!</v>
          </cell>
          <cell r="W112" t="str">
            <v>#REF!</v>
          </cell>
          <cell r="X112" t="str">
            <v>#REF!</v>
          </cell>
          <cell r="Y112" t="str">
            <v>#REF!</v>
          </cell>
          <cell r="Z112" t="str">
            <v>#REF!</v>
          </cell>
          <cell r="AA112" t="str">
            <v>Zero investment in 2019</v>
          </cell>
          <cell r="AB112">
            <v>45129.845540231734</v>
          </cell>
          <cell r="AC112">
            <v>0</v>
          </cell>
          <cell r="AD112">
            <v>45130</v>
          </cell>
          <cell r="AE112"/>
          <cell r="AK112"/>
          <cell r="AL112">
            <v>94.772999999999996</v>
          </cell>
          <cell r="AM112">
            <v>94.772999999999996</v>
          </cell>
          <cell r="AN112">
            <v>35</v>
          </cell>
          <cell r="AQ112">
            <v>17245.618310000002</v>
          </cell>
          <cell r="AR112">
            <v>27884.22723</v>
          </cell>
        </row>
        <row r="113">
          <cell r="A113" t="str">
            <v>8160-01-215</v>
          </cell>
          <cell r="B113" t="str">
            <v>Guy Caspary</v>
          </cell>
          <cell r="C113" t="str">
            <v>027473156</v>
          </cell>
          <cell r="D113" t="str">
            <v>#REF!</v>
          </cell>
          <cell r="E113"/>
          <cell r="F113" t="str">
            <v>גיא כספרי</v>
          </cell>
          <cell r="G113" t="str">
            <v>III</v>
          </cell>
          <cell r="H113" t="str">
            <v>Meitav</v>
          </cell>
          <cell r="I113">
            <v>279997</v>
          </cell>
          <cell r="J113">
            <v>3.8291579884025049E-3</v>
          </cell>
          <cell r="K113">
            <v>5237.7993925096052</v>
          </cell>
          <cell r="L113">
            <v>52199.570433527966</v>
          </cell>
          <cell r="M113">
            <v>57437.369826037568</v>
          </cell>
          <cell r="N113"/>
          <cell r="O113">
            <v>0</v>
          </cell>
          <cell r="P113"/>
          <cell r="Q113"/>
          <cell r="R113">
            <v>0</v>
          </cell>
          <cell r="S113" t="str">
            <v>IRA</v>
          </cell>
          <cell r="T113">
            <v>0</v>
          </cell>
          <cell r="U113">
            <v>57437</v>
          </cell>
          <cell r="V113" t="str">
            <v>#REF!</v>
          </cell>
          <cell r="W113" t="str">
            <v>#REF!</v>
          </cell>
          <cell r="X113" t="str">
            <v>#REF!</v>
          </cell>
          <cell r="Y113" t="str">
            <v>#REF!</v>
          </cell>
          <cell r="Z113" t="str">
            <v>#REF!</v>
          </cell>
          <cell r="AA113" t="str">
            <v>Zero investment in 2019</v>
          </cell>
          <cell r="AB113">
            <v>57437.369826037568</v>
          </cell>
          <cell r="AC113">
            <v>0</v>
          </cell>
          <cell r="AD113">
            <v>57437</v>
          </cell>
          <cell r="AE113"/>
          <cell r="AK113"/>
          <cell r="AL113">
            <v>120.6177</v>
          </cell>
          <cell r="AM113">
            <v>120.6177</v>
          </cell>
          <cell r="AN113">
            <v>35</v>
          </cell>
          <cell r="AQ113">
            <v>21948.73359</v>
          </cell>
          <cell r="AR113">
            <v>35488.63624</v>
          </cell>
        </row>
        <row r="114">
          <cell r="A114" t="str">
            <v>8160-01-216</v>
          </cell>
          <cell r="B114" t="str">
            <v>Shmuel (Muli) Ben Zvi - IRA</v>
          </cell>
          <cell r="C114" t="str">
            <v>056231475</v>
          </cell>
          <cell r="D114" t="str">
            <v>#REF!</v>
          </cell>
          <cell r="E114"/>
          <cell r="F114" t="str">
            <v>שמואל בן צבי</v>
          </cell>
          <cell r="G114" t="str">
            <v>III</v>
          </cell>
          <cell r="H114" t="str">
            <v>Meitav</v>
          </cell>
          <cell r="I114">
            <v>100000</v>
          </cell>
          <cell r="J114">
            <v>1.3675710769767194E-3</v>
          </cell>
          <cell r="K114">
            <v>1870.6626829964625</v>
          </cell>
          <cell r="L114">
            <v>18642.903471654328</v>
          </cell>
          <cell r="M114">
            <v>20513.566154650791</v>
          </cell>
          <cell r="N114"/>
          <cell r="O114">
            <v>0</v>
          </cell>
          <cell r="P114"/>
          <cell r="Q114"/>
          <cell r="R114">
            <v>0</v>
          </cell>
          <cell r="S114" t="str">
            <v>IRA</v>
          </cell>
          <cell r="T114">
            <v>0</v>
          </cell>
          <cell r="U114">
            <v>20514</v>
          </cell>
          <cell r="V114" t="str">
            <v>#REF!</v>
          </cell>
          <cell r="W114" t="str">
            <v>#REF!</v>
          </cell>
          <cell r="X114" t="str">
            <v>#REF!</v>
          </cell>
          <cell r="Y114" t="str">
            <v>#REF!</v>
          </cell>
          <cell r="Z114" t="str">
            <v>#REF!</v>
          </cell>
          <cell r="AA114" t="str">
            <v>Zero investment in 2019</v>
          </cell>
          <cell r="AB114">
            <v>20513.566154650791</v>
          </cell>
          <cell r="AC114">
            <v>0</v>
          </cell>
          <cell r="AD114">
            <v>20514</v>
          </cell>
          <cell r="AE114"/>
          <cell r="AK114"/>
          <cell r="AL114">
            <v>43.0794</v>
          </cell>
          <cell r="AM114">
            <v>43.0794</v>
          </cell>
          <cell r="AN114">
            <v>35</v>
          </cell>
          <cell r="AQ114">
            <v>7838.9174130000001</v>
          </cell>
          <cell r="AR114">
            <v>12674.648740000001</v>
          </cell>
        </row>
        <row r="115">
          <cell r="A115" t="str">
            <v>8160-01-217</v>
          </cell>
          <cell r="B115" t="str">
            <v>Yehiel Tal</v>
          </cell>
          <cell r="C115" t="str">
            <v>054125224</v>
          </cell>
          <cell r="D115" t="str">
            <v>#REF!</v>
          </cell>
          <cell r="E115"/>
          <cell r="F115" t="str">
            <v>יחיאל טל</v>
          </cell>
          <cell r="G115" t="str">
            <v>III</v>
          </cell>
          <cell r="H115" t="str">
            <v>Meitav</v>
          </cell>
          <cell r="I115">
            <v>250000</v>
          </cell>
          <cell r="J115">
            <v>3.4189276924417983E-3</v>
          </cell>
          <cell r="K115">
            <v>4676.6567074911563</v>
          </cell>
          <cell r="L115">
            <v>46607.258679135819</v>
          </cell>
          <cell r="M115">
            <v>51283.915386626977</v>
          </cell>
          <cell r="N115"/>
          <cell r="O115">
            <v>0</v>
          </cell>
          <cell r="P115"/>
          <cell r="Q115"/>
          <cell r="R115">
            <v>0</v>
          </cell>
          <cell r="S115" t="str">
            <v>IRA</v>
          </cell>
          <cell r="T115">
            <v>0</v>
          </cell>
          <cell r="U115">
            <v>51284</v>
          </cell>
          <cell r="V115" t="str">
            <v>#REF!</v>
          </cell>
          <cell r="W115" t="str">
            <v>#REF!</v>
          </cell>
          <cell r="X115" t="str">
            <v>#REF!</v>
          </cell>
          <cell r="Y115" t="str">
            <v>#REF!</v>
          </cell>
          <cell r="Z115" t="str">
            <v>#REF!</v>
          </cell>
          <cell r="AA115" t="str">
            <v>Zero investment in 2019</v>
          </cell>
          <cell r="AB115">
            <v>51283.915386626977</v>
          </cell>
          <cell r="AC115">
            <v>0</v>
          </cell>
          <cell r="AD115">
            <v>51284</v>
          </cell>
          <cell r="AE115"/>
          <cell r="AK115"/>
          <cell r="AL115">
            <v>107.6964</v>
          </cell>
          <cell r="AM115">
            <v>107.6964</v>
          </cell>
          <cell r="AN115">
            <v>35</v>
          </cell>
          <cell r="AQ115">
            <v>19597.293529999999</v>
          </cell>
          <cell r="AR115">
            <v>31686.62185</v>
          </cell>
        </row>
        <row r="116">
          <cell r="A116" t="str">
            <v>8160-01-218</v>
          </cell>
          <cell r="B116" t="str">
            <v>Dror HaCham</v>
          </cell>
          <cell r="C116" t="str">
            <v>022383210</v>
          </cell>
          <cell r="D116" t="str">
            <v>#REF!</v>
          </cell>
          <cell r="E116"/>
          <cell r="F116" t="str">
            <v>דרורי חכם</v>
          </cell>
          <cell r="G116" t="str">
            <v>III</v>
          </cell>
          <cell r="H116" t="str">
            <v>Phoenix</v>
          </cell>
          <cell r="I116">
            <v>250000</v>
          </cell>
          <cell r="J116">
            <v>3.4189276924417983E-3</v>
          </cell>
          <cell r="K116">
            <v>4676.6567074911563</v>
          </cell>
          <cell r="L116">
            <v>46607.258679135819</v>
          </cell>
          <cell r="M116">
            <v>51283.915386626977</v>
          </cell>
          <cell r="N116"/>
          <cell r="O116">
            <v>0</v>
          </cell>
          <cell r="P116"/>
          <cell r="Q116"/>
          <cell r="R116">
            <v>0</v>
          </cell>
          <cell r="S116" t="str">
            <v>IRA</v>
          </cell>
          <cell r="T116">
            <v>0</v>
          </cell>
          <cell r="U116">
            <v>51284</v>
          </cell>
          <cell r="V116" t="str">
            <v>#REF!</v>
          </cell>
          <cell r="W116" t="str">
            <v>#REF!</v>
          </cell>
          <cell r="X116" t="str">
            <v>#REF!</v>
          </cell>
          <cell r="Y116" t="str">
            <v>#REF!</v>
          </cell>
          <cell r="Z116" t="str">
            <v>#REF!</v>
          </cell>
          <cell r="AA116" t="str">
            <v>Zero investment in 2019</v>
          </cell>
          <cell r="AB116">
            <v>51283.915386626977</v>
          </cell>
          <cell r="AC116">
            <v>0</v>
          </cell>
          <cell r="AD116">
            <v>51284</v>
          </cell>
          <cell r="AE116"/>
          <cell r="AL116">
            <v>107.6964</v>
          </cell>
          <cell r="AM116">
            <v>107.6964</v>
          </cell>
          <cell r="AN116">
            <v>35</v>
          </cell>
          <cell r="AQ116">
            <v>19597.293529999999</v>
          </cell>
          <cell r="AR116">
            <v>31686.62185</v>
          </cell>
        </row>
        <row r="117">
          <cell r="A117" t="str">
            <v>8160-01-219</v>
          </cell>
          <cell r="B117" t="str">
            <v>Ornit Goren Agmon</v>
          </cell>
          <cell r="C117" t="str">
            <v>057671869</v>
          </cell>
          <cell r="D117" t="str">
            <v>#REF!</v>
          </cell>
          <cell r="E117"/>
          <cell r="F117" t="str">
            <v>אורנית גורן אגמון</v>
          </cell>
          <cell r="G117" t="str">
            <v>III</v>
          </cell>
          <cell r="H117"/>
          <cell r="I117">
            <v>250000</v>
          </cell>
          <cell r="J117">
            <v>3.4189276924417983E-3</v>
          </cell>
          <cell r="K117">
            <v>4676.6567074911563</v>
          </cell>
          <cell r="L117">
            <v>46607.258679135819</v>
          </cell>
          <cell r="M117">
            <v>51283.915386626977</v>
          </cell>
          <cell r="N117">
            <v>1169.1641768727891</v>
          </cell>
          <cell r="O117">
            <v>0</v>
          </cell>
          <cell r="P117">
            <v>0</v>
          </cell>
          <cell r="Q117">
            <v>1169.1641768727891</v>
          </cell>
          <cell r="R117">
            <v>1169.1641768727891</v>
          </cell>
          <cell r="S117" t="str">
            <v>X</v>
          </cell>
          <cell r="T117"/>
          <cell r="U117">
            <v>50115</v>
          </cell>
          <cell r="V117" t="str">
            <v>#REF!</v>
          </cell>
          <cell r="W117" t="str">
            <v>#REF!</v>
          </cell>
          <cell r="X117" t="str">
            <v>#REF!</v>
          </cell>
          <cell r="Y117" t="str">
            <v>#REF!</v>
          </cell>
          <cell r="Z117" t="str">
            <v>#REF!</v>
          </cell>
          <cell r="AA117" t="str">
            <v>Zero investment in 2019</v>
          </cell>
          <cell r="AB117">
            <v>51283.915386626977</v>
          </cell>
          <cell r="AC117">
            <v>1169.1641768727891</v>
          </cell>
          <cell r="AD117">
            <v>50115</v>
          </cell>
          <cell r="AE117"/>
          <cell r="AL117">
            <v>105.2415</v>
          </cell>
          <cell r="AM117">
            <v>105.2415</v>
          </cell>
          <cell r="AN117">
            <v>35</v>
          </cell>
          <cell r="AQ117">
            <v>19597.293529999999</v>
          </cell>
          <cell r="AR117">
            <v>31686.62185</v>
          </cell>
        </row>
        <row r="118">
          <cell r="A118" t="str">
            <v>8160-01-220</v>
          </cell>
          <cell r="B118" t="str">
            <v>Ron Segre</v>
          </cell>
          <cell r="C118" t="str">
            <v>027239847</v>
          </cell>
          <cell r="D118" t="str">
            <v>#REF!</v>
          </cell>
          <cell r="E118"/>
          <cell r="F118" t="str">
            <v>רון סגרה</v>
          </cell>
          <cell r="G118" t="str">
            <v>III</v>
          </cell>
          <cell r="H118"/>
          <cell r="I118">
            <v>250000</v>
          </cell>
          <cell r="J118">
            <v>3.4189276924417983E-3</v>
          </cell>
          <cell r="K118">
            <v>4676.6567074911563</v>
          </cell>
          <cell r="L118">
            <v>46607.258679135819</v>
          </cell>
          <cell r="M118">
            <v>51283.915386626977</v>
          </cell>
          <cell r="N118">
            <v>1169.1641768727891</v>
          </cell>
          <cell r="O118">
            <v>0</v>
          </cell>
          <cell r="P118">
            <v>0</v>
          </cell>
          <cell r="Q118">
            <v>1169.1641768727891</v>
          </cell>
          <cell r="R118">
            <v>1169.1641768727891</v>
          </cell>
          <cell r="S118" t="str">
            <v>X</v>
          </cell>
          <cell r="T118"/>
          <cell r="U118">
            <v>50115</v>
          </cell>
          <cell r="V118" t="str">
            <v>#REF!</v>
          </cell>
          <cell r="W118" t="str">
            <v>#REF!</v>
          </cell>
          <cell r="X118" t="str">
            <v>#REF!</v>
          </cell>
          <cell r="Y118" t="str">
            <v>#REF!</v>
          </cell>
          <cell r="Z118" t="str">
            <v>#REF!</v>
          </cell>
          <cell r="AA118" t="str">
            <v>Zero investment in 2019</v>
          </cell>
          <cell r="AB118">
            <v>51283.915386626977</v>
          </cell>
          <cell r="AC118">
            <v>1169.1641768727891</v>
          </cell>
          <cell r="AD118">
            <v>50115</v>
          </cell>
          <cell r="AE118"/>
          <cell r="AF118" t="str">
            <v>לא מקבלים כסף</v>
          </cell>
          <cell r="AG118"/>
          <cell r="AL118">
            <v>105.2415</v>
          </cell>
          <cell r="AM118">
            <v>105.2415</v>
          </cell>
          <cell r="AN118">
            <v>35</v>
          </cell>
          <cell r="AQ118">
            <v>19597.293529999999</v>
          </cell>
          <cell r="AR118">
            <v>31686.62185</v>
          </cell>
        </row>
        <row r="119">
          <cell r="A119" t="str">
            <v>8160-01-221</v>
          </cell>
          <cell r="B119" t="str">
            <v>Shmuel (Muli) Ben Zvi</v>
          </cell>
          <cell r="C119" t="str">
            <v>056231475</v>
          </cell>
          <cell r="D119" t="str">
            <v>#REF!</v>
          </cell>
          <cell r="E119"/>
          <cell r="F119" t="str">
            <v>שמואל בן צבי</v>
          </cell>
          <cell r="G119" t="str">
            <v>III</v>
          </cell>
          <cell r="H119"/>
          <cell r="I119">
            <v>150000</v>
          </cell>
          <cell r="J119">
            <v>2.0513566154650789E-3</v>
          </cell>
          <cell r="K119">
            <v>2805.9940244946933</v>
          </cell>
          <cell r="L119">
            <v>27964.355207481487</v>
          </cell>
          <cell r="M119">
            <v>30770.349231976179</v>
          </cell>
          <cell r="N119">
            <v>701.49850612367334</v>
          </cell>
          <cell r="O119">
            <v>0</v>
          </cell>
          <cell r="P119">
            <v>0</v>
          </cell>
          <cell r="Q119">
            <v>701.49850612367334</v>
          </cell>
          <cell r="R119">
            <v>701.49850612367334</v>
          </cell>
          <cell r="S119" t="str">
            <v>X</v>
          </cell>
          <cell r="T119"/>
          <cell r="U119">
            <v>30069</v>
          </cell>
          <cell r="V119" t="str">
            <v>#REF!</v>
          </cell>
          <cell r="W119" t="str">
            <v>#REF!</v>
          </cell>
          <cell r="X119" t="str">
            <v>#REF!</v>
          </cell>
          <cell r="Y119" t="str">
            <v>#REF!</v>
          </cell>
          <cell r="Z119" t="str">
            <v>#REF!</v>
          </cell>
          <cell r="AA119" t="str">
            <v>Zero investment in 2019</v>
          </cell>
          <cell r="AB119">
            <v>30770.349231976179</v>
          </cell>
          <cell r="AC119">
            <v>701.49850612367334</v>
          </cell>
          <cell r="AD119">
            <v>30069</v>
          </cell>
          <cell r="AE119"/>
          <cell r="AL119">
            <v>63.1449</v>
          </cell>
          <cell r="AM119">
            <v>63.1449</v>
          </cell>
          <cell r="AN119">
            <v>35</v>
          </cell>
          <cell r="AQ119">
            <v>11758.376120000001</v>
          </cell>
          <cell r="AR119">
            <v>19011.973109999999</v>
          </cell>
        </row>
        <row r="120">
          <cell r="A120" t="str">
            <v>8160-01-222</v>
          </cell>
          <cell r="B120" t="str">
            <v>Nihshei Mishpahat Spivak</v>
          </cell>
          <cell r="C120">
            <v>512359852</v>
          </cell>
          <cell r="D120" t="str">
            <v>#REF!</v>
          </cell>
          <cell r="E120" t="str">
            <v>Nihshei Mishpahat Spivak</v>
          </cell>
          <cell r="F120" t="str">
            <v>נכסי משפחת ספיבק בע"מ</v>
          </cell>
          <cell r="G120" t="str">
            <v>III</v>
          </cell>
          <cell r="H120"/>
          <cell r="I120">
            <v>250000</v>
          </cell>
          <cell r="J120">
            <v>3.4189276924417983E-3</v>
          </cell>
          <cell r="K120">
            <v>4676.6567074911563</v>
          </cell>
          <cell r="L120">
            <v>46607.258679135819</v>
          </cell>
          <cell r="M120">
            <v>51283.915386626977</v>
          </cell>
          <cell r="N120"/>
          <cell r="O120">
            <v>0</v>
          </cell>
          <cell r="P120"/>
          <cell r="Q120"/>
          <cell r="R120">
            <v>0</v>
          </cell>
          <cell r="S120" t="str">
            <v>V</v>
          </cell>
          <cell r="T120"/>
          <cell r="U120">
            <v>51284</v>
          </cell>
          <cell r="V120" t="str">
            <v>#REF!</v>
          </cell>
          <cell r="W120" t="str">
            <v>#REF!</v>
          </cell>
          <cell r="X120" t="str">
            <v>#REF!</v>
          </cell>
          <cell r="Y120" t="str">
            <v>#REF!</v>
          </cell>
          <cell r="Z120" t="str">
            <v>#REF!</v>
          </cell>
          <cell r="AA120" t="str">
            <v>Zero investment in 2019</v>
          </cell>
          <cell r="AB120">
            <v>51283.915386626977</v>
          </cell>
          <cell r="AC120">
            <v>0</v>
          </cell>
          <cell r="AD120">
            <v>51284</v>
          </cell>
          <cell r="AE120"/>
          <cell r="AL120">
            <v>107.6964</v>
          </cell>
          <cell r="AM120">
            <v>107.6964</v>
          </cell>
          <cell r="AN120">
            <v>35</v>
          </cell>
          <cell r="AQ120">
            <v>19597.293529999999</v>
          </cell>
          <cell r="AR120">
            <v>31686.62185</v>
          </cell>
        </row>
        <row r="121">
          <cell r="A121" t="str">
            <v>8160-01-223</v>
          </cell>
          <cell r="B121" t="str">
            <v>Uri Mishol</v>
          </cell>
          <cell r="C121" t="str">
            <v>033452475</v>
          </cell>
          <cell r="D121" t="str">
            <v>#REF!</v>
          </cell>
          <cell r="E121"/>
          <cell r="F121" t="str">
            <v>אורי משעול</v>
          </cell>
          <cell r="G121" t="str">
            <v>III</v>
          </cell>
          <cell r="H121"/>
          <cell r="I121">
            <v>300000</v>
          </cell>
          <cell r="J121">
            <v>4.1027132309301578E-3</v>
          </cell>
          <cell r="K121">
            <v>5611.9880489893867</v>
          </cell>
          <cell r="L121">
            <v>55928.710414962974</v>
          </cell>
          <cell r="M121">
            <v>61540.698463952358</v>
          </cell>
          <cell r="N121">
            <v>1402.9970122473467</v>
          </cell>
          <cell r="O121">
            <v>0</v>
          </cell>
          <cell r="P121">
            <v>0</v>
          </cell>
          <cell r="Q121">
            <v>1402.9970122473467</v>
          </cell>
          <cell r="R121">
            <v>1402.9970122473467</v>
          </cell>
          <cell r="S121" t="str">
            <v>X</v>
          </cell>
          <cell r="T121"/>
          <cell r="U121">
            <v>60138</v>
          </cell>
          <cell r="V121" t="str">
            <v>#REF!</v>
          </cell>
          <cell r="W121" t="str">
            <v>#REF!</v>
          </cell>
          <cell r="X121" t="str">
            <v>#REF!</v>
          </cell>
          <cell r="Y121" t="str">
            <v>#REF!</v>
          </cell>
          <cell r="Z121" t="str">
            <v>#REF!</v>
          </cell>
          <cell r="AA121" t="str">
            <v>Zero investment in 2019</v>
          </cell>
          <cell r="AB121">
            <v>61540.698463952358</v>
          </cell>
          <cell r="AC121">
            <v>1402.9970122473467</v>
          </cell>
          <cell r="AD121">
            <v>60138</v>
          </cell>
          <cell r="AE121"/>
          <cell r="AL121">
            <v>126.2898</v>
          </cell>
          <cell r="AM121">
            <v>126.2898</v>
          </cell>
          <cell r="AN121">
            <v>35</v>
          </cell>
          <cell r="AQ121">
            <v>23516.752240000002</v>
          </cell>
          <cell r="AR121">
            <v>38023.946219999998</v>
          </cell>
        </row>
        <row r="122">
          <cell r="A122" t="str">
            <v>8160-01-224</v>
          </cell>
          <cell r="B122" t="str">
            <v>Yochai Tiroche</v>
          </cell>
          <cell r="C122" t="str">
            <v>051033256</v>
          </cell>
          <cell r="D122" t="str">
            <v>#REF!</v>
          </cell>
          <cell r="E122"/>
          <cell r="F122" t="str">
            <v>יוחאי תירוש</v>
          </cell>
          <cell r="G122" t="str">
            <v>III</v>
          </cell>
          <cell r="H122"/>
          <cell r="I122">
            <v>400000</v>
          </cell>
          <cell r="J122">
            <v>5.4702843079068777E-3</v>
          </cell>
          <cell r="K122">
            <v>7482.6507319858501</v>
          </cell>
          <cell r="L122">
            <v>74571.613886617313</v>
          </cell>
          <cell r="M122">
            <v>82054.264618603163</v>
          </cell>
          <cell r="N122">
            <v>1870.6626829964625</v>
          </cell>
          <cell r="O122">
            <v>0</v>
          </cell>
          <cell r="P122">
            <v>0</v>
          </cell>
          <cell r="Q122">
            <v>1870.6626829964625</v>
          </cell>
          <cell r="R122">
            <v>1870.6626829964625</v>
          </cell>
          <cell r="S122" t="str">
            <v>X</v>
          </cell>
          <cell r="T122"/>
          <cell r="U122">
            <v>80184</v>
          </cell>
          <cell r="V122" t="str">
            <v>#REF!</v>
          </cell>
          <cell r="W122" t="str">
            <v>#REF!</v>
          </cell>
          <cell r="X122" t="str">
            <v>#REF!</v>
          </cell>
          <cell r="Y122" t="str">
            <v>#REF!</v>
          </cell>
          <cell r="Z122" t="str">
            <v>#REF!</v>
          </cell>
          <cell r="AA122" t="str">
            <v>Zero investment in 2019</v>
          </cell>
          <cell r="AB122">
            <v>82054.264618603163</v>
          </cell>
          <cell r="AC122">
            <v>1870.6626829964625</v>
          </cell>
          <cell r="AD122">
            <v>80184</v>
          </cell>
          <cell r="AE122"/>
          <cell r="AL122">
            <v>168.38640000000001</v>
          </cell>
          <cell r="AM122">
            <v>168.38640000000001</v>
          </cell>
          <cell r="AN122">
            <v>35</v>
          </cell>
          <cell r="AQ122">
            <v>31355.66965</v>
          </cell>
          <cell r="AR122">
            <v>50698.594969999998</v>
          </cell>
        </row>
        <row r="123">
          <cell r="A123" t="str">
            <v>8160-01-225</v>
          </cell>
          <cell r="B123" t="str">
            <v>Aki Ratner</v>
          </cell>
          <cell r="C123" t="str">
            <v>054040977</v>
          </cell>
          <cell r="D123" t="str">
            <v>#REF!</v>
          </cell>
          <cell r="E123"/>
          <cell r="F123" t="str">
            <v>יצחק איזיק רטנר</v>
          </cell>
          <cell r="G123" t="str">
            <v>IV</v>
          </cell>
          <cell r="H123"/>
          <cell r="I123">
            <v>250000</v>
          </cell>
          <cell r="J123">
            <v>3.4189276924417983E-3</v>
          </cell>
          <cell r="K123">
            <v>4676.6567074911563</v>
          </cell>
          <cell r="L123">
            <v>46607.258679135819</v>
          </cell>
          <cell r="M123">
            <v>51283.915386626977</v>
          </cell>
          <cell r="N123">
            <v>1169.1641768727891</v>
          </cell>
          <cell r="O123">
            <v>0</v>
          </cell>
          <cell r="P123">
            <v>0</v>
          </cell>
          <cell r="Q123">
            <v>1169.1641768727891</v>
          </cell>
          <cell r="R123">
            <v>1169.1641768727891</v>
          </cell>
          <cell r="S123" t="str">
            <v>X</v>
          </cell>
          <cell r="T123"/>
          <cell r="U123">
            <v>50115</v>
          </cell>
          <cell r="V123" t="str">
            <v>#REF!</v>
          </cell>
          <cell r="W123" t="str">
            <v>#REF!</v>
          </cell>
          <cell r="X123" t="str">
            <v>#REF!</v>
          </cell>
          <cell r="Y123" t="str">
            <v>#REF!</v>
          </cell>
          <cell r="Z123" t="str">
            <v>#REF!</v>
          </cell>
          <cell r="AA123" t="str">
            <v>Zero investment in 2019</v>
          </cell>
          <cell r="AB123">
            <v>51283.915386626977</v>
          </cell>
          <cell r="AC123">
            <v>1169.1641768727891</v>
          </cell>
          <cell r="AD123">
            <v>50115</v>
          </cell>
          <cell r="AE123"/>
          <cell r="AL123">
            <v>105.2415</v>
          </cell>
          <cell r="AM123">
            <v>105.2415</v>
          </cell>
          <cell r="AN123">
            <v>35</v>
          </cell>
          <cell r="AQ123">
            <v>19597.293529999999</v>
          </cell>
          <cell r="AR123">
            <v>31686.62185</v>
          </cell>
        </row>
        <row r="124">
          <cell r="A124" t="str">
            <v>8160-01-226</v>
          </cell>
          <cell r="B124" t="str">
            <v>Amos &amp; Gili Weizman</v>
          </cell>
          <cell r="C124" t="str">
            <v>Amos - '008128910
Gili - '053387239</v>
          </cell>
          <cell r="D124" t="str">
            <v>#REF!</v>
          </cell>
          <cell r="E124"/>
          <cell r="F124" t="str">
            <v>עמוס זוסיא ויצמן וגילי ויצמן עפרון</v>
          </cell>
          <cell r="G124" t="str">
            <v>IV</v>
          </cell>
          <cell r="H124"/>
          <cell r="I124">
            <v>250000</v>
          </cell>
          <cell r="J124">
            <v>3.4189276924417983E-3</v>
          </cell>
          <cell r="K124">
            <v>4676.6567074911563</v>
          </cell>
          <cell r="L124">
            <v>46607.258679135819</v>
          </cell>
          <cell r="M124">
            <v>51283.915386626977</v>
          </cell>
          <cell r="N124">
            <v>1169.1641768727891</v>
          </cell>
          <cell r="O124">
            <v>0</v>
          </cell>
          <cell r="P124">
            <v>0</v>
          </cell>
          <cell r="Q124">
            <v>1169.1641768727891</v>
          </cell>
          <cell r="R124">
            <v>1169.1641768727891</v>
          </cell>
          <cell r="S124" t="str">
            <v>X</v>
          </cell>
          <cell r="T124"/>
          <cell r="U124">
            <v>50115</v>
          </cell>
          <cell r="V124" t="str">
            <v>#REF!</v>
          </cell>
          <cell r="W124" t="str">
            <v>#REF!</v>
          </cell>
          <cell r="X124" t="str">
            <v>#REF!</v>
          </cell>
          <cell r="Y124" t="str">
            <v>#REF!</v>
          </cell>
          <cell r="Z124" t="str">
            <v>#REF!</v>
          </cell>
          <cell r="AA124" t="str">
            <v>Zero investment in 2019</v>
          </cell>
          <cell r="AB124">
            <v>51283.915386626977</v>
          </cell>
          <cell r="AC124">
            <v>1169.1641768727891</v>
          </cell>
          <cell r="AD124">
            <v>50115</v>
          </cell>
          <cell r="AE124"/>
          <cell r="AL124">
            <v>105.2415</v>
          </cell>
          <cell r="AM124">
            <v>105.2415</v>
          </cell>
          <cell r="AN124">
            <v>35</v>
          </cell>
          <cell r="AQ124">
            <v>19597.293529999999</v>
          </cell>
          <cell r="AR124">
            <v>31686.62185</v>
          </cell>
        </row>
        <row r="125">
          <cell r="A125" t="str">
            <v>8160-01-227</v>
          </cell>
          <cell r="B125" t="str">
            <v>Ben Zion Zilberfarb</v>
          </cell>
          <cell r="C125" t="str">
            <v>030134605</v>
          </cell>
          <cell r="D125" t="str">
            <v>#REF!</v>
          </cell>
          <cell r="E125"/>
          <cell r="F125" t="str">
            <v>בן ציון זילברפארב</v>
          </cell>
          <cell r="G125" t="str">
            <v>IV</v>
          </cell>
          <cell r="H125"/>
          <cell r="I125">
            <v>250000</v>
          </cell>
          <cell r="J125">
            <v>3.4189276924417983E-3</v>
          </cell>
          <cell r="K125">
            <v>4676.6567074911563</v>
          </cell>
          <cell r="L125">
            <v>46607.258679135819</v>
          </cell>
          <cell r="M125">
            <v>51283.915386626977</v>
          </cell>
          <cell r="N125">
            <v>1169.1641768727891</v>
          </cell>
          <cell r="O125">
            <v>0</v>
          </cell>
          <cell r="P125">
            <v>0</v>
          </cell>
          <cell r="Q125">
            <v>1169.1641768727891</v>
          </cell>
          <cell r="R125">
            <v>1169.1641768727891</v>
          </cell>
          <cell r="S125" t="str">
            <v>X</v>
          </cell>
          <cell r="T125"/>
          <cell r="U125">
            <v>50115</v>
          </cell>
          <cell r="V125" t="str">
            <v>#REF!</v>
          </cell>
          <cell r="W125" t="str">
            <v>#REF!</v>
          </cell>
          <cell r="X125" t="str">
            <v>#REF!</v>
          </cell>
          <cell r="Y125" t="str">
            <v>#REF!</v>
          </cell>
          <cell r="Z125" t="str">
            <v>#REF!</v>
          </cell>
          <cell r="AA125" t="str">
            <v>Zero investment in 2019</v>
          </cell>
          <cell r="AB125">
            <v>51283.915386626977</v>
          </cell>
          <cell r="AC125">
            <v>1169.1641768727891</v>
          </cell>
          <cell r="AD125">
            <v>50115</v>
          </cell>
          <cell r="AE125"/>
          <cell r="AL125">
            <v>105.2415</v>
          </cell>
          <cell r="AM125">
            <v>105.2415</v>
          </cell>
          <cell r="AN125">
            <v>35</v>
          </cell>
          <cell r="AQ125">
            <v>19597.293529999999</v>
          </cell>
          <cell r="AR125">
            <v>31686.62185</v>
          </cell>
        </row>
        <row r="126">
          <cell r="A126" t="str">
            <v>8160-01-228</v>
          </cell>
          <cell r="B126" t="str">
            <v>D. Pasternak Managment and Holdings LTD</v>
          </cell>
          <cell r="C126">
            <v>515305746</v>
          </cell>
          <cell r="D126" t="str">
            <v>#REF!</v>
          </cell>
          <cell r="E126" t="str">
            <v>D. Pasternak Managment and Holdings LTD</v>
          </cell>
          <cell r="F126" t="str">
            <v>ד. פסטרנק ניהול ואחזקות בע"מ</v>
          </cell>
          <cell r="G126" t="str">
            <v>IV</v>
          </cell>
          <cell r="H126"/>
          <cell r="I126">
            <v>250000</v>
          </cell>
          <cell r="J126">
            <v>3.4189276924417983E-3</v>
          </cell>
          <cell r="K126">
            <v>4676.6567074911563</v>
          </cell>
          <cell r="L126">
            <v>46607.258679135819</v>
          </cell>
          <cell r="M126">
            <v>51283.915386626977</v>
          </cell>
          <cell r="N126"/>
          <cell r="O126">
            <v>0</v>
          </cell>
          <cell r="P126"/>
          <cell r="Q126"/>
          <cell r="R126">
            <v>0</v>
          </cell>
          <cell r="S126" t="str">
            <v>V</v>
          </cell>
          <cell r="T126">
            <v>0</v>
          </cell>
          <cell r="U126">
            <v>51284</v>
          </cell>
          <cell r="V126" t="str">
            <v>#REF!</v>
          </cell>
          <cell r="W126" t="str">
            <v>#REF!</v>
          </cell>
          <cell r="X126" t="str">
            <v>#REF!</v>
          </cell>
          <cell r="Y126" t="str">
            <v>#REF!</v>
          </cell>
          <cell r="Z126" t="str">
            <v>#REF!</v>
          </cell>
          <cell r="AA126" t="str">
            <v>Zero investment in 2019</v>
          </cell>
          <cell r="AB126">
            <v>51283.915386626977</v>
          </cell>
          <cell r="AC126">
            <v>0</v>
          </cell>
          <cell r="AD126">
            <v>51284</v>
          </cell>
          <cell r="AE126"/>
          <cell r="AL126">
            <v>107.6964</v>
          </cell>
          <cell r="AM126">
            <v>107.6964</v>
          </cell>
          <cell r="AN126">
            <v>35</v>
          </cell>
          <cell r="AQ126">
            <v>19597.293529999999</v>
          </cell>
          <cell r="AR126">
            <v>31686.62185</v>
          </cell>
        </row>
        <row r="127">
          <cell r="A127" t="str">
            <v>8160-01-229</v>
          </cell>
          <cell r="B127" t="str">
            <v>Doron &amp; Yaffa Shalit</v>
          </cell>
          <cell r="C127" t="str">
            <v>Doron - 053971701
Yaffa - 054237763</v>
          </cell>
          <cell r="D127" t="str">
            <v>#REF!</v>
          </cell>
          <cell r="E127"/>
          <cell r="F127" t="str">
            <v>דורון שליט ויפה שליט</v>
          </cell>
          <cell r="G127" t="str">
            <v>IV</v>
          </cell>
          <cell r="H127"/>
          <cell r="I127">
            <v>250000</v>
          </cell>
          <cell r="J127">
            <v>3.4189276924417983E-3</v>
          </cell>
          <cell r="K127">
            <v>4676.6567074911563</v>
          </cell>
          <cell r="L127">
            <v>46607.258679135819</v>
          </cell>
          <cell r="M127">
            <v>51283.915386626977</v>
          </cell>
          <cell r="N127">
            <v>1169.1641768727891</v>
          </cell>
          <cell r="O127">
            <v>0</v>
          </cell>
          <cell r="P127">
            <v>0</v>
          </cell>
          <cell r="Q127">
            <v>1169.1641768727891</v>
          </cell>
          <cell r="R127">
            <v>1169.1641768727891</v>
          </cell>
          <cell r="S127" t="str">
            <v>X</v>
          </cell>
          <cell r="T127"/>
          <cell r="U127">
            <v>50115</v>
          </cell>
          <cell r="V127" t="str">
            <v>#REF!</v>
          </cell>
          <cell r="W127" t="str">
            <v>#REF!</v>
          </cell>
          <cell r="X127" t="str">
            <v>#REF!</v>
          </cell>
          <cell r="Y127" t="str">
            <v>#REF!</v>
          </cell>
          <cell r="Z127" t="str">
            <v>#REF!</v>
          </cell>
          <cell r="AA127" t="str">
            <v>Zero investment in 2019</v>
          </cell>
          <cell r="AB127">
            <v>51283.915386626977</v>
          </cell>
          <cell r="AC127">
            <v>1169.1641768727891</v>
          </cell>
          <cell r="AD127">
            <v>50115</v>
          </cell>
          <cell r="AE127"/>
          <cell r="AL127">
            <v>105.2415</v>
          </cell>
          <cell r="AM127">
            <v>105.2415</v>
          </cell>
          <cell r="AN127">
            <v>35</v>
          </cell>
          <cell r="AQ127">
            <v>19597.293529999999</v>
          </cell>
          <cell r="AR127">
            <v>31686.62185</v>
          </cell>
        </row>
        <row r="128">
          <cell r="A128" t="str">
            <v>8160-01-230</v>
          </cell>
          <cell r="B128" t="str">
            <v>Eran Brener</v>
          </cell>
          <cell r="C128" t="str">
            <v>027310887</v>
          </cell>
          <cell r="D128" t="str">
            <v>#REF!</v>
          </cell>
          <cell r="E128"/>
          <cell r="F128" t="str">
            <v>ערן יוחנן ברנר</v>
          </cell>
          <cell r="G128" t="str">
            <v>IV</v>
          </cell>
          <cell r="H128"/>
          <cell r="I128">
            <v>150000</v>
          </cell>
          <cell r="J128">
            <v>2.0513566154650789E-3</v>
          </cell>
          <cell r="K128">
            <v>2805.9940244946933</v>
          </cell>
          <cell r="L128">
            <v>27964.355207481487</v>
          </cell>
          <cell r="M128">
            <v>30770.349231976179</v>
          </cell>
          <cell r="N128">
            <v>701.49850612367334</v>
          </cell>
          <cell r="O128">
            <v>0</v>
          </cell>
          <cell r="P128">
            <v>0</v>
          </cell>
          <cell r="Q128">
            <v>701.49850612367334</v>
          </cell>
          <cell r="R128">
            <v>701.49850612367334</v>
          </cell>
          <cell r="S128" t="str">
            <v>X</v>
          </cell>
          <cell r="T128"/>
          <cell r="U128">
            <v>30069</v>
          </cell>
          <cell r="V128" t="str">
            <v>#REF!</v>
          </cell>
          <cell r="W128" t="str">
            <v>#REF!</v>
          </cell>
          <cell r="X128" t="str">
            <v>#REF!</v>
          </cell>
          <cell r="Y128" t="str">
            <v>#REF!</v>
          </cell>
          <cell r="Z128" t="str">
            <v>#REF!</v>
          </cell>
          <cell r="AA128" t="str">
            <v>Zero investment in 2019</v>
          </cell>
          <cell r="AB128">
            <v>30770.349231976179</v>
          </cell>
          <cell r="AC128">
            <v>701.49850612367334</v>
          </cell>
          <cell r="AD128">
            <v>30069</v>
          </cell>
          <cell r="AE128"/>
          <cell r="AL128">
            <v>63.1449</v>
          </cell>
          <cell r="AM128">
            <v>63.1449</v>
          </cell>
          <cell r="AN128">
            <v>35</v>
          </cell>
          <cell r="AQ128">
            <v>11758.376120000001</v>
          </cell>
          <cell r="AR128">
            <v>19011.973109999999</v>
          </cell>
        </row>
        <row r="129">
          <cell r="A129" t="str">
            <v>8160-01-231</v>
          </cell>
          <cell r="B129" t="str">
            <v>Gad Graff</v>
          </cell>
          <cell r="C129" t="str">
            <v>057520074</v>
          </cell>
          <cell r="D129" t="str">
            <v>#REF!</v>
          </cell>
          <cell r="E129"/>
          <cell r="F129" t="str">
            <v>גד גרף</v>
          </cell>
          <cell r="G129" t="str">
            <v>IV</v>
          </cell>
          <cell r="H129"/>
          <cell r="I129">
            <v>200000</v>
          </cell>
          <cell r="J129">
            <v>2.7351421539534388E-3</v>
          </cell>
          <cell r="K129">
            <v>3741.3253659929251</v>
          </cell>
          <cell r="L129">
            <v>37285.806943308657</v>
          </cell>
          <cell r="M129">
            <v>41027.132309301582</v>
          </cell>
          <cell r="N129">
            <v>935.33134149823127</v>
          </cell>
          <cell r="O129">
            <v>0</v>
          </cell>
          <cell r="P129">
            <v>0</v>
          </cell>
          <cell r="Q129">
            <v>935.33134149823127</v>
          </cell>
          <cell r="R129">
            <v>935.33134149823127</v>
          </cell>
          <cell r="S129" t="str">
            <v>X</v>
          </cell>
          <cell r="T129"/>
          <cell r="U129">
            <v>40092</v>
          </cell>
          <cell r="V129" t="str">
            <v>#REF!</v>
          </cell>
          <cell r="W129" t="str">
            <v>#REF!</v>
          </cell>
          <cell r="X129" t="str">
            <v>#REF!</v>
          </cell>
          <cell r="Y129" t="str">
            <v>#REF!</v>
          </cell>
          <cell r="Z129" t="str">
            <v>#REF!</v>
          </cell>
          <cell r="AA129" t="str">
            <v>Zero investment in 2019</v>
          </cell>
          <cell r="AB129">
            <v>41027.132309301582</v>
          </cell>
          <cell r="AC129">
            <v>935.33134149823127</v>
          </cell>
          <cell r="AD129">
            <v>40092</v>
          </cell>
          <cell r="AE129"/>
          <cell r="AL129">
            <v>84.193200000000004</v>
          </cell>
          <cell r="AM129">
            <v>84.193200000000004</v>
          </cell>
          <cell r="AN129">
            <v>35</v>
          </cell>
          <cell r="AQ129">
            <v>15677.83483</v>
          </cell>
          <cell r="AR129">
            <v>25349.297480000001</v>
          </cell>
        </row>
        <row r="130">
          <cell r="A130" t="str">
            <v>8160-01-232</v>
          </cell>
          <cell r="B130" t="str">
            <v>Tamar &amp; Shimon Gesundheit</v>
          </cell>
          <cell r="C130" t="str">
            <v>Tamar - 012426821
Shimon - 014762710</v>
          </cell>
          <cell r="D130" t="str">
            <v>#REF!</v>
          </cell>
          <cell r="E130"/>
          <cell r="F130" t="str">
            <v>תמר גזונדהייט ושמעון גזונדהייט</v>
          </cell>
          <cell r="G130" t="str">
            <v>IV</v>
          </cell>
          <cell r="H130"/>
          <cell r="I130">
            <v>1500000</v>
          </cell>
          <cell r="J130">
            <v>2.0513566154650789E-2</v>
          </cell>
          <cell r="K130">
            <v>28059.940244946934</v>
          </cell>
          <cell r="L130">
            <v>279643.55207481486</v>
          </cell>
          <cell r="M130">
            <v>307703.49231976178</v>
          </cell>
          <cell r="N130">
            <v>7014.9850612367336</v>
          </cell>
          <cell r="O130">
            <v>0</v>
          </cell>
          <cell r="P130">
            <v>0</v>
          </cell>
          <cell r="Q130">
            <v>7014.9850612367336</v>
          </cell>
          <cell r="R130">
            <v>7014.9850612367336</v>
          </cell>
          <cell r="S130" t="str">
            <v>X</v>
          </cell>
          <cell r="T130"/>
          <cell r="U130">
            <v>300689</v>
          </cell>
          <cell r="V130" t="str">
            <v>#REF!</v>
          </cell>
          <cell r="W130" t="str">
            <v>#REF!</v>
          </cell>
          <cell r="X130" t="str">
            <v>#REF!</v>
          </cell>
          <cell r="Y130" t="str">
            <v>#REF!</v>
          </cell>
          <cell r="Z130" t="str">
            <v>#REF!</v>
          </cell>
          <cell r="AA130" t="str">
            <v>Zero investment in 2019</v>
          </cell>
          <cell r="AB130">
            <v>307703.49231976178</v>
          </cell>
          <cell r="AC130">
            <v>7014.9850612367336</v>
          </cell>
          <cell r="AD130">
            <v>300689</v>
          </cell>
          <cell r="AE130"/>
          <cell r="AL130">
            <v>631.44690000000003</v>
          </cell>
          <cell r="AM130">
            <v>631.44690000000003</v>
          </cell>
          <cell r="AN130">
            <v>35</v>
          </cell>
          <cell r="AQ130">
            <v>117583.76119999999</v>
          </cell>
          <cell r="AR130">
            <v>190119.7311</v>
          </cell>
        </row>
        <row r="131">
          <cell r="A131" t="str">
            <v>8160-01-233</v>
          </cell>
          <cell r="B131" t="str">
            <v>Harlap Holdings LTD</v>
          </cell>
          <cell r="C131">
            <v>513262063</v>
          </cell>
          <cell r="D131" t="str">
            <v>#REF!</v>
          </cell>
          <cell r="E131" t="str">
            <v>Harlap Holdings LTD</v>
          </cell>
          <cell r="F131" t="str">
            <v>חרל"פ אחזקות בע"מ</v>
          </cell>
          <cell r="G131" t="str">
            <v>IV</v>
          </cell>
          <cell r="H131"/>
          <cell r="I131">
            <v>280000</v>
          </cell>
          <cell r="J131">
            <v>3.829199015534814E-3</v>
          </cell>
          <cell r="K131">
            <v>5237.8555123900942</v>
          </cell>
          <cell r="L131">
            <v>52200.129720632111</v>
          </cell>
          <cell r="M131">
            <v>57437.985233022206</v>
          </cell>
          <cell r="N131"/>
          <cell r="O131">
            <v>0</v>
          </cell>
          <cell r="P131"/>
          <cell r="Q131"/>
          <cell r="R131">
            <v>0</v>
          </cell>
          <cell r="S131" t="str">
            <v>V</v>
          </cell>
          <cell r="T131">
            <v>0</v>
          </cell>
          <cell r="U131">
            <v>57438</v>
          </cell>
          <cell r="V131" t="str">
            <v>#REF!</v>
          </cell>
          <cell r="W131" t="str">
            <v>#REF!</v>
          </cell>
          <cell r="X131" t="str">
            <v>#REF!</v>
          </cell>
          <cell r="Y131" t="str">
            <v>#REF!</v>
          </cell>
          <cell r="Z131" t="str">
            <v>#REF!</v>
          </cell>
          <cell r="AA131" t="str">
            <v>Zero investment in 2019</v>
          </cell>
          <cell r="AB131">
            <v>57437.985233022206</v>
          </cell>
          <cell r="AC131">
            <v>0</v>
          </cell>
          <cell r="AD131">
            <v>57438</v>
          </cell>
          <cell r="AE131"/>
          <cell r="AL131">
            <v>120.6198</v>
          </cell>
          <cell r="AM131">
            <v>120.6198</v>
          </cell>
          <cell r="AN131">
            <v>35</v>
          </cell>
          <cell r="AQ131">
            <v>21948.96876</v>
          </cell>
          <cell r="AR131">
            <v>35489.016479999998</v>
          </cell>
        </row>
        <row r="132">
          <cell r="A132" t="str">
            <v>8160-01-234</v>
          </cell>
          <cell r="B132" t="str">
            <v>Avraham Fried</v>
          </cell>
          <cell r="C132" t="str">
            <v>056166804</v>
          </cell>
          <cell r="D132" t="str">
            <v>#REF!</v>
          </cell>
          <cell r="E132"/>
          <cell r="F132" t="str">
            <v>אברהם פריד</v>
          </cell>
          <cell r="G132" t="str">
            <v>IV</v>
          </cell>
          <cell r="H132" t="str">
            <v>Meitav</v>
          </cell>
          <cell r="I132">
            <v>1000000</v>
          </cell>
          <cell r="J132">
            <v>1.3675710769767193E-2</v>
          </cell>
          <cell r="K132">
            <v>18706.626829964625</v>
          </cell>
          <cell r="L132">
            <v>186429.03471654328</v>
          </cell>
          <cell r="M132">
            <v>205135.66154650791</v>
          </cell>
          <cell r="N132"/>
          <cell r="O132">
            <v>0</v>
          </cell>
          <cell r="P132"/>
          <cell r="Q132"/>
          <cell r="R132">
            <v>0</v>
          </cell>
          <cell r="S132" t="str">
            <v>IRA</v>
          </cell>
          <cell r="T132">
            <v>0</v>
          </cell>
          <cell r="U132">
            <v>205136</v>
          </cell>
          <cell r="V132" t="str">
            <v>#REF!</v>
          </cell>
          <cell r="W132" t="str">
            <v>#REF!</v>
          </cell>
          <cell r="X132" t="str">
            <v>#REF!</v>
          </cell>
          <cell r="Y132" t="str">
            <v>#REF!</v>
          </cell>
          <cell r="Z132" t="str">
            <v>#REF!</v>
          </cell>
          <cell r="AA132" t="str">
            <v>Zero investment in 2019</v>
          </cell>
          <cell r="AB132">
            <v>205135.66154650791</v>
          </cell>
          <cell r="AC132">
            <v>0</v>
          </cell>
          <cell r="AD132">
            <v>205136</v>
          </cell>
          <cell r="AE132"/>
          <cell r="AL132">
            <v>430.78559999999999</v>
          </cell>
          <cell r="AM132">
            <v>430.78559999999999</v>
          </cell>
          <cell r="AN132">
            <v>35</v>
          </cell>
          <cell r="AQ132">
            <v>78389.174129999999</v>
          </cell>
          <cell r="AR132">
            <v>126746.4874</v>
          </cell>
        </row>
        <row r="133">
          <cell r="A133" t="str">
            <v>8160-01-235</v>
          </cell>
          <cell r="B133" t="str">
            <v>Meir Benyamin Hershkovitz</v>
          </cell>
          <cell r="C133" t="str">
            <v>030319610</v>
          </cell>
          <cell r="D133" t="str">
            <v>#REF!</v>
          </cell>
          <cell r="E133"/>
          <cell r="F133" t="str">
            <v>מאיר בנימין הרשקוביץ</v>
          </cell>
          <cell r="G133" t="str">
            <v>IV</v>
          </cell>
          <cell r="H133" t="str">
            <v>Meitav</v>
          </cell>
          <cell r="I133">
            <v>500000</v>
          </cell>
          <cell r="J133">
            <v>6.8378553848835967E-3</v>
          </cell>
          <cell r="K133">
            <v>9353.3134149823127</v>
          </cell>
          <cell r="L133">
            <v>93214.517358271638</v>
          </cell>
          <cell r="M133">
            <v>102567.83077325395</v>
          </cell>
          <cell r="N133"/>
          <cell r="O133">
            <v>0</v>
          </cell>
          <cell r="P133"/>
          <cell r="Q133"/>
          <cell r="R133">
            <v>0</v>
          </cell>
          <cell r="S133" t="str">
            <v>IRA</v>
          </cell>
          <cell r="T133">
            <v>0</v>
          </cell>
          <cell r="U133">
            <v>102568</v>
          </cell>
          <cell r="V133" t="str">
            <v>#REF!</v>
          </cell>
          <cell r="W133" t="str">
            <v>#REF!</v>
          </cell>
          <cell r="X133" t="str">
            <v>#REF!</v>
          </cell>
          <cell r="Y133" t="str">
            <v>#REF!</v>
          </cell>
          <cell r="Z133" t="str">
            <v>#REF!</v>
          </cell>
          <cell r="AA133" t="str">
            <v>Zero investment in 2019</v>
          </cell>
          <cell r="AB133">
            <v>102567.83077325395</v>
          </cell>
          <cell r="AC133">
            <v>0</v>
          </cell>
          <cell r="AD133">
            <v>102568</v>
          </cell>
          <cell r="AE133"/>
          <cell r="AL133">
            <v>215.39279999999999</v>
          </cell>
          <cell r="AM133">
            <v>215.39279999999999</v>
          </cell>
          <cell r="AN133">
            <v>35</v>
          </cell>
          <cell r="AQ133">
            <v>39194.587070000001</v>
          </cell>
          <cell r="AR133">
            <v>63373.243710000002</v>
          </cell>
        </row>
        <row r="134">
          <cell r="A134" t="str">
            <v>8160-01-236</v>
          </cell>
          <cell r="B134" t="str">
            <v>Avraham Zivony</v>
          </cell>
          <cell r="C134" t="str">
            <v>051598373</v>
          </cell>
          <cell r="D134" t="str">
            <v>#REF!</v>
          </cell>
          <cell r="E134"/>
          <cell r="F134" t="str">
            <v>אברהם צבעוני</v>
          </cell>
          <cell r="G134" t="str">
            <v>IV</v>
          </cell>
          <cell r="H134" t="str">
            <v>Meitav</v>
          </cell>
          <cell r="I134">
            <v>250000</v>
          </cell>
          <cell r="J134">
            <v>3.4189276924417983E-3</v>
          </cell>
          <cell r="K134">
            <v>4676.6567074911563</v>
          </cell>
          <cell r="L134">
            <v>46607.258679135819</v>
          </cell>
          <cell r="M134">
            <v>51283.915386626977</v>
          </cell>
          <cell r="N134"/>
          <cell r="O134">
            <v>0</v>
          </cell>
          <cell r="P134"/>
          <cell r="Q134"/>
          <cell r="R134">
            <v>0</v>
          </cell>
          <cell r="S134" t="str">
            <v>IRA</v>
          </cell>
          <cell r="T134">
            <v>0</v>
          </cell>
          <cell r="U134">
            <v>51284</v>
          </cell>
          <cell r="V134" t="str">
            <v>#REF!</v>
          </cell>
          <cell r="W134" t="str">
            <v>#REF!</v>
          </cell>
          <cell r="X134" t="str">
            <v>#REF!</v>
          </cell>
          <cell r="Y134" t="str">
            <v>#REF!</v>
          </cell>
          <cell r="Z134" t="str">
            <v>#REF!</v>
          </cell>
          <cell r="AA134" t="str">
            <v>Zero investment in 2019</v>
          </cell>
          <cell r="AB134">
            <v>51283.915386626977</v>
          </cell>
          <cell r="AC134">
            <v>0</v>
          </cell>
          <cell r="AD134">
            <v>51284</v>
          </cell>
          <cell r="AE134"/>
          <cell r="AL134">
            <v>107.6964</v>
          </cell>
          <cell r="AM134">
            <v>107.6964</v>
          </cell>
          <cell r="AN134">
            <v>35</v>
          </cell>
          <cell r="AQ134">
            <v>19597.293529999999</v>
          </cell>
          <cell r="AR134">
            <v>31686.62185</v>
          </cell>
        </row>
        <row r="135">
          <cell r="A135" t="str">
            <v>8160-01-237</v>
          </cell>
          <cell r="B135" t="str">
            <v>Limor Ariel Yakobi</v>
          </cell>
          <cell r="C135" t="str">
            <v>054934567</v>
          </cell>
          <cell r="D135" t="str">
            <v>#REF!</v>
          </cell>
          <cell r="E135"/>
          <cell r="F135" t="str">
            <v>לימור אריאל יעקבי</v>
          </cell>
          <cell r="G135" t="str">
            <v>IV</v>
          </cell>
          <cell r="H135" t="str">
            <v>Meitav</v>
          </cell>
          <cell r="I135">
            <v>300000</v>
          </cell>
          <cell r="J135">
            <v>4.1027132309301578E-3</v>
          </cell>
          <cell r="K135">
            <v>5611.9880489893867</v>
          </cell>
          <cell r="L135">
            <v>55928.710414962974</v>
          </cell>
          <cell r="M135">
            <v>61540.698463952358</v>
          </cell>
          <cell r="N135"/>
          <cell r="O135">
            <v>0</v>
          </cell>
          <cell r="P135"/>
          <cell r="Q135"/>
          <cell r="R135">
            <v>0</v>
          </cell>
          <cell r="S135" t="str">
            <v>IRA</v>
          </cell>
          <cell r="T135">
            <v>0</v>
          </cell>
          <cell r="U135">
            <v>61541</v>
          </cell>
          <cell r="V135" t="str">
            <v>#REF!</v>
          </cell>
          <cell r="W135" t="str">
            <v>#REF!</v>
          </cell>
          <cell r="X135" t="str">
            <v>#REF!</v>
          </cell>
          <cell r="Y135" t="str">
            <v>#REF!</v>
          </cell>
          <cell r="Z135" t="str">
            <v>#REF!</v>
          </cell>
          <cell r="AA135" t="str">
            <v>Zero investment in 2019</v>
          </cell>
          <cell r="AB135">
            <v>61540.698463952358</v>
          </cell>
          <cell r="AC135">
            <v>0</v>
          </cell>
          <cell r="AD135">
            <v>61541</v>
          </cell>
          <cell r="AE135"/>
          <cell r="AL135">
            <v>129.23609999999999</v>
          </cell>
          <cell r="AM135">
            <v>129.23609999999999</v>
          </cell>
          <cell r="AN135">
            <v>35</v>
          </cell>
          <cell r="AQ135">
            <v>23516.752240000002</v>
          </cell>
          <cell r="AR135">
            <v>38023.946219999998</v>
          </cell>
        </row>
        <row r="136">
          <cell r="A136" t="str">
            <v>8160-01-238</v>
          </cell>
          <cell r="B136" t="str">
            <v>Gila Klinger</v>
          </cell>
          <cell r="C136" t="str">
            <v>022692370</v>
          </cell>
          <cell r="D136" t="str">
            <v>#REF!</v>
          </cell>
          <cell r="E136"/>
          <cell r="F136" t="str">
            <v>גילה קלינגר</v>
          </cell>
          <cell r="G136" t="str">
            <v>IV</v>
          </cell>
          <cell r="H136" t="str">
            <v>Meitav</v>
          </cell>
          <cell r="I136">
            <v>200000</v>
          </cell>
          <cell r="J136">
            <v>2.7351421539534388E-3</v>
          </cell>
          <cell r="K136">
            <v>3741.3253659929251</v>
          </cell>
          <cell r="L136">
            <v>37285.806943308657</v>
          </cell>
          <cell r="M136">
            <v>41027.132309301582</v>
          </cell>
          <cell r="N136"/>
          <cell r="O136">
            <v>0</v>
          </cell>
          <cell r="P136"/>
          <cell r="Q136"/>
          <cell r="R136">
            <v>0</v>
          </cell>
          <cell r="S136" t="str">
            <v>IRA</v>
          </cell>
          <cell r="T136">
            <v>0</v>
          </cell>
          <cell r="U136">
            <v>41027</v>
          </cell>
          <cell r="V136" t="str">
            <v>#REF!</v>
          </cell>
          <cell r="W136" t="str">
            <v>#REF!</v>
          </cell>
          <cell r="X136" t="str">
            <v>#REF!</v>
          </cell>
          <cell r="Y136" t="str">
            <v>#REF!</v>
          </cell>
          <cell r="Z136" t="str">
            <v>#REF!</v>
          </cell>
          <cell r="AA136" t="str">
            <v>Zero investment in 2019</v>
          </cell>
          <cell r="AB136">
            <v>41027.132309301582</v>
          </cell>
          <cell r="AC136">
            <v>0</v>
          </cell>
          <cell r="AD136">
            <v>41027</v>
          </cell>
          <cell r="AE136"/>
          <cell r="AL136">
            <v>86.156700000000001</v>
          </cell>
          <cell r="AM136">
            <v>86.156700000000001</v>
          </cell>
          <cell r="AN136">
            <v>35</v>
          </cell>
          <cell r="AQ136">
            <v>15677.83483</v>
          </cell>
          <cell r="AR136">
            <v>25349.297480000001</v>
          </cell>
        </row>
        <row r="137">
          <cell r="A137" t="str">
            <v>8160-01-239</v>
          </cell>
          <cell r="B137" t="str">
            <v>Nachshon Gal</v>
          </cell>
          <cell r="C137" t="str">
            <v>054502901</v>
          </cell>
          <cell r="D137" t="str">
            <v>#REF!</v>
          </cell>
          <cell r="E137"/>
          <cell r="F137" t="str">
            <v>נחשון גל</v>
          </cell>
          <cell r="G137" t="str">
            <v>IV</v>
          </cell>
          <cell r="H137" t="str">
            <v>Meitav</v>
          </cell>
          <cell r="I137">
            <v>250000</v>
          </cell>
          <cell r="J137">
            <v>3.4189276924417983E-3</v>
          </cell>
          <cell r="K137">
            <v>4676.6567074911563</v>
          </cell>
          <cell r="L137">
            <v>46607.258679135819</v>
          </cell>
          <cell r="M137">
            <v>51283.915386626977</v>
          </cell>
          <cell r="N137"/>
          <cell r="O137">
            <v>0</v>
          </cell>
          <cell r="P137"/>
          <cell r="Q137"/>
          <cell r="R137">
            <v>0</v>
          </cell>
          <cell r="S137" t="str">
            <v>IRA</v>
          </cell>
          <cell r="T137">
            <v>0</v>
          </cell>
          <cell r="U137">
            <v>51284</v>
          </cell>
          <cell r="V137" t="str">
            <v>#REF!</v>
          </cell>
          <cell r="W137" t="str">
            <v>#REF!</v>
          </cell>
          <cell r="X137" t="str">
            <v>#REF!</v>
          </cell>
          <cell r="Y137" t="str">
            <v>#REF!</v>
          </cell>
          <cell r="Z137" t="str">
            <v>#REF!</v>
          </cell>
          <cell r="AA137" t="str">
            <v>Zero investment in 2019</v>
          </cell>
          <cell r="AB137">
            <v>51283.915386626977</v>
          </cell>
          <cell r="AC137">
            <v>0</v>
          </cell>
          <cell r="AD137">
            <v>51284</v>
          </cell>
          <cell r="AE137"/>
          <cell r="AL137">
            <v>107.6964</v>
          </cell>
          <cell r="AM137">
            <v>107.6964</v>
          </cell>
          <cell r="AN137">
            <v>35</v>
          </cell>
          <cell r="AQ137">
            <v>19597.293529999999</v>
          </cell>
          <cell r="AR137">
            <v>31686.62185</v>
          </cell>
        </row>
        <row r="138">
          <cell r="A138" t="str">
            <v>8160-01-240</v>
          </cell>
          <cell r="B138" t="str">
            <v>Reuven Nir</v>
          </cell>
          <cell r="C138" t="str">
            <v>050499839</v>
          </cell>
          <cell r="D138" t="str">
            <v>#REF!</v>
          </cell>
          <cell r="E138"/>
          <cell r="F138" t="str">
            <v>ראובן ניר</v>
          </cell>
          <cell r="G138" t="str">
            <v>IV</v>
          </cell>
          <cell r="H138" t="str">
            <v>Meitav</v>
          </cell>
          <cell r="I138">
            <v>400000</v>
          </cell>
          <cell r="J138">
            <v>5.4702843079068777E-3</v>
          </cell>
          <cell r="K138">
            <v>7482.6507319858501</v>
          </cell>
          <cell r="L138">
            <v>74571.613886617313</v>
          </cell>
          <cell r="M138">
            <v>82054.264618603163</v>
          </cell>
          <cell r="N138"/>
          <cell r="O138">
            <v>0</v>
          </cell>
          <cell r="P138"/>
          <cell r="Q138"/>
          <cell r="R138">
            <v>0</v>
          </cell>
          <cell r="S138" t="str">
            <v>IRA</v>
          </cell>
          <cell r="T138">
            <v>0</v>
          </cell>
          <cell r="U138">
            <v>82054</v>
          </cell>
          <cell r="V138" t="str">
            <v>#REF!</v>
          </cell>
          <cell r="W138" t="str">
            <v>#REF!</v>
          </cell>
          <cell r="X138" t="str">
            <v>#REF!</v>
          </cell>
          <cell r="Y138" t="str">
            <v>#REF!</v>
          </cell>
          <cell r="Z138" t="str">
            <v>#REF!</v>
          </cell>
          <cell r="AA138" t="str">
            <v>Zero investment in 2019</v>
          </cell>
          <cell r="AB138">
            <v>82054.264618603163</v>
          </cell>
          <cell r="AC138">
            <v>0</v>
          </cell>
          <cell r="AD138">
            <v>82054</v>
          </cell>
          <cell r="AE138"/>
          <cell r="AL138">
            <v>172.3134</v>
          </cell>
          <cell r="AM138">
            <v>172.3134</v>
          </cell>
          <cell r="AN138">
            <v>35</v>
          </cell>
          <cell r="AQ138">
            <v>31355.66965</v>
          </cell>
          <cell r="AR138">
            <v>50698.594969999998</v>
          </cell>
        </row>
        <row r="139">
          <cell r="A139" t="str">
            <v>8160-01-241</v>
          </cell>
          <cell r="B139" t="str">
            <v>Shevach Zeev Tentzer</v>
          </cell>
          <cell r="C139" t="str">
            <v>053665899</v>
          </cell>
          <cell r="D139" t="str">
            <v>#REF!</v>
          </cell>
          <cell r="E139"/>
          <cell r="F139" t="str">
            <v>שבח זאב טנצר</v>
          </cell>
          <cell r="G139" t="str">
            <v>IV</v>
          </cell>
          <cell r="H139" t="str">
            <v>Meitav</v>
          </cell>
          <cell r="I139">
            <v>250000</v>
          </cell>
          <cell r="J139">
            <v>3.4189276924417983E-3</v>
          </cell>
          <cell r="K139">
            <v>4676.6567074911563</v>
          </cell>
          <cell r="L139">
            <v>46607.258679135819</v>
          </cell>
          <cell r="M139">
            <v>51283.915386626977</v>
          </cell>
          <cell r="N139"/>
          <cell r="O139">
            <v>0</v>
          </cell>
          <cell r="P139"/>
          <cell r="Q139"/>
          <cell r="R139">
            <v>0</v>
          </cell>
          <cell r="S139" t="str">
            <v>IRA</v>
          </cell>
          <cell r="T139">
            <v>0</v>
          </cell>
          <cell r="U139">
            <v>51284</v>
          </cell>
          <cell r="V139" t="str">
            <v>#REF!</v>
          </cell>
          <cell r="W139" t="str">
            <v>#REF!</v>
          </cell>
          <cell r="X139" t="str">
            <v>#REF!</v>
          </cell>
          <cell r="Y139" t="str">
            <v>#REF!</v>
          </cell>
          <cell r="Z139" t="str">
            <v>#REF!</v>
          </cell>
          <cell r="AA139" t="str">
            <v>Zero investment in 2019</v>
          </cell>
          <cell r="AB139">
            <v>51283.915386626977</v>
          </cell>
          <cell r="AC139">
            <v>0</v>
          </cell>
          <cell r="AD139">
            <v>51284</v>
          </cell>
          <cell r="AE139"/>
          <cell r="AL139">
            <v>107.6964</v>
          </cell>
          <cell r="AM139">
            <v>107.6964</v>
          </cell>
          <cell r="AN139">
            <v>35</v>
          </cell>
          <cell r="AQ139">
            <v>19597.293529999999</v>
          </cell>
          <cell r="AR139">
            <v>31686.62185</v>
          </cell>
        </row>
        <row r="140">
          <cell r="A140" t="str">
            <v>8160-01-242</v>
          </cell>
          <cell r="B140" t="str">
            <v>Yona Fogel</v>
          </cell>
          <cell r="C140" t="str">
            <v>052102001</v>
          </cell>
          <cell r="D140" t="str">
            <v>#REF!</v>
          </cell>
          <cell r="E140"/>
          <cell r="F140" t="str">
            <v>יונה פוגל</v>
          </cell>
          <cell r="G140" t="str">
            <v>IV</v>
          </cell>
          <cell r="H140" t="str">
            <v>Meitav</v>
          </cell>
          <cell r="I140">
            <v>175011</v>
          </cell>
          <cell r="J140">
            <v>2.3933998175277266E-3</v>
          </cell>
          <cell r="K140">
            <v>3273.8654681389394</v>
          </cell>
          <cell r="L140">
            <v>32627.131794776957</v>
          </cell>
          <cell r="M140">
            <v>35900.997262915895</v>
          </cell>
          <cell r="N140"/>
          <cell r="O140">
            <v>0</v>
          </cell>
          <cell r="P140"/>
          <cell r="Q140"/>
          <cell r="R140">
            <v>0</v>
          </cell>
          <cell r="S140" t="str">
            <v>IRA</v>
          </cell>
          <cell r="T140">
            <v>0</v>
          </cell>
          <cell r="U140">
            <v>35901</v>
          </cell>
          <cell r="V140" t="str">
            <v>#REF!</v>
          </cell>
          <cell r="W140" t="str">
            <v>#REF!</v>
          </cell>
          <cell r="X140" t="str">
            <v>#REF!</v>
          </cell>
          <cell r="Y140" t="str">
            <v>#REF!</v>
          </cell>
          <cell r="Z140" t="str">
            <v>#REF!</v>
          </cell>
          <cell r="AA140" t="str">
            <v>Zero investment in 2019</v>
          </cell>
          <cell r="AB140">
            <v>35900.997262915895</v>
          </cell>
          <cell r="AC140">
            <v>0</v>
          </cell>
          <cell r="AD140">
            <v>35901</v>
          </cell>
          <cell r="AE140"/>
          <cell r="AL140">
            <v>75.392099999999999</v>
          </cell>
          <cell r="AM140">
            <v>75.392099999999999</v>
          </cell>
          <cell r="AN140">
            <v>35</v>
          </cell>
          <cell r="AQ140">
            <v>13718.96775</v>
          </cell>
          <cell r="AR140">
            <v>22182.02951</v>
          </cell>
        </row>
        <row r="141">
          <cell r="A141" t="str">
            <v>8160-01-243</v>
          </cell>
          <cell r="B141" t="str">
            <v>Monica Iancu</v>
          </cell>
          <cell r="C141" t="str">
            <v>016641623</v>
          </cell>
          <cell r="D141" t="str">
            <v>#REF!</v>
          </cell>
          <cell r="E141"/>
          <cell r="F141" t="str">
            <v>מוניקה ינקו</v>
          </cell>
          <cell r="G141" t="str">
            <v>IV</v>
          </cell>
          <cell r="H141" t="str">
            <v>Meitav</v>
          </cell>
          <cell r="I141">
            <v>300000</v>
          </cell>
          <cell r="J141">
            <v>4.1027132309301578E-3</v>
          </cell>
          <cell r="K141">
            <v>5611.9880489893867</v>
          </cell>
          <cell r="L141">
            <v>55928.710414962974</v>
          </cell>
          <cell r="M141">
            <v>61540.698463952358</v>
          </cell>
          <cell r="N141"/>
          <cell r="O141">
            <v>0</v>
          </cell>
          <cell r="P141"/>
          <cell r="Q141"/>
          <cell r="R141">
            <v>0</v>
          </cell>
          <cell r="S141" t="str">
            <v>IRA</v>
          </cell>
          <cell r="T141">
            <v>0</v>
          </cell>
          <cell r="U141">
            <v>61541</v>
          </cell>
          <cell r="V141" t="str">
            <v>#REF!</v>
          </cell>
          <cell r="W141" t="str">
            <v>#REF!</v>
          </cell>
          <cell r="X141" t="str">
            <v>#REF!</v>
          </cell>
          <cell r="Y141" t="str">
            <v>#REF!</v>
          </cell>
          <cell r="Z141" t="str">
            <v>#REF!</v>
          </cell>
          <cell r="AA141" t="str">
            <v>Zero investment in 2019</v>
          </cell>
          <cell r="AB141">
            <v>61540.698463952358</v>
          </cell>
          <cell r="AC141">
            <v>0</v>
          </cell>
          <cell r="AD141">
            <v>61541</v>
          </cell>
          <cell r="AE141"/>
          <cell r="AL141">
            <v>129.23609999999999</v>
          </cell>
          <cell r="AM141">
            <v>129.23609999999999</v>
          </cell>
          <cell r="AN141">
            <v>35</v>
          </cell>
          <cell r="AQ141">
            <v>23516.752240000002</v>
          </cell>
          <cell r="AR141">
            <v>38023.946219999998</v>
          </cell>
        </row>
        <row r="142">
          <cell r="A142" t="str">
            <v>8160-01-244</v>
          </cell>
          <cell r="B142" t="str">
            <v>Oron Stern</v>
          </cell>
          <cell r="C142" t="str">
            <v>054336698</v>
          </cell>
          <cell r="D142" t="str">
            <v>#REF!</v>
          </cell>
          <cell r="E142"/>
          <cell r="F142" t="str">
            <v>אורון משה שטר</v>
          </cell>
          <cell r="G142" t="str">
            <v>IV</v>
          </cell>
          <cell r="H142" t="str">
            <v>Meitav</v>
          </cell>
          <cell r="I142">
            <v>250000</v>
          </cell>
          <cell r="J142">
            <v>3.4189276924417983E-3</v>
          </cell>
          <cell r="K142">
            <v>4676.6567074911563</v>
          </cell>
          <cell r="L142">
            <v>46607.258679135819</v>
          </cell>
          <cell r="M142">
            <v>51283.915386626977</v>
          </cell>
          <cell r="N142"/>
          <cell r="O142">
            <v>0</v>
          </cell>
          <cell r="P142"/>
          <cell r="Q142"/>
          <cell r="R142">
            <v>0</v>
          </cell>
          <cell r="S142" t="str">
            <v>IRA</v>
          </cell>
          <cell r="T142">
            <v>0</v>
          </cell>
          <cell r="U142">
            <v>51284</v>
          </cell>
          <cell r="V142" t="str">
            <v>#REF!</v>
          </cell>
          <cell r="W142" t="str">
            <v>#REF!</v>
          </cell>
          <cell r="X142" t="str">
            <v>#REF!</v>
          </cell>
          <cell r="Y142" t="str">
            <v>#REF!</v>
          </cell>
          <cell r="Z142" t="str">
            <v>#REF!</v>
          </cell>
          <cell r="AA142" t="str">
            <v>Zero investment in 2019</v>
          </cell>
          <cell r="AB142">
            <v>51283.915386626977</v>
          </cell>
          <cell r="AC142">
            <v>0</v>
          </cell>
          <cell r="AD142">
            <v>51284</v>
          </cell>
          <cell r="AE142"/>
          <cell r="AL142">
            <v>107.6964</v>
          </cell>
          <cell r="AM142">
            <v>107.6964</v>
          </cell>
          <cell r="AN142">
            <v>35</v>
          </cell>
          <cell r="AQ142">
            <v>19597.293529999999</v>
          </cell>
          <cell r="AR142">
            <v>31686.62185</v>
          </cell>
        </row>
        <row r="143">
          <cell r="A143" t="str">
            <v>8160-01-245</v>
          </cell>
          <cell r="B143" t="str">
            <v>Itay Shalom Brener</v>
          </cell>
          <cell r="C143" t="str">
            <v>025232448</v>
          </cell>
          <cell r="D143" t="str">
            <v>#REF!</v>
          </cell>
          <cell r="E143"/>
          <cell r="F143" t="str">
            <v>איתי שלום ברנר</v>
          </cell>
          <cell r="G143" t="str">
            <v>IV</v>
          </cell>
          <cell r="H143"/>
          <cell r="I143">
            <v>150000</v>
          </cell>
          <cell r="J143">
            <v>2.0513566154650789E-3</v>
          </cell>
          <cell r="K143">
            <v>2805.9940244946933</v>
          </cell>
          <cell r="L143">
            <v>27964.355207481487</v>
          </cell>
          <cell r="M143">
            <v>30770.349231976179</v>
          </cell>
          <cell r="N143">
            <v>701.49850612367334</v>
          </cell>
          <cell r="O143">
            <v>0</v>
          </cell>
          <cell r="P143">
            <v>0</v>
          </cell>
          <cell r="Q143">
            <v>701.49850612367334</v>
          </cell>
          <cell r="R143">
            <v>701.49850612367334</v>
          </cell>
          <cell r="S143" t="str">
            <v>X</v>
          </cell>
          <cell r="T143"/>
          <cell r="U143">
            <v>30069</v>
          </cell>
          <cell r="V143" t="str">
            <v>#REF!</v>
          </cell>
          <cell r="W143" t="str">
            <v>#REF!</v>
          </cell>
          <cell r="X143" t="str">
            <v>#REF!</v>
          </cell>
          <cell r="Y143" t="str">
            <v>#REF!</v>
          </cell>
          <cell r="Z143" t="str">
            <v>#REF!</v>
          </cell>
          <cell r="AA143" t="str">
            <v>Zero investment in 2019</v>
          </cell>
          <cell r="AB143">
            <v>30770.349231976179</v>
          </cell>
          <cell r="AC143">
            <v>701.49850612367334</v>
          </cell>
          <cell r="AD143">
            <v>30069</v>
          </cell>
          <cell r="AE143"/>
          <cell r="AF143"/>
          <cell r="AG143"/>
          <cell r="AH143"/>
          <cell r="AL143">
            <v>63.1449</v>
          </cell>
          <cell r="AM143">
            <v>63.1449</v>
          </cell>
          <cell r="AN143">
            <v>35</v>
          </cell>
          <cell r="AQ143">
            <v>11758.376120000001</v>
          </cell>
          <cell r="AR143">
            <v>19011.973109999999</v>
          </cell>
        </row>
        <row r="144">
          <cell r="A144" t="str">
            <v>8160-01-246</v>
          </cell>
          <cell r="B144" t="str">
            <v>Kibbutz Ein Hashofet</v>
          </cell>
          <cell r="C144">
            <v>570001511</v>
          </cell>
          <cell r="D144" t="str">
            <v>#REF!</v>
          </cell>
          <cell r="E144" t="str">
            <v>Kibbutz Ein Hashofet</v>
          </cell>
          <cell r="F144" t="str">
            <v>קיבוץ עין השופט</v>
          </cell>
          <cell r="G144" t="str">
            <v>IV</v>
          </cell>
          <cell r="H144"/>
          <cell r="I144">
            <v>500000</v>
          </cell>
          <cell r="J144">
            <v>6.8378553848835967E-3</v>
          </cell>
          <cell r="K144">
            <v>9353.3134149823127</v>
          </cell>
          <cell r="L144">
            <v>93214.517358271638</v>
          </cell>
          <cell r="M144">
            <v>102567.83077325395</v>
          </cell>
          <cell r="N144"/>
          <cell r="O144">
            <v>0</v>
          </cell>
          <cell r="P144"/>
          <cell r="Q144"/>
          <cell r="R144">
            <v>0</v>
          </cell>
          <cell r="S144" t="str">
            <v>V</v>
          </cell>
          <cell r="T144">
            <v>0</v>
          </cell>
          <cell r="U144">
            <v>102568</v>
          </cell>
          <cell r="V144" t="str">
            <v>#REF!</v>
          </cell>
          <cell r="W144" t="str">
            <v>#REF!</v>
          </cell>
          <cell r="X144" t="str">
            <v>#REF!</v>
          </cell>
          <cell r="Y144" t="str">
            <v>#REF!</v>
          </cell>
          <cell r="Z144" t="str">
            <v>#REF!</v>
          </cell>
          <cell r="AA144" t="str">
            <v>Zero investment in 2019</v>
          </cell>
          <cell r="AB144">
            <v>102567.83077325395</v>
          </cell>
          <cell r="AC144">
            <v>0</v>
          </cell>
          <cell r="AD144">
            <v>102568</v>
          </cell>
          <cell r="AE144"/>
          <cell r="AL144">
            <v>215.39279999999999</v>
          </cell>
          <cell r="AM144">
            <v>215.39279999999999</v>
          </cell>
          <cell r="AN144">
            <v>35</v>
          </cell>
          <cell r="AQ144">
            <v>39194.587070000001</v>
          </cell>
          <cell r="AR144">
            <v>63373.243710000002</v>
          </cell>
        </row>
        <row r="145">
          <cell r="A145" t="str">
            <v>8160-01-247</v>
          </cell>
          <cell r="B145" t="str">
            <v>Kibbutz Givat Oz</v>
          </cell>
          <cell r="C145">
            <v>570008565</v>
          </cell>
          <cell r="D145" t="str">
            <v>#REF!</v>
          </cell>
          <cell r="E145" t="str">
            <v>Kibbutz Givat Oz</v>
          </cell>
          <cell r="F145" t="str">
            <v>קיבוץ גבעת עז</v>
          </cell>
          <cell r="G145" t="str">
            <v>IV</v>
          </cell>
          <cell r="H145"/>
          <cell r="I145">
            <v>580000</v>
          </cell>
          <cell r="J145">
            <v>7.9319122464649727E-3</v>
          </cell>
          <cell r="K145">
            <v>10849.843561379483</v>
          </cell>
          <cell r="L145">
            <v>108128.84013559511</v>
          </cell>
          <cell r="M145">
            <v>118978.68369697459</v>
          </cell>
          <cell r="N145"/>
          <cell r="O145">
            <v>0</v>
          </cell>
          <cell r="P145"/>
          <cell r="Q145"/>
          <cell r="R145">
            <v>0</v>
          </cell>
          <cell r="S145" t="str">
            <v>V</v>
          </cell>
          <cell r="T145">
            <v>0</v>
          </cell>
          <cell r="U145">
            <v>118979</v>
          </cell>
          <cell r="V145" t="str">
            <v>#REF!</v>
          </cell>
          <cell r="W145" t="str">
            <v>#REF!</v>
          </cell>
          <cell r="X145" t="str">
            <v>#REF!</v>
          </cell>
          <cell r="Y145" t="str">
            <v>#REF!</v>
          </cell>
          <cell r="Z145" t="str">
            <v>#REF!</v>
          </cell>
          <cell r="AA145" t="str">
            <v>Zero investment in 2019</v>
          </cell>
          <cell r="AB145">
            <v>118978.68369697459</v>
          </cell>
          <cell r="AC145">
            <v>0</v>
          </cell>
          <cell r="AD145">
            <v>118979</v>
          </cell>
          <cell r="AE145"/>
          <cell r="AL145">
            <v>249.85589999999999</v>
          </cell>
          <cell r="AM145">
            <v>249.85589999999999</v>
          </cell>
          <cell r="AN145">
            <v>35</v>
          </cell>
          <cell r="AQ145">
            <v>45465.720999999998</v>
          </cell>
          <cell r="AR145">
            <v>73512.962700000004</v>
          </cell>
        </row>
        <row r="146">
          <cell r="A146" t="str">
            <v>8160-01-248</v>
          </cell>
          <cell r="B146" t="str">
            <v>Mordechai Katz</v>
          </cell>
          <cell r="C146">
            <v>4598538</v>
          </cell>
          <cell r="D146" t="str">
            <v>#REF!</v>
          </cell>
          <cell r="E146"/>
          <cell r="F146" t="str">
            <v>מרדכי כץ</v>
          </cell>
          <cell r="G146" t="str">
            <v>IV</v>
          </cell>
          <cell r="H146"/>
          <cell r="I146">
            <v>230000</v>
          </cell>
          <cell r="J146">
            <v>3.1454134770464545E-3</v>
          </cell>
          <cell r="K146">
            <v>4302.5241708918638</v>
          </cell>
          <cell r="L146">
            <v>42878.677984804948</v>
          </cell>
          <cell r="M146">
            <v>47181.20215569681</v>
          </cell>
          <cell r="N146">
            <v>1075.631042722966</v>
          </cell>
          <cell r="O146">
            <v>0</v>
          </cell>
          <cell r="P146">
            <v>0</v>
          </cell>
          <cell r="Q146">
            <v>1075.631042722966</v>
          </cell>
          <cell r="R146">
            <v>1075.631042722966</v>
          </cell>
          <cell r="S146" t="str">
            <v>X</v>
          </cell>
          <cell r="T146"/>
          <cell r="U146">
            <v>46106</v>
          </cell>
          <cell r="V146" t="str">
            <v>#REF!</v>
          </cell>
          <cell r="W146" t="str">
            <v>#REF!</v>
          </cell>
          <cell r="X146" t="str">
            <v>#REF!</v>
          </cell>
          <cell r="Y146" t="str">
            <v>#REF!</v>
          </cell>
          <cell r="Z146" t="str">
            <v>#REF!</v>
          </cell>
          <cell r="AA146" t="str">
            <v>Zero investment in 2019</v>
          </cell>
          <cell r="AB146">
            <v>47181.20215569681</v>
          </cell>
          <cell r="AC146">
            <v>1075.631042722966</v>
          </cell>
          <cell r="AD146">
            <v>46106</v>
          </cell>
          <cell r="AE146"/>
          <cell r="AH146"/>
          <cell r="AL146">
            <v>96.822599999999994</v>
          </cell>
          <cell r="AM146">
            <v>96.822599999999994</v>
          </cell>
          <cell r="AN146">
            <v>35</v>
          </cell>
          <cell r="AQ146">
            <v>18029.510050000001</v>
          </cell>
          <cell r="AR146">
            <v>29151.69211</v>
          </cell>
        </row>
        <row r="147">
          <cell r="A147" t="str">
            <v>8160-01-249</v>
          </cell>
          <cell r="B147" t="str">
            <v>Narita Company for Commerce and Investments Ltd</v>
          </cell>
          <cell r="C147">
            <v>511927485</v>
          </cell>
          <cell r="D147" t="str">
            <v>#REF!</v>
          </cell>
          <cell r="E147" t="str">
            <v xml:space="preserve">Narita Company for Commerce and Investments Ltd
</v>
          </cell>
          <cell r="F147" t="str">
            <v>נריטה חברה למסחר והשקעות בע"מ</v>
          </cell>
          <cell r="G147" t="str">
            <v>IV</v>
          </cell>
          <cell r="H147"/>
          <cell r="I147">
            <v>500000</v>
          </cell>
          <cell r="J147">
            <v>6.8378553848835967E-3</v>
          </cell>
          <cell r="K147">
            <v>9353.3134149823127</v>
          </cell>
          <cell r="L147">
            <v>93214.517358271638</v>
          </cell>
          <cell r="M147">
            <v>102567.83077325395</v>
          </cell>
          <cell r="N147"/>
          <cell r="O147">
            <v>0</v>
          </cell>
          <cell r="P147"/>
          <cell r="Q147"/>
          <cell r="R147">
            <v>0</v>
          </cell>
          <cell r="S147" t="str">
            <v>V</v>
          </cell>
          <cell r="T147">
            <v>0</v>
          </cell>
          <cell r="U147">
            <v>102568</v>
          </cell>
          <cell r="V147" t="str">
            <v>#REF!</v>
          </cell>
          <cell r="W147" t="str">
            <v>#REF!</v>
          </cell>
          <cell r="X147" t="str">
            <v>#REF!</v>
          </cell>
          <cell r="Y147" t="str">
            <v>#REF!</v>
          </cell>
          <cell r="Z147" t="str">
            <v>#REF!</v>
          </cell>
          <cell r="AA147" t="str">
            <v>Zero investment in 2019</v>
          </cell>
          <cell r="AB147">
            <v>102567.83077325395</v>
          </cell>
          <cell r="AC147">
            <v>0</v>
          </cell>
          <cell r="AD147">
            <v>102568</v>
          </cell>
          <cell r="AE147"/>
          <cell r="AL147">
            <v>215.39279999999999</v>
          </cell>
          <cell r="AM147">
            <v>215.39279999999999</v>
          </cell>
          <cell r="AN147">
            <v>35</v>
          </cell>
          <cell r="AQ147">
            <v>39194.587070000001</v>
          </cell>
          <cell r="AR147">
            <v>63373.243710000002</v>
          </cell>
        </row>
        <row r="148">
          <cell r="A148" t="str">
            <v>8160-01-250</v>
          </cell>
          <cell r="B148" t="str">
            <v>Ran &amp; Anat Rothschild</v>
          </cell>
          <cell r="C148" t="str">
            <v>Anat - 034069815
Ran - 032330474</v>
          </cell>
          <cell r="D148" t="str">
            <v>#REF!</v>
          </cell>
          <cell r="E148"/>
          <cell r="F148" t="str">
            <v>רן רוטשילד וענת סולומון רוטשילד</v>
          </cell>
          <cell r="G148" t="str">
            <v>IV</v>
          </cell>
          <cell r="H148"/>
          <cell r="I148">
            <v>250000</v>
          </cell>
          <cell r="J148">
            <v>3.4189276924417983E-3</v>
          </cell>
          <cell r="K148">
            <v>4676.6567074911563</v>
          </cell>
          <cell r="L148">
            <v>46607.258679135819</v>
          </cell>
          <cell r="M148">
            <v>51283.915386626977</v>
          </cell>
          <cell r="N148">
            <v>1169.1641768727891</v>
          </cell>
          <cell r="O148">
            <v>0</v>
          </cell>
          <cell r="P148">
            <v>0</v>
          </cell>
          <cell r="Q148">
            <v>1169.1641768727891</v>
          </cell>
          <cell r="R148">
            <v>1169.1641768727891</v>
          </cell>
          <cell r="S148" t="str">
            <v>X</v>
          </cell>
          <cell r="T148"/>
          <cell r="U148">
            <v>50115</v>
          </cell>
          <cell r="V148" t="str">
            <v>#REF!</v>
          </cell>
          <cell r="W148" t="str">
            <v>#REF!</v>
          </cell>
          <cell r="X148" t="str">
            <v>#REF!</v>
          </cell>
          <cell r="Y148" t="str">
            <v>#REF!</v>
          </cell>
          <cell r="Z148" t="str">
            <v>#REF!</v>
          </cell>
          <cell r="AA148" t="str">
            <v>Zero investment in 2019</v>
          </cell>
          <cell r="AB148">
            <v>51283.915386626977</v>
          </cell>
          <cell r="AC148">
            <v>1169.1641768727891</v>
          </cell>
          <cell r="AD148">
            <v>50115</v>
          </cell>
          <cell r="AE148"/>
          <cell r="AL148">
            <v>105.2415</v>
          </cell>
          <cell r="AM148">
            <v>105.2415</v>
          </cell>
          <cell r="AN148">
            <v>35</v>
          </cell>
          <cell r="AQ148">
            <v>19597.293529999999</v>
          </cell>
          <cell r="AR148">
            <v>31686.62185</v>
          </cell>
        </row>
        <row r="149">
          <cell r="A149" t="str">
            <v>8160-01-251</v>
          </cell>
          <cell r="B149" t="str">
            <v>Tomer Kariv</v>
          </cell>
          <cell r="C149">
            <v>56778194</v>
          </cell>
          <cell r="D149" t="str">
            <v>#REF!</v>
          </cell>
          <cell r="E149"/>
          <cell r="F149" t="str">
            <v>תומר קריב</v>
          </cell>
          <cell r="G149" t="str">
            <v>IV</v>
          </cell>
          <cell r="H149"/>
          <cell r="I149">
            <v>250000</v>
          </cell>
          <cell r="J149">
            <v>3.4189276924417983E-3</v>
          </cell>
          <cell r="K149">
            <v>4676.6567074911563</v>
          </cell>
          <cell r="L149">
            <v>46607.258679135819</v>
          </cell>
          <cell r="M149">
            <v>51283.915386626977</v>
          </cell>
          <cell r="N149">
            <v>1169.1641768727891</v>
          </cell>
          <cell r="O149">
            <v>0</v>
          </cell>
          <cell r="P149">
            <v>0</v>
          </cell>
          <cell r="Q149">
            <v>1169.1641768727891</v>
          </cell>
          <cell r="R149">
            <v>1169.1641768727891</v>
          </cell>
          <cell r="S149" t="str">
            <v>X</v>
          </cell>
          <cell r="T149"/>
          <cell r="U149">
            <v>50115</v>
          </cell>
          <cell r="V149" t="str">
            <v>#REF!</v>
          </cell>
          <cell r="W149" t="str">
            <v>#REF!</v>
          </cell>
          <cell r="X149" t="str">
            <v>#REF!</v>
          </cell>
          <cell r="Y149" t="str">
            <v>#REF!</v>
          </cell>
          <cell r="Z149" t="str">
            <v>#REF!</v>
          </cell>
          <cell r="AA149" t="str">
            <v>Zero investment in 2019</v>
          </cell>
          <cell r="AB149">
            <v>51283.915386626977</v>
          </cell>
          <cell r="AC149">
            <v>1169.1641768727891</v>
          </cell>
          <cell r="AD149">
            <v>50115</v>
          </cell>
          <cell r="AE149"/>
          <cell r="AL149">
            <v>105.2415</v>
          </cell>
          <cell r="AM149">
            <v>105.2415</v>
          </cell>
          <cell r="AN149">
            <v>35</v>
          </cell>
          <cell r="AQ149">
            <v>19597.293529999999</v>
          </cell>
          <cell r="AR149">
            <v>31686.62185</v>
          </cell>
        </row>
        <row r="150">
          <cell r="A150" t="str">
            <v>8160-01-252</v>
          </cell>
          <cell r="B150" t="str">
            <v>Y Brener Technologies LTD</v>
          </cell>
          <cell r="C150">
            <v>513026492</v>
          </cell>
          <cell r="D150" t="str">
            <v>#REF!</v>
          </cell>
          <cell r="E150" t="str">
            <v>Y Brener Technologies LTD</v>
          </cell>
          <cell r="F150" t="str">
            <v>י. ברנר טכנולוגיות בע"מ</v>
          </cell>
          <cell r="G150" t="str">
            <v>IV</v>
          </cell>
          <cell r="H150"/>
          <cell r="I150">
            <v>290000</v>
          </cell>
          <cell r="J150">
            <v>3.9659561232324864E-3</v>
          </cell>
          <cell r="K150">
            <v>5424.9217806897414</v>
          </cell>
          <cell r="L150">
            <v>54064.420067797553</v>
          </cell>
          <cell r="M150">
            <v>59489.341848487296</v>
          </cell>
          <cell r="N150"/>
          <cell r="O150">
            <v>0</v>
          </cell>
          <cell r="P150"/>
          <cell r="Q150"/>
          <cell r="R150">
            <v>0</v>
          </cell>
          <cell r="S150" t="str">
            <v>V</v>
          </cell>
          <cell r="T150">
            <v>0</v>
          </cell>
          <cell r="U150">
            <v>59489</v>
          </cell>
          <cell r="V150" t="str">
            <v>#REF!</v>
          </cell>
          <cell r="W150" t="str">
            <v>#REF!</v>
          </cell>
          <cell r="X150" t="str">
            <v>#REF!</v>
          </cell>
          <cell r="Y150" t="str">
            <v>#REF!</v>
          </cell>
          <cell r="Z150" t="str">
            <v>#REF!</v>
          </cell>
          <cell r="AA150" t="str">
            <v>Zero investment in 2019</v>
          </cell>
          <cell r="AB150">
            <v>59489.341848487296</v>
          </cell>
          <cell r="AC150">
            <v>0</v>
          </cell>
          <cell r="AD150">
            <v>59489</v>
          </cell>
          <cell r="AE150"/>
          <cell r="AL150">
            <v>124.9269</v>
          </cell>
          <cell r="AM150">
            <v>124.9269</v>
          </cell>
          <cell r="AN150">
            <v>35</v>
          </cell>
          <cell r="AQ150">
            <v>22732.860499999999</v>
          </cell>
          <cell r="AR150">
            <v>36756.481350000002</v>
          </cell>
        </row>
        <row r="151">
          <cell r="A151" t="str">
            <v>8160-01-253</v>
          </cell>
          <cell r="B151" t="str">
            <v>Yuval Fuchs</v>
          </cell>
          <cell r="C151"/>
          <cell r="D151"/>
          <cell r="E151"/>
          <cell r="F151"/>
          <cell r="G151" t="e">
            <v>#N/A</v>
          </cell>
          <cell r="H151"/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/>
          <cell r="T151">
            <v>0</v>
          </cell>
          <cell r="U151">
            <v>0</v>
          </cell>
          <cell r="V151"/>
          <cell r="W151"/>
          <cell r="X151"/>
          <cell r="Y151"/>
          <cell r="Z151"/>
          <cell r="AA151"/>
          <cell r="AB151">
            <v>0</v>
          </cell>
          <cell r="AC151">
            <v>0</v>
          </cell>
          <cell r="AD151">
            <v>0</v>
          </cell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>
            <v>0</v>
          </cell>
          <cell r="AR151">
            <v>0</v>
          </cell>
          <cell r="AS151"/>
          <cell r="AT151"/>
          <cell r="AU151"/>
          <cell r="AV151"/>
        </row>
        <row r="152">
          <cell r="A152" t="str">
            <v>8160-01-292</v>
          </cell>
          <cell r="B152" t="str">
            <v>Yaacov Zitser</v>
          </cell>
          <cell r="C152" t="str">
            <v>051224236</v>
          </cell>
          <cell r="D152" t="str">
            <v>#REF!</v>
          </cell>
          <cell r="E152"/>
          <cell r="F152" t="str">
            <v>יעקב זיצר</v>
          </cell>
          <cell r="G152" t="str">
            <v>I</v>
          </cell>
          <cell r="H152" t="str">
            <v>Phoenix</v>
          </cell>
          <cell r="I152">
            <v>250000</v>
          </cell>
          <cell r="J152">
            <v>3.4189276924417983E-3</v>
          </cell>
          <cell r="K152">
            <v>4676.6567074911563</v>
          </cell>
          <cell r="L152">
            <v>46607.258679135819</v>
          </cell>
          <cell r="M152">
            <v>51283.915386626977</v>
          </cell>
          <cell r="N152"/>
          <cell r="O152">
            <v>0</v>
          </cell>
          <cell r="P152"/>
          <cell r="Q152"/>
          <cell r="R152">
            <v>0</v>
          </cell>
          <cell r="S152" t="str">
            <v>IRA</v>
          </cell>
          <cell r="T152">
            <v>0</v>
          </cell>
          <cell r="U152">
            <v>51284</v>
          </cell>
          <cell r="V152" t="str">
            <v>#REF!</v>
          </cell>
          <cell r="W152" t="str">
            <v>#REF!</v>
          </cell>
          <cell r="X152" t="str">
            <v>#REF!</v>
          </cell>
          <cell r="Y152" t="str">
            <v>#REF!</v>
          </cell>
          <cell r="Z152" t="str">
            <v>#REF!</v>
          </cell>
          <cell r="AA152" t="e">
            <v>#REF!</v>
          </cell>
          <cell r="AB152">
            <v>51283.915386626977</v>
          </cell>
          <cell r="AC152">
            <v>0</v>
          </cell>
          <cell r="AD152">
            <v>51284</v>
          </cell>
          <cell r="AE152"/>
          <cell r="AL152">
            <v>107.6964</v>
          </cell>
          <cell r="AM152">
            <v>107.6964</v>
          </cell>
          <cell r="AN152">
            <v>35</v>
          </cell>
          <cell r="AQ152">
            <v>19597.293529999999</v>
          </cell>
          <cell r="AR152">
            <v>31686.62185</v>
          </cell>
        </row>
        <row r="153">
          <cell r="A153" t="str">
            <v>8160-01-255</v>
          </cell>
          <cell r="B153" t="str">
            <v>A.N.T - 10 LTD</v>
          </cell>
          <cell r="C153">
            <v>512903311</v>
          </cell>
          <cell r="D153" t="str">
            <v>#REF!</v>
          </cell>
          <cell r="E153" t="str">
            <v>A.N.T - 10 LTD</v>
          </cell>
          <cell r="F153" t="str">
            <v>א.נ.ט - 10 בע"מ</v>
          </cell>
          <cell r="G153" t="str">
            <v>V</v>
          </cell>
          <cell r="H153"/>
          <cell r="I153">
            <v>300000</v>
          </cell>
          <cell r="J153">
            <v>4.1027132309301578E-3</v>
          </cell>
          <cell r="K153">
            <v>5611.9880489893867</v>
          </cell>
          <cell r="L153">
            <v>55928.710414962974</v>
          </cell>
          <cell r="M153">
            <v>61540.698463952358</v>
          </cell>
          <cell r="N153"/>
          <cell r="O153">
            <v>0</v>
          </cell>
          <cell r="P153"/>
          <cell r="Q153"/>
          <cell r="R153">
            <v>0</v>
          </cell>
          <cell r="S153" t="str">
            <v>V</v>
          </cell>
          <cell r="T153">
            <v>0</v>
          </cell>
          <cell r="U153">
            <v>61541</v>
          </cell>
          <cell r="V153" t="str">
            <v>#REF!</v>
          </cell>
          <cell r="W153" t="str">
            <v>#REF!</v>
          </cell>
          <cell r="X153" t="str">
            <v>#REF!</v>
          </cell>
          <cell r="Y153" t="str">
            <v>#REF!</v>
          </cell>
          <cell r="Z153" t="str">
            <v>#REF!</v>
          </cell>
          <cell r="AA153" t="str">
            <v>Zero investment in 2019</v>
          </cell>
          <cell r="AB153">
            <v>61540.698463952358</v>
          </cell>
          <cell r="AC153">
            <v>0</v>
          </cell>
          <cell r="AD153">
            <v>61541</v>
          </cell>
          <cell r="AE153"/>
          <cell r="AF153"/>
          <cell r="AG153"/>
          <cell r="AH153"/>
          <cell r="AL153">
            <v>129.23609999999999</v>
          </cell>
          <cell r="AM153">
            <v>129.23609999999999</v>
          </cell>
          <cell r="AN153">
            <v>35</v>
          </cell>
          <cell r="AQ153">
            <v>23516.752240000002</v>
          </cell>
          <cell r="AR153">
            <v>38023.946219999998</v>
          </cell>
        </row>
        <row r="154">
          <cell r="A154" t="str">
            <v>8160-01-257</v>
          </cell>
          <cell r="B154" t="str">
            <v>Arieh &amp; Varda Saban</v>
          </cell>
          <cell r="C154" t="str">
            <v>Arieh 064902083     Varda 050403963</v>
          </cell>
          <cell r="D154" t="str">
            <v>#REF!</v>
          </cell>
          <cell r="E154"/>
          <cell r="F154" t="str">
            <v>אריה סבן וורדה סבן</v>
          </cell>
          <cell r="G154" t="str">
            <v>V</v>
          </cell>
          <cell r="H154"/>
          <cell r="I154">
            <v>500000</v>
          </cell>
          <cell r="J154">
            <v>6.8378553848835967E-3</v>
          </cell>
          <cell r="K154">
            <v>9353.3134149823127</v>
          </cell>
          <cell r="L154">
            <v>93214.517358271638</v>
          </cell>
          <cell r="M154">
            <v>102567.83077325395</v>
          </cell>
          <cell r="N154">
            <v>2338.3283537455782</v>
          </cell>
          <cell r="O154">
            <v>0</v>
          </cell>
          <cell r="P154">
            <v>0</v>
          </cell>
          <cell r="Q154">
            <v>2338.3283537455782</v>
          </cell>
          <cell r="R154">
            <v>2338.3283537455782</v>
          </cell>
          <cell r="S154" t="str">
            <v>X</v>
          </cell>
          <cell r="T154"/>
          <cell r="U154">
            <v>100230</v>
          </cell>
          <cell r="V154" t="str">
            <v>#REF!</v>
          </cell>
          <cell r="W154" t="str">
            <v>#REF!</v>
          </cell>
          <cell r="X154" t="str">
            <v>#REF!</v>
          </cell>
          <cell r="Y154" t="str">
            <v>#REF!</v>
          </cell>
          <cell r="Z154" t="str">
            <v>#REF!</v>
          </cell>
          <cell r="AA154" t="str">
            <v>Zero investment in 2019</v>
          </cell>
          <cell r="AB154">
            <v>102567.83077325395</v>
          </cell>
          <cell r="AC154">
            <v>2338.3283537455782</v>
          </cell>
          <cell r="AD154">
            <v>100230</v>
          </cell>
          <cell r="AE154"/>
          <cell r="AL154">
            <v>210.483</v>
          </cell>
          <cell r="AM154">
            <v>210.483</v>
          </cell>
          <cell r="AN154">
            <v>35</v>
          </cell>
          <cell r="AQ154">
            <v>39194.587070000001</v>
          </cell>
          <cell r="AR154">
            <v>63373.243710000002</v>
          </cell>
        </row>
        <row r="155">
          <cell r="A155" t="str">
            <v>8160-01-258</v>
          </cell>
          <cell r="B155" t="str">
            <v>Atlas Lending Fund L.P</v>
          </cell>
          <cell r="C155" t="str">
            <v>OG-90357</v>
          </cell>
          <cell r="D155" t="str">
            <v>#REF!</v>
          </cell>
          <cell r="E155" t="str">
            <v>Atlas Lending Fund L.P</v>
          </cell>
          <cell r="F155"/>
          <cell r="G155" t="str">
            <v>V</v>
          </cell>
          <cell r="H155"/>
          <cell r="I155">
            <v>500000</v>
          </cell>
          <cell r="J155">
            <v>6.8378553848835967E-3</v>
          </cell>
          <cell r="K155">
            <v>9353.3134149823127</v>
          </cell>
          <cell r="L155">
            <v>93214.517358271638</v>
          </cell>
          <cell r="M155">
            <v>102567.83077325395</v>
          </cell>
          <cell r="N155"/>
          <cell r="O155">
            <v>0</v>
          </cell>
          <cell r="P155"/>
          <cell r="Q155"/>
          <cell r="R155">
            <v>0</v>
          </cell>
          <cell r="S155" t="str">
            <v>V</v>
          </cell>
          <cell r="T155"/>
          <cell r="U155">
            <v>102568</v>
          </cell>
          <cell r="V155" t="str">
            <v>#REF!</v>
          </cell>
          <cell r="W155" t="str">
            <v>#REF!</v>
          </cell>
          <cell r="X155" t="str">
            <v>#REF!</v>
          </cell>
          <cell r="Y155" t="str">
            <v>#REF!</v>
          </cell>
          <cell r="Z155" t="str">
            <v>#REF!</v>
          </cell>
          <cell r="AA155" t="str">
            <v>Zero investment in 2019</v>
          </cell>
          <cell r="AB155">
            <v>102567.83077325395</v>
          </cell>
          <cell r="AC155">
            <v>0</v>
          </cell>
          <cell r="AD155">
            <v>102568</v>
          </cell>
          <cell r="AE155"/>
          <cell r="AL155">
            <v>215.39279999999999</v>
          </cell>
          <cell r="AM155">
            <v>215.39279999999999</v>
          </cell>
          <cell r="AN155">
            <v>35</v>
          </cell>
          <cell r="AQ155">
            <v>39194.587070000001</v>
          </cell>
          <cell r="AR155">
            <v>63373.243710000002</v>
          </cell>
        </row>
        <row r="156">
          <cell r="A156" t="str">
            <v>8160-01-259</v>
          </cell>
          <cell r="B156" t="str">
            <v>Bibars Natcho</v>
          </cell>
          <cell r="C156">
            <v>301281531</v>
          </cell>
          <cell r="D156">
            <v>301281531</v>
          </cell>
          <cell r="E156"/>
          <cell r="F156" t="str">
            <v>נאתכו ביברס</v>
          </cell>
          <cell r="G156" t="str">
            <v>V</v>
          </cell>
          <cell r="H156"/>
          <cell r="I156">
            <v>500000</v>
          </cell>
          <cell r="J156">
            <v>6.8378553848835967E-3</v>
          </cell>
          <cell r="K156">
            <v>9353.3134149823127</v>
          </cell>
          <cell r="L156">
            <v>93214.517358271638</v>
          </cell>
          <cell r="M156">
            <v>102567.83077325395</v>
          </cell>
          <cell r="N156">
            <v>2338.3283537455782</v>
          </cell>
          <cell r="O156">
            <v>0</v>
          </cell>
          <cell r="P156">
            <v>0</v>
          </cell>
          <cell r="Q156">
            <v>2338.3283537455782</v>
          </cell>
          <cell r="R156">
            <v>2338.3283537455782</v>
          </cell>
          <cell r="S156" t="str">
            <v>X</v>
          </cell>
          <cell r="T156"/>
          <cell r="U156">
            <v>100230</v>
          </cell>
          <cell r="V156" t="str">
            <v>#REF!</v>
          </cell>
          <cell r="W156" t="str">
            <v>#REF!</v>
          </cell>
          <cell r="X156" t="str">
            <v>#REF!</v>
          </cell>
          <cell r="Y156" t="str">
            <v>#REF!</v>
          </cell>
          <cell r="Z156" t="str">
            <v>#REF!</v>
          </cell>
          <cell r="AA156" t="str">
            <v>Zero investment in 2019</v>
          </cell>
          <cell r="AB156">
            <v>102567.83077325395</v>
          </cell>
          <cell r="AC156">
            <v>2338.3283537455782</v>
          </cell>
          <cell r="AD156">
            <v>100230</v>
          </cell>
          <cell r="AE156"/>
          <cell r="AL156">
            <v>210.483</v>
          </cell>
          <cell r="AM156">
            <v>210.483</v>
          </cell>
          <cell r="AN156">
            <v>35</v>
          </cell>
          <cell r="AQ156">
            <v>39194.587070000001</v>
          </cell>
          <cell r="AR156">
            <v>63373.243710000002</v>
          </cell>
        </row>
        <row r="157">
          <cell r="A157" t="str">
            <v>8160-01-260</v>
          </cell>
          <cell r="B157" t="str">
            <v>Haim Livne</v>
          </cell>
          <cell r="C157" t="str">
            <v>064561459</v>
          </cell>
          <cell r="D157" t="str">
            <v>#REF!</v>
          </cell>
          <cell r="E157"/>
          <cell r="F157" t="str">
            <v>חיים לבנה</v>
          </cell>
          <cell r="G157" t="str">
            <v>V</v>
          </cell>
          <cell r="H157"/>
          <cell r="I157">
            <v>250000</v>
          </cell>
          <cell r="J157">
            <v>3.4189276924417983E-3</v>
          </cell>
          <cell r="K157">
            <v>4676.6567074911563</v>
          </cell>
          <cell r="L157">
            <v>46607.258679135819</v>
          </cell>
          <cell r="M157">
            <v>51283.915386626977</v>
          </cell>
          <cell r="N157">
            <v>1169.1641768727891</v>
          </cell>
          <cell r="O157">
            <v>0</v>
          </cell>
          <cell r="P157">
            <v>0</v>
          </cell>
          <cell r="Q157">
            <v>1169.1641768727891</v>
          </cell>
          <cell r="R157">
            <v>1169.1641768727891</v>
          </cell>
          <cell r="S157" t="str">
            <v>X</v>
          </cell>
          <cell r="T157"/>
          <cell r="U157">
            <v>50115</v>
          </cell>
          <cell r="V157" t="str">
            <v>#REF!</v>
          </cell>
          <cell r="W157" t="str">
            <v>#REF!</v>
          </cell>
          <cell r="X157" t="str">
            <v>#REF!</v>
          </cell>
          <cell r="Y157" t="str">
            <v>#REF!</v>
          </cell>
          <cell r="Z157" t="str">
            <v>#REF!</v>
          </cell>
          <cell r="AA157" t="str">
            <v>Zero investment in 2019</v>
          </cell>
          <cell r="AB157">
            <v>51283.915386626977</v>
          </cell>
          <cell r="AC157">
            <v>1169.1641768727891</v>
          </cell>
          <cell r="AD157">
            <v>50115</v>
          </cell>
          <cell r="AE157"/>
          <cell r="AL157">
            <v>105.2415</v>
          </cell>
          <cell r="AM157">
            <v>105.2415</v>
          </cell>
          <cell r="AN157">
            <v>35</v>
          </cell>
          <cell r="AQ157">
            <v>19597.293529999999</v>
          </cell>
          <cell r="AR157">
            <v>31686.62185</v>
          </cell>
        </row>
        <row r="158">
          <cell r="A158" t="str">
            <v>8160-01-261</v>
          </cell>
          <cell r="B158" t="str">
            <v>Ifat Zahava Fish</v>
          </cell>
          <cell r="C158" t="str">
            <v>024507048</v>
          </cell>
          <cell r="D158" t="str">
            <v>#REF!</v>
          </cell>
          <cell r="E158"/>
          <cell r="F158" t="str">
            <v>יפעת זהבה פיש</v>
          </cell>
          <cell r="G158" t="str">
            <v>V</v>
          </cell>
          <cell r="H158"/>
          <cell r="I158">
            <v>300000</v>
          </cell>
          <cell r="J158">
            <v>4.1027132309301578E-3</v>
          </cell>
          <cell r="K158">
            <v>5611.9880489893867</v>
          </cell>
          <cell r="L158">
            <v>55928.710414962974</v>
          </cell>
          <cell r="M158">
            <v>61540.698463952358</v>
          </cell>
          <cell r="N158">
            <v>1402.9970122473467</v>
          </cell>
          <cell r="O158">
            <v>0</v>
          </cell>
          <cell r="P158">
            <v>0</v>
          </cell>
          <cell r="Q158">
            <v>1402.9970122473467</v>
          </cell>
          <cell r="R158">
            <v>1402.9970122473467</v>
          </cell>
          <cell r="S158" t="str">
            <v>X</v>
          </cell>
          <cell r="T158"/>
          <cell r="U158">
            <v>60138</v>
          </cell>
          <cell r="V158" t="str">
            <v>#REF!</v>
          </cell>
          <cell r="W158" t="str">
            <v>#REF!</v>
          </cell>
          <cell r="X158" t="str">
            <v>#REF!</v>
          </cell>
          <cell r="Y158" t="str">
            <v>#REF!</v>
          </cell>
          <cell r="Z158" t="str">
            <v>#REF!</v>
          </cell>
          <cell r="AA158" t="str">
            <v>Zero investment in 2019</v>
          </cell>
          <cell r="AB158">
            <v>61540.698463952358</v>
          </cell>
          <cell r="AC158">
            <v>1402.9970122473467</v>
          </cell>
          <cell r="AD158">
            <v>60138</v>
          </cell>
          <cell r="AE158"/>
          <cell r="AL158">
            <v>126.2898</v>
          </cell>
          <cell r="AM158">
            <v>126.2898</v>
          </cell>
          <cell r="AN158">
            <v>35</v>
          </cell>
          <cell r="AQ158">
            <v>23516.752240000002</v>
          </cell>
          <cell r="AR158">
            <v>38023.946219999998</v>
          </cell>
        </row>
        <row r="159">
          <cell r="A159" t="str">
            <v>8160-01-262</v>
          </cell>
          <cell r="B159" t="str">
            <v>Meron Man</v>
          </cell>
          <cell r="C159" t="str">
            <v>050699727</v>
          </cell>
          <cell r="D159" t="str">
            <v>#REF!</v>
          </cell>
          <cell r="E159"/>
          <cell r="F159" t="str">
            <v>מירון מן</v>
          </cell>
          <cell r="G159" t="str">
            <v>V</v>
          </cell>
          <cell r="H159" t="str">
            <v>Phoenix</v>
          </cell>
          <cell r="I159">
            <v>700000</v>
          </cell>
          <cell r="J159">
            <v>9.5729975388370355E-3</v>
          </cell>
          <cell r="K159">
            <v>13094.638780975238</v>
          </cell>
          <cell r="L159">
            <v>130500.32430158029</v>
          </cell>
          <cell r="M159">
            <v>143594.96308255554</v>
          </cell>
          <cell r="N159"/>
          <cell r="O159">
            <v>0</v>
          </cell>
          <cell r="P159"/>
          <cell r="Q159"/>
          <cell r="R159">
            <v>0</v>
          </cell>
          <cell r="S159" t="str">
            <v>IRA</v>
          </cell>
          <cell r="T159">
            <v>0</v>
          </cell>
          <cell r="U159">
            <v>143595</v>
          </cell>
          <cell r="V159" t="str">
            <v>#REF!</v>
          </cell>
          <cell r="W159" t="str">
            <v>#REF!</v>
          </cell>
          <cell r="X159" t="str">
            <v>#REF!</v>
          </cell>
          <cell r="Y159" t="str">
            <v>#REF!</v>
          </cell>
          <cell r="Z159" t="str">
            <v>#REF!</v>
          </cell>
          <cell r="AA159" t="str">
            <v>Zero investment in 2019</v>
          </cell>
          <cell r="AB159">
            <v>143594.96308255554</v>
          </cell>
          <cell r="AC159">
            <v>0</v>
          </cell>
          <cell r="AD159">
            <v>143595</v>
          </cell>
          <cell r="AE159"/>
          <cell r="AL159">
            <v>301.54950000000002</v>
          </cell>
          <cell r="AM159">
            <v>301.54950000000002</v>
          </cell>
          <cell r="AN159">
            <v>35</v>
          </cell>
          <cell r="AQ159">
            <v>54872.421889999998</v>
          </cell>
          <cell r="AR159">
            <v>88722.541190000004</v>
          </cell>
        </row>
        <row r="160">
          <cell r="A160" t="str">
            <v>8160-01-263</v>
          </cell>
          <cell r="B160" t="str">
            <v>Dan Schmorak</v>
          </cell>
          <cell r="C160" t="str">
            <v>006785984</v>
          </cell>
          <cell r="D160" t="str">
            <v>#REF!</v>
          </cell>
          <cell r="E160"/>
          <cell r="F160" t="str">
            <v>דן שמורק</v>
          </cell>
          <cell r="G160" t="str">
            <v>V</v>
          </cell>
          <cell r="H160" t="str">
            <v>Meitav</v>
          </cell>
          <cell r="I160">
            <v>250000</v>
          </cell>
          <cell r="J160">
            <v>3.4189276924417983E-3</v>
          </cell>
          <cell r="K160">
            <v>4676.6567074911563</v>
          </cell>
          <cell r="L160">
            <v>46607.258679135819</v>
          </cell>
          <cell r="M160">
            <v>51283.915386626977</v>
          </cell>
          <cell r="N160"/>
          <cell r="O160">
            <v>0</v>
          </cell>
          <cell r="P160"/>
          <cell r="Q160"/>
          <cell r="R160">
            <v>0</v>
          </cell>
          <cell r="S160" t="str">
            <v>IRA</v>
          </cell>
          <cell r="T160">
            <v>0</v>
          </cell>
          <cell r="U160">
            <v>51284</v>
          </cell>
          <cell r="V160" t="str">
            <v>#REF!</v>
          </cell>
          <cell r="W160" t="str">
            <v>#REF!</v>
          </cell>
          <cell r="X160" t="str">
            <v>#REF!</v>
          </cell>
          <cell r="Y160" t="str">
            <v>#REF!</v>
          </cell>
          <cell r="Z160" t="str">
            <v>#REF!</v>
          </cell>
          <cell r="AA160" t="str">
            <v>Zero investment in 2019</v>
          </cell>
          <cell r="AB160">
            <v>51283.915386626977</v>
          </cell>
          <cell r="AC160">
            <v>0</v>
          </cell>
          <cell r="AD160">
            <v>51284</v>
          </cell>
          <cell r="AE160"/>
          <cell r="AL160">
            <v>107.6964</v>
          </cell>
          <cell r="AM160">
            <v>107.6964</v>
          </cell>
          <cell r="AN160">
            <v>35</v>
          </cell>
          <cell r="AQ160">
            <v>19597.293529999999</v>
          </cell>
          <cell r="AR160">
            <v>31686.62185</v>
          </cell>
        </row>
        <row r="161">
          <cell r="A161" t="str">
            <v>8160-01-264</v>
          </cell>
          <cell r="B161" t="str">
            <v>Eyal Amitai</v>
          </cell>
          <cell r="C161" t="str">
            <v>012159844</v>
          </cell>
          <cell r="D161" t="str">
            <v>#REF!</v>
          </cell>
          <cell r="E161"/>
          <cell r="F161" t="str">
            <v>איל אמיתי</v>
          </cell>
          <cell r="G161" t="str">
            <v>V</v>
          </cell>
          <cell r="H161" t="str">
            <v>Meitav</v>
          </cell>
          <cell r="I161">
            <v>250000</v>
          </cell>
          <cell r="J161">
            <v>3.4189276924417983E-3</v>
          </cell>
          <cell r="K161">
            <v>4676.6567074911563</v>
          </cell>
          <cell r="L161">
            <v>46607.258679135819</v>
          </cell>
          <cell r="M161">
            <v>51283.915386626977</v>
          </cell>
          <cell r="N161"/>
          <cell r="O161">
            <v>0</v>
          </cell>
          <cell r="P161"/>
          <cell r="Q161"/>
          <cell r="R161">
            <v>0</v>
          </cell>
          <cell r="S161" t="str">
            <v>IRA</v>
          </cell>
          <cell r="T161">
            <v>0</v>
          </cell>
          <cell r="U161">
            <v>51284</v>
          </cell>
          <cell r="V161" t="str">
            <v>#REF!</v>
          </cell>
          <cell r="W161" t="str">
            <v>#REF!</v>
          </cell>
          <cell r="X161" t="str">
            <v>#REF!</v>
          </cell>
          <cell r="Y161" t="str">
            <v>#REF!</v>
          </cell>
          <cell r="Z161" t="str">
            <v>#REF!</v>
          </cell>
          <cell r="AA161" t="str">
            <v>Zero investment in 2019</v>
          </cell>
          <cell r="AB161">
            <v>51283.915386626977</v>
          </cell>
          <cell r="AC161">
            <v>0</v>
          </cell>
          <cell r="AD161">
            <v>51284</v>
          </cell>
          <cell r="AE161"/>
          <cell r="AL161">
            <v>107.6964</v>
          </cell>
          <cell r="AM161">
            <v>107.6964</v>
          </cell>
          <cell r="AN161">
            <v>35</v>
          </cell>
          <cell r="AQ161">
            <v>19597.293529999999</v>
          </cell>
          <cell r="AR161">
            <v>31686.62185</v>
          </cell>
        </row>
        <row r="162">
          <cell r="A162" t="str">
            <v>8160-01-265</v>
          </cell>
          <cell r="B162" t="str">
            <v>Gil Vardi</v>
          </cell>
          <cell r="C162" t="str">
            <v>001424928</v>
          </cell>
          <cell r="D162" t="str">
            <v>#REF!</v>
          </cell>
          <cell r="E162"/>
          <cell r="F162" t="str">
            <v>גיל ורדי</v>
          </cell>
          <cell r="G162" t="str">
            <v>V</v>
          </cell>
          <cell r="H162" t="str">
            <v>Meitav</v>
          </cell>
          <cell r="I162">
            <v>300000</v>
          </cell>
          <cell r="J162">
            <v>4.1027132309301578E-3</v>
          </cell>
          <cell r="K162">
            <v>5611.9880489893867</v>
          </cell>
          <cell r="L162">
            <v>55928.710414962974</v>
          </cell>
          <cell r="M162">
            <v>61540.698463952358</v>
          </cell>
          <cell r="N162"/>
          <cell r="O162">
            <v>0</v>
          </cell>
          <cell r="P162"/>
          <cell r="Q162"/>
          <cell r="R162">
            <v>0</v>
          </cell>
          <cell r="S162" t="str">
            <v>IRA</v>
          </cell>
          <cell r="T162">
            <v>0</v>
          </cell>
          <cell r="U162">
            <v>61541</v>
          </cell>
          <cell r="V162" t="str">
            <v>#REF!</v>
          </cell>
          <cell r="W162" t="str">
            <v>#REF!</v>
          </cell>
          <cell r="X162" t="str">
            <v>#REF!</v>
          </cell>
          <cell r="Y162" t="str">
            <v>#REF!</v>
          </cell>
          <cell r="Z162" t="str">
            <v>#REF!</v>
          </cell>
          <cell r="AA162" t="str">
            <v>Zero investment in 2019</v>
          </cell>
          <cell r="AB162">
            <v>61540.698463952358</v>
          </cell>
          <cell r="AC162">
            <v>0</v>
          </cell>
          <cell r="AD162">
            <v>61541</v>
          </cell>
          <cell r="AE162"/>
          <cell r="AL162">
            <v>129.23609999999999</v>
          </cell>
          <cell r="AM162">
            <v>129.23609999999999</v>
          </cell>
          <cell r="AN162">
            <v>35</v>
          </cell>
          <cell r="AQ162">
            <v>23516.752240000002</v>
          </cell>
          <cell r="AR162">
            <v>38023.946219999998</v>
          </cell>
        </row>
        <row r="163">
          <cell r="A163" t="str">
            <v>8160-01-266</v>
          </cell>
          <cell r="B163" t="str">
            <v>Haim Shiniger</v>
          </cell>
          <cell r="C163" t="str">
            <v>043451640</v>
          </cell>
          <cell r="D163" t="str">
            <v>#REF!</v>
          </cell>
          <cell r="E163"/>
          <cell r="F163" t="str">
            <v>חיים שיניגר</v>
          </cell>
          <cell r="G163" t="str">
            <v>V</v>
          </cell>
          <cell r="H163" t="str">
            <v>Meitav</v>
          </cell>
          <cell r="I163">
            <v>250000</v>
          </cell>
          <cell r="J163">
            <v>3.4189276924417983E-3</v>
          </cell>
          <cell r="K163">
            <v>4676.6567074911563</v>
          </cell>
          <cell r="L163">
            <v>46607.258679135819</v>
          </cell>
          <cell r="M163">
            <v>51283.915386626977</v>
          </cell>
          <cell r="N163"/>
          <cell r="O163">
            <v>0</v>
          </cell>
          <cell r="P163"/>
          <cell r="Q163"/>
          <cell r="R163">
            <v>0</v>
          </cell>
          <cell r="S163" t="str">
            <v>IRA</v>
          </cell>
          <cell r="T163">
            <v>0</v>
          </cell>
          <cell r="U163">
            <v>51284</v>
          </cell>
          <cell r="V163" t="str">
            <v>#REF!</v>
          </cell>
          <cell r="W163" t="str">
            <v>#REF!</v>
          </cell>
          <cell r="X163" t="str">
            <v>#REF!</v>
          </cell>
          <cell r="Y163" t="str">
            <v>#REF!</v>
          </cell>
          <cell r="Z163" t="str">
            <v>#REF!</v>
          </cell>
          <cell r="AA163" t="str">
            <v>Zero investment in 2019</v>
          </cell>
          <cell r="AB163">
            <v>51283.915386626977</v>
          </cell>
          <cell r="AC163">
            <v>0</v>
          </cell>
          <cell r="AD163">
            <v>51284</v>
          </cell>
          <cell r="AE163"/>
          <cell r="AL163">
            <v>107.6964</v>
          </cell>
          <cell r="AM163">
            <v>107.6964</v>
          </cell>
          <cell r="AN163">
            <v>35</v>
          </cell>
          <cell r="AQ163">
            <v>19597.293529999999</v>
          </cell>
          <cell r="AR163">
            <v>31686.62185</v>
          </cell>
        </row>
        <row r="164">
          <cell r="A164" t="str">
            <v>8160-01-267</v>
          </cell>
          <cell r="B164" t="str">
            <v>Dov Stempler</v>
          </cell>
          <cell r="C164" t="str">
            <v>050267475</v>
          </cell>
          <cell r="D164" t="str">
            <v>#REF!</v>
          </cell>
          <cell r="E164"/>
          <cell r="F164" t="str">
            <v>דב סטמפלר</v>
          </cell>
          <cell r="G164" t="str">
            <v>V</v>
          </cell>
          <cell r="H164" t="str">
            <v>Meitav</v>
          </cell>
          <cell r="I164">
            <v>250000</v>
          </cell>
          <cell r="J164">
            <v>3.4189276924417983E-3</v>
          </cell>
          <cell r="K164">
            <v>4676.6567074911563</v>
          </cell>
          <cell r="L164">
            <v>46607.258679135819</v>
          </cell>
          <cell r="M164">
            <v>51283.915386626977</v>
          </cell>
          <cell r="N164"/>
          <cell r="O164">
            <v>0</v>
          </cell>
          <cell r="P164"/>
          <cell r="Q164"/>
          <cell r="R164">
            <v>0</v>
          </cell>
          <cell r="S164" t="str">
            <v>IRA</v>
          </cell>
          <cell r="T164">
            <v>0</v>
          </cell>
          <cell r="U164">
            <v>51284</v>
          </cell>
          <cell r="V164" t="str">
            <v>#REF!</v>
          </cell>
          <cell r="W164" t="str">
            <v>#REF!</v>
          </cell>
          <cell r="X164" t="str">
            <v>#REF!</v>
          </cell>
          <cell r="Y164" t="str">
            <v>#REF!</v>
          </cell>
          <cell r="Z164" t="str">
            <v>#REF!</v>
          </cell>
          <cell r="AA164" t="str">
            <v>Zero investment in 2019</v>
          </cell>
          <cell r="AB164">
            <v>51283.915386626977</v>
          </cell>
          <cell r="AC164">
            <v>0</v>
          </cell>
          <cell r="AD164">
            <v>51284</v>
          </cell>
          <cell r="AE164"/>
          <cell r="AL164">
            <v>107.6964</v>
          </cell>
          <cell r="AM164">
            <v>107.6964</v>
          </cell>
          <cell r="AN164">
            <v>35</v>
          </cell>
          <cell r="AQ164">
            <v>19597.293529999999</v>
          </cell>
          <cell r="AR164">
            <v>31686.62185</v>
          </cell>
        </row>
        <row r="165">
          <cell r="A165" t="str">
            <v>8160-01-269</v>
          </cell>
          <cell r="B165" t="str">
            <v>Rafael Yosef and Gila Aravot</v>
          </cell>
          <cell r="C165" t="str">
            <v>Rafael 052294170  Gila 054197835</v>
          </cell>
          <cell r="D165" t="str">
            <v>#REF!</v>
          </cell>
          <cell r="E165"/>
          <cell r="F165" t="str">
            <v>רפאל יוסף ערבות וגילה ערבות</v>
          </cell>
          <cell r="G165" t="str">
            <v>V</v>
          </cell>
          <cell r="H165"/>
          <cell r="I165">
            <v>150000</v>
          </cell>
          <cell r="J165">
            <v>2.0513566154650789E-3</v>
          </cell>
          <cell r="K165">
            <v>2805.9940244946933</v>
          </cell>
          <cell r="L165">
            <v>27964.355207481487</v>
          </cell>
          <cell r="M165">
            <v>30770.349231976179</v>
          </cell>
          <cell r="N165">
            <v>701.49850612367334</v>
          </cell>
          <cell r="O165">
            <v>0</v>
          </cell>
          <cell r="P165">
            <v>0</v>
          </cell>
          <cell r="Q165">
            <v>701.49850612367334</v>
          </cell>
          <cell r="R165">
            <v>701.49850612367334</v>
          </cell>
          <cell r="S165" t="str">
            <v>X</v>
          </cell>
          <cell r="T165"/>
          <cell r="U165">
            <v>30069</v>
          </cell>
          <cell r="V165" t="str">
            <v>#REF!</v>
          </cell>
          <cell r="W165" t="str">
            <v>#REF!</v>
          </cell>
          <cell r="X165" t="str">
            <v>#REF!</v>
          </cell>
          <cell r="Y165" t="str">
            <v>#REF!</v>
          </cell>
          <cell r="Z165" t="str">
            <v>#REF!</v>
          </cell>
          <cell r="AA165" t="str">
            <v>Zero investment in 2019</v>
          </cell>
          <cell r="AB165">
            <v>30770.349231976179</v>
          </cell>
          <cell r="AC165">
            <v>701.49850612367334</v>
          </cell>
          <cell r="AD165">
            <v>30069</v>
          </cell>
          <cell r="AE165"/>
          <cell r="AL165">
            <v>63.1449</v>
          </cell>
          <cell r="AM165">
            <v>63.1449</v>
          </cell>
          <cell r="AN165">
            <v>35</v>
          </cell>
          <cell r="AQ165">
            <v>11758.376120000001</v>
          </cell>
          <cell r="AR165">
            <v>19011.973109999999</v>
          </cell>
        </row>
        <row r="166">
          <cell r="A166" t="str">
            <v>8160-01-271</v>
          </cell>
          <cell r="B166" t="str">
            <v>Sergio Edelsztein</v>
          </cell>
          <cell r="C166" t="str">
            <v>013834031</v>
          </cell>
          <cell r="D166" t="str">
            <v>#REF!</v>
          </cell>
          <cell r="E166"/>
          <cell r="F166" t="str">
            <v>סרג'יו אדלשטיין</v>
          </cell>
          <cell r="G166" t="str">
            <v>V</v>
          </cell>
          <cell r="H166"/>
          <cell r="I166">
            <v>250000</v>
          </cell>
          <cell r="J166">
            <v>3.4189276924417983E-3</v>
          </cell>
          <cell r="K166">
            <v>4676.6567074911563</v>
          </cell>
          <cell r="L166">
            <v>46607.258679135819</v>
          </cell>
          <cell r="M166">
            <v>51283.915386626977</v>
          </cell>
          <cell r="N166">
            <v>1169.1641768727891</v>
          </cell>
          <cell r="O166">
            <v>0</v>
          </cell>
          <cell r="P166">
            <v>0</v>
          </cell>
          <cell r="Q166">
            <v>1169.1641768727891</v>
          </cell>
          <cell r="R166">
            <v>1169.1641768727891</v>
          </cell>
          <cell r="S166" t="str">
            <v>X</v>
          </cell>
          <cell r="T166"/>
          <cell r="U166">
            <v>50115</v>
          </cell>
          <cell r="V166" t="str">
            <v>#REF!</v>
          </cell>
          <cell r="W166" t="str">
            <v>#REF!</v>
          </cell>
          <cell r="X166" t="str">
            <v>#REF!</v>
          </cell>
          <cell r="Y166" t="str">
            <v>#REF!</v>
          </cell>
          <cell r="Z166" t="str">
            <v>#REF!</v>
          </cell>
          <cell r="AA166" t="str">
            <v>Zero investment in 2019</v>
          </cell>
          <cell r="AB166">
            <v>51283.915386626977</v>
          </cell>
          <cell r="AC166">
            <v>1169.1641768727891</v>
          </cell>
          <cell r="AD166">
            <v>50115</v>
          </cell>
          <cell r="AE166"/>
          <cell r="AL166">
            <v>105.2415</v>
          </cell>
          <cell r="AM166">
            <v>105.2415</v>
          </cell>
          <cell r="AN166">
            <v>35</v>
          </cell>
          <cell r="AQ166">
            <v>19597.293529999999</v>
          </cell>
          <cell r="AR166">
            <v>31686.62185</v>
          </cell>
        </row>
        <row r="167">
          <cell r="A167" t="str">
            <v>8160-01-273</v>
          </cell>
          <cell r="B167" t="str">
            <v>Silvia &amp; Ehud Portiansky</v>
          </cell>
          <cell r="C167" t="str">
            <v>Silvia 017378886   Ehud 015133382</v>
          </cell>
          <cell r="D167" t="str">
            <v>#REF!</v>
          </cell>
          <cell r="E167"/>
          <cell r="F167" t="str">
            <v>סילביה הלנה פורטיאנסקי ואהוד פורטיאנסקי</v>
          </cell>
          <cell r="G167" t="str">
            <v>V</v>
          </cell>
          <cell r="H167"/>
          <cell r="I167">
            <v>250000</v>
          </cell>
          <cell r="J167">
            <v>3.4189276924417983E-3</v>
          </cell>
          <cell r="K167">
            <v>4676.6567074911563</v>
          </cell>
          <cell r="L167">
            <v>46607.258679135819</v>
          </cell>
          <cell r="M167">
            <v>51283.915386626977</v>
          </cell>
          <cell r="N167">
            <v>1169.1641768727891</v>
          </cell>
          <cell r="O167">
            <v>0</v>
          </cell>
          <cell r="P167">
            <v>0</v>
          </cell>
          <cell r="Q167">
            <v>1169.1641768727891</v>
          </cell>
          <cell r="R167">
            <v>1169.1641768727891</v>
          </cell>
          <cell r="S167" t="str">
            <v>X</v>
          </cell>
          <cell r="T167"/>
          <cell r="U167">
            <v>50115</v>
          </cell>
          <cell r="V167" t="str">
            <v>#REF!</v>
          </cell>
          <cell r="W167" t="str">
            <v>#REF!</v>
          </cell>
          <cell r="X167" t="str">
            <v>#REF!</v>
          </cell>
          <cell r="Y167" t="str">
            <v>#REF!</v>
          </cell>
          <cell r="Z167" t="str">
            <v>#REF!</v>
          </cell>
          <cell r="AA167" t="str">
            <v>Zero investment in 2019</v>
          </cell>
          <cell r="AB167">
            <v>51283.915386626977</v>
          </cell>
          <cell r="AC167">
            <v>1169.1641768727891</v>
          </cell>
          <cell r="AD167">
            <v>50115</v>
          </cell>
          <cell r="AE167"/>
          <cell r="AL167">
            <v>105.2415</v>
          </cell>
          <cell r="AM167">
            <v>105.2415</v>
          </cell>
          <cell r="AN167">
            <v>35</v>
          </cell>
          <cell r="AQ167">
            <v>19597.293529999999</v>
          </cell>
          <cell r="AR167">
            <v>31686.62185</v>
          </cell>
        </row>
        <row r="168">
          <cell r="A168" t="str">
            <v>8160-01-275</v>
          </cell>
          <cell r="B168" t="str">
            <v>Yishai Levanoni</v>
          </cell>
          <cell r="C168" t="str">
            <v>023634496</v>
          </cell>
          <cell r="D168" t="str">
            <v>#REF!</v>
          </cell>
          <cell r="E168"/>
          <cell r="F168" t="str">
            <v>ישי לבנוני</v>
          </cell>
          <cell r="G168" t="str">
            <v>V</v>
          </cell>
          <cell r="H168"/>
          <cell r="I168">
            <v>120000</v>
          </cell>
          <cell r="J168">
            <v>1.6410852923720632E-3</v>
          </cell>
          <cell r="K168">
            <v>2244.795219595755</v>
          </cell>
          <cell r="L168">
            <v>22371.484165985192</v>
          </cell>
          <cell r="M168">
            <v>24616.279385580947</v>
          </cell>
          <cell r="N168">
            <v>561.19880489893876</v>
          </cell>
          <cell r="O168">
            <v>0</v>
          </cell>
          <cell r="P168">
            <v>0</v>
          </cell>
          <cell r="Q168">
            <v>561.19880489893876</v>
          </cell>
          <cell r="R168">
            <v>561.19880489893876</v>
          </cell>
          <cell r="S168" t="str">
            <v>X</v>
          </cell>
          <cell r="T168"/>
          <cell r="U168">
            <v>24055</v>
          </cell>
          <cell r="V168" t="e">
            <v>#N/A</v>
          </cell>
          <cell r="W168" t="str">
            <v>#REF!</v>
          </cell>
          <cell r="X168" t="str">
            <v>#REF!</v>
          </cell>
          <cell r="Y168" t="str">
            <v>#REF!</v>
          </cell>
          <cell r="Z168" t="str">
            <v>#REF!</v>
          </cell>
          <cell r="AA168" t="str">
            <v>Zero investment in 2019</v>
          </cell>
          <cell r="AB168">
            <v>24616.279385580947</v>
          </cell>
          <cell r="AC168">
            <v>561.19880489893876</v>
          </cell>
          <cell r="AD168">
            <v>24055</v>
          </cell>
          <cell r="AE168"/>
          <cell r="AL168">
            <v>50.515500000000003</v>
          </cell>
          <cell r="AM168">
            <v>50.515500000000003</v>
          </cell>
          <cell r="AN168">
            <v>35</v>
          </cell>
          <cell r="AQ168">
            <v>9406.7008960000003</v>
          </cell>
          <cell r="AR168">
            <v>15209.57849</v>
          </cell>
        </row>
        <row r="169">
          <cell r="A169" t="str">
            <v>8160-01-276</v>
          </cell>
          <cell r="B169" t="str">
            <v>Viatcheslav Brecht</v>
          </cell>
          <cell r="C169">
            <v>309826329</v>
          </cell>
          <cell r="D169" t="str">
            <v>#REF!</v>
          </cell>
          <cell r="E169"/>
          <cell r="F169"/>
          <cell r="G169" t="str">
            <v>V</v>
          </cell>
          <cell r="H169"/>
          <cell r="I169">
            <v>500000</v>
          </cell>
          <cell r="J169">
            <v>6.8378553848835967E-3</v>
          </cell>
          <cell r="K169">
            <v>9353.3134149823127</v>
          </cell>
          <cell r="L169">
            <v>93214.517358271638</v>
          </cell>
          <cell r="M169">
            <v>102567.83077325395</v>
          </cell>
          <cell r="N169">
            <v>2338.3283537455782</v>
          </cell>
          <cell r="O169">
            <v>0</v>
          </cell>
          <cell r="P169">
            <v>0</v>
          </cell>
          <cell r="Q169">
            <v>2338.3283537455782</v>
          </cell>
          <cell r="R169">
            <v>2338.3283537455782</v>
          </cell>
          <cell r="S169" t="str">
            <v>X</v>
          </cell>
          <cell r="T169"/>
          <cell r="U169">
            <v>100230</v>
          </cell>
          <cell r="V169" t="str">
            <v>#REF!</v>
          </cell>
          <cell r="W169" t="str">
            <v>#REF!</v>
          </cell>
          <cell r="X169" t="str">
            <v>#REF!</v>
          </cell>
          <cell r="Y169" t="str">
            <v>#REF!</v>
          </cell>
          <cell r="Z169" t="str">
            <v>#REF!</v>
          </cell>
          <cell r="AA169" t="str">
            <v>Zero investment in 2019</v>
          </cell>
          <cell r="AB169">
            <v>102567.83077325395</v>
          </cell>
          <cell r="AC169">
            <v>2338.3283537455782</v>
          </cell>
          <cell r="AD169">
            <v>100230</v>
          </cell>
          <cell r="AE169"/>
          <cell r="AL169">
            <v>210.483</v>
          </cell>
          <cell r="AM169">
            <v>210.483</v>
          </cell>
          <cell r="AN169">
            <v>35</v>
          </cell>
          <cell r="AQ169">
            <v>39194.587070000001</v>
          </cell>
          <cell r="AR169">
            <v>63373.243710000002</v>
          </cell>
        </row>
        <row r="170">
          <cell r="A170" t="str">
            <v>8160-01-278</v>
          </cell>
          <cell r="B170" t="str">
            <v>Ori Etkovitz</v>
          </cell>
          <cell r="C170" t="str">
            <v>024817801</v>
          </cell>
          <cell r="D170" t="str">
            <v>#REF!</v>
          </cell>
          <cell r="E170"/>
          <cell r="F170" t="str">
            <v>אורי אטקוביץ</v>
          </cell>
          <cell r="G170" t="str">
            <v>V</v>
          </cell>
          <cell r="H170"/>
          <cell r="I170">
            <v>120000</v>
          </cell>
          <cell r="J170">
            <v>1.6410852923720632E-3</v>
          </cell>
          <cell r="K170">
            <v>2244.795219595755</v>
          </cell>
          <cell r="L170">
            <v>22371.484165985192</v>
          </cell>
          <cell r="M170">
            <v>24616.279385580947</v>
          </cell>
          <cell r="N170">
            <v>561.19880489893876</v>
          </cell>
          <cell r="O170">
            <v>0</v>
          </cell>
          <cell r="P170">
            <v>0</v>
          </cell>
          <cell r="Q170">
            <v>561.19880489893876</v>
          </cell>
          <cell r="R170">
            <v>561.19880489893876</v>
          </cell>
          <cell r="S170" t="str">
            <v>X</v>
          </cell>
          <cell r="T170"/>
          <cell r="U170">
            <v>24055</v>
          </cell>
          <cell r="V170" t="str">
            <v>#REF!</v>
          </cell>
          <cell r="W170" t="str">
            <v>#REF!</v>
          </cell>
          <cell r="X170" t="str">
            <v>#REF!</v>
          </cell>
          <cell r="Y170" t="str">
            <v>#REF!</v>
          </cell>
          <cell r="Z170" t="str">
            <v>#REF!</v>
          </cell>
          <cell r="AA170" t="str">
            <v>Zero investment in 2019</v>
          </cell>
          <cell r="AB170">
            <v>24616.279385580947</v>
          </cell>
          <cell r="AC170">
            <v>561.19880489893876</v>
          </cell>
          <cell r="AD170">
            <v>24055</v>
          </cell>
          <cell r="AE170"/>
          <cell r="AL170">
            <v>50.515500000000003</v>
          </cell>
          <cell r="AM170">
            <v>50.515500000000003</v>
          </cell>
          <cell r="AN170">
            <v>35</v>
          </cell>
          <cell r="AQ170">
            <v>9406.7008960000003</v>
          </cell>
          <cell r="AR170">
            <v>15209.57849</v>
          </cell>
        </row>
        <row r="171">
          <cell r="A171" t="str">
            <v>8160-01-279</v>
          </cell>
          <cell r="B171" t="str">
            <v>Jacob Ofnagel</v>
          </cell>
          <cell r="C171" t="str">
            <v>054604533</v>
          </cell>
          <cell r="D171" t="str">
            <v>#REF!</v>
          </cell>
          <cell r="E171"/>
          <cell r="F171" t="str">
            <v>יעקב אופנגל</v>
          </cell>
          <cell r="G171" t="str">
            <v>V</v>
          </cell>
          <cell r="H171"/>
          <cell r="I171">
            <v>250000</v>
          </cell>
          <cell r="J171">
            <v>3.4189276924417983E-3</v>
          </cell>
          <cell r="K171">
            <v>4676.6567074911563</v>
          </cell>
          <cell r="L171">
            <v>46607.258679135819</v>
          </cell>
          <cell r="M171">
            <v>51283.915386626977</v>
          </cell>
          <cell r="N171">
            <v>1169.1641768727891</v>
          </cell>
          <cell r="O171">
            <v>0</v>
          </cell>
          <cell r="P171">
            <v>0</v>
          </cell>
          <cell r="Q171">
            <v>1169.1641768727891</v>
          </cell>
          <cell r="R171">
            <v>1169.1641768727891</v>
          </cell>
          <cell r="S171" t="str">
            <v>X</v>
          </cell>
          <cell r="T171"/>
          <cell r="U171">
            <v>50115</v>
          </cell>
          <cell r="V171" t="str">
            <v>#REF!</v>
          </cell>
          <cell r="W171" t="str">
            <v>#REF!</v>
          </cell>
          <cell r="X171" t="str">
            <v>#REF!</v>
          </cell>
          <cell r="Y171" t="str">
            <v>#REF!</v>
          </cell>
          <cell r="Z171" t="str">
            <v>#REF!</v>
          </cell>
          <cell r="AA171" t="str">
            <v>Zero investment in 2019</v>
          </cell>
          <cell r="AB171">
            <v>51283.915386626977</v>
          </cell>
          <cell r="AC171">
            <v>1169.1641768727891</v>
          </cell>
          <cell r="AD171">
            <v>50115</v>
          </cell>
          <cell r="AE171"/>
          <cell r="AL171">
            <v>105.2415</v>
          </cell>
          <cell r="AM171">
            <v>105.2415</v>
          </cell>
          <cell r="AN171">
            <v>35</v>
          </cell>
          <cell r="AQ171">
            <v>19597.293529999999</v>
          </cell>
          <cell r="AR171">
            <v>31686.62185</v>
          </cell>
        </row>
        <row r="172">
          <cell r="A172" t="str">
            <v>8160-01-280</v>
          </cell>
          <cell r="B172" t="str">
            <v>Itzchak Rosenberg</v>
          </cell>
          <cell r="C172" t="str">
            <v>005288253</v>
          </cell>
          <cell r="D172" t="str">
            <v>#REF!</v>
          </cell>
          <cell r="E172"/>
          <cell r="F172" t="str">
            <v>יצחק רוזנברג</v>
          </cell>
          <cell r="G172" t="str">
            <v>V</v>
          </cell>
          <cell r="H172" t="str">
            <v>Meitav</v>
          </cell>
          <cell r="I172">
            <v>600000</v>
          </cell>
          <cell r="J172">
            <v>8.2054264618603157E-3</v>
          </cell>
          <cell r="K172">
            <v>11223.976097978773</v>
          </cell>
          <cell r="L172">
            <v>111857.42082992595</v>
          </cell>
          <cell r="M172">
            <v>123081.39692790472</v>
          </cell>
          <cell r="N172"/>
          <cell r="O172">
            <v>0</v>
          </cell>
          <cell r="P172"/>
          <cell r="Q172"/>
          <cell r="R172">
            <v>0</v>
          </cell>
          <cell r="S172" t="str">
            <v>IRA</v>
          </cell>
          <cell r="T172">
            <v>0</v>
          </cell>
          <cell r="U172">
            <v>123081</v>
          </cell>
          <cell r="V172" t="str">
            <v>#REF!</v>
          </cell>
          <cell r="W172" t="str">
            <v>#REF!</v>
          </cell>
          <cell r="X172" t="str">
            <v>#REF!</v>
          </cell>
          <cell r="Y172" t="str">
            <v>#REF!</v>
          </cell>
          <cell r="Z172" t="str">
            <v>#REF!</v>
          </cell>
          <cell r="AA172" t="str">
            <v>Zero investment in 2019</v>
          </cell>
          <cell r="AB172">
            <v>123081.39692790472</v>
          </cell>
          <cell r="AC172">
            <v>0</v>
          </cell>
          <cell r="AD172">
            <v>123081</v>
          </cell>
          <cell r="AE172"/>
          <cell r="AL172">
            <v>258.4701</v>
          </cell>
          <cell r="AM172">
            <v>258.4701</v>
          </cell>
          <cell r="AN172">
            <v>35</v>
          </cell>
          <cell r="AQ172">
            <v>47033.504480000003</v>
          </cell>
          <cell r="AR172">
            <v>76047.892449999999</v>
          </cell>
        </row>
        <row r="173">
          <cell r="A173" t="str">
            <v>8160-01-281</v>
          </cell>
          <cell r="B173" t="str">
            <v>Liat Atlas</v>
          </cell>
          <cell r="C173" t="str">
            <v>024506933</v>
          </cell>
          <cell r="D173" t="str">
            <v>#REF!</v>
          </cell>
          <cell r="E173"/>
          <cell r="F173" t="str">
            <v>חיה ליאת אטלס</v>
          </cell>
          <cell r="G173" t="str">
            <v>VI</v>
          </cell>
          <cell r="H173"/>
          <cell r="I173">
            <v>250000</v>
          </cell>
          <cell r="J173">
            <v>3.4189276924417983E-3</v>
          </cell>
          <cell r="K173">
            <v>4676.6567074911563</v>
          </cell>
          <cell r="L173">
            <v>46607.258679135819</v>
          </cell>
          <cell r="M173">
            <v>51283.915386626977</v>
          </cell>
          <cell r="N173">
            <v>1169.1641768727891</v>
          </cell>
          <cell r="O173">
            <v>0</v>
          </cell>
          <cell r="P173">
            <v>0</v>
          </cell>
          <cell r="Q173">
            <v>1169.1641768727891</v>
          </cell>
          <cell r="R173">
            <v>1169.1641768727891</v>
          </cell>
          <cell r="S173" t="str">
            <v>X</v>
          </cell>
          <cell r="T173"/>
          <cell r="U173">
            <v>50115</v>
          </cell>
          <cell r="V173"/>
          <cell r="W173"/>
          <cell r="X173"/>
          <cell r="Y173"/>
          <cell r="Z173"/>
          <cell r="AA173" t="str">
            <v>Zero investment in 2019</v>
          </cell>
          <cell r="AB173">
            <v>51283.915386626977</v>
          </cell>
          <cell r="AC173">
            <v>1169.1641768727891</v>
          </cell>
          <cell r="AD173">
            <v>50115</v>
          </cell>
          <cell r="AE173"/>
          <cell r="AH173"/>
          <cell r="AL173">
            <v>105.2415</v>
          </cell>
          <cell r="AM173">
            <v>105.2415</v>
          </cell>
          <cell r="AN173">
            <v>35</v>
          </cell>
          <cell r="AQ173">
            <v>19597.293529999999</v>
          </cell>
          <cell r="AR173">
            <v>31686.62185</v>
          </cell>
        </row>
        <row r="174">
          <cell r="A174" t="str">
            <v>8160-01-282</v>
          </cell>
          <cell r="B174" t="str">
            <v>Ron Gabor</v>
          </cell>
          <cell r="C174" t="str">
            <v>029641537</v>
          </cell>
          <cell r="D174" t="str">
            <v>#REF!</v>
          </cell>
          <cell r="E174"/>
          <cell r="F174" t="str">
            <v>רון גבור</v>
          </cell>
          <cell r="G174" t="str">
            <v>VI</v>
          </cell>
          <cell r="H174"/>
          <cell r="I174">
            <v>150000</v>
          </cell>
          <cell r="J174">
            <v>2.0513566154650789E-3</v>
          </cell>
          <cell r="K174">
            <v>2805.9940244946933</v>
          </cell>
          <cell r="L174">
            <v>27964.355207481487</v>
          </cell>
          <cell r="M174">
            <v>30770.349231976179</v>
          </cell>
          <cell r="N174">
            <v>701.49850612367334</v>
          </cell>
          <cell r="O174">
            <v>0</v>
          </cell>
          <cell r="P174">
            <v>0</v>
          </cell>
          <cell r="Q174">
            <v>701.49850612367334</v>
          </cell>
          <cell r="R174">
            <v>701.49850612367334</v>
          </cell>
          <cell r="S174" t="str">
            <v>X</v>
          </cell>
          <cell r="T174"/>
          <cell r="U174">
            <v>30069</v>
          </cell>
          <cell r="V174"/>
          <cell r="W174"/>
          <cell r="X174"/>
          <cell r="Y174"/>
          <cell r="Z174"/>
          <cell r="AA174" t="str">
            <v>Zero investment in 2019</v>
          </cell>
          <cell r="AB174">
            <v>30770.349231976179</v>
          </cell>
          <cell r="AC174">
            <v>701.49850612367334</v>
          </cell>
          <cell r="AD174">
            <v>30069</v>
          </cell>
          <cell r="AE174"/>
          <cell r="AL174">
            <v>63.1449</v>
          </cell>
          <cell r="AM174">
            <v>63.1449</v>
          </cell>
          <cell r="AN174">
            <v>35</v>
          </cell>
          <cell r="AQ174">
            <v>11758.376120000001</v>
          </cell>
          <cell r="AR174">
            <v>19011.973109999999</v>
          </cell>
        </row>
        <row r="175">
          <cell r="A175" t="str">
            <v>8160-01-283</v>
          </cell>
          <cell r="B175" t="str">
            <v>Yair Liel</v>
          </cell>
          <cell r="C175" t="str">
            <v>030380372</v>
          </cell>
          <cell r="D175" t="str">
            <v>#REF!</v>
          </cell>
          <cell r="E175"/>
          <cell r="F175" t="str">
            <v>יאיר אברהם ליאל</v>
          </cell>
          <cell r="G175" t="str">
            <v>VI</v>
          </cell>
          <cell r="H175"/>
          <cell r="I175">
            <v>200000</v>
          </cell>
          <cell r="J175">
            <v>2.7351421539534388E-3</v>
          </cell>
          <cell r="K175">
            <v>3741.3253659929251</v>
          </cell>
          <cell r="L175">
            <v>37285.806943308657</v>
          </cell>
          <cell r="M175">
            <v>41027.132309301582</v>
          </cell>
          <cell r="N175">
            <v>935.33134149823127</v>
          </cell>
          <cell r="O175">
            <v>0</v>
          </cell>
          <cell r="P175">
            <v>0</v>
          </cell>
          <cell r="Q175">
            <v>935.33134149823127</v>
          </cell>
          <cell r="R175">
            <v>935.33134149823127</v>
          </cell>
          <cell r="S175" t="str">
            <v>X</v>
          </cell>
          <cell r="T175"/>
          <cell r="U175">
            <v>40092</v>
          </cell>
          <cell r="V175"/>
          <cell r="W175"/>
          <cell r="X175"/>
          <cell r="Y175"/>
          <cell r="Z175"/>
          <cell r="AA175" t="str">
            <v>Zero investment in 2019</v>
          </cell>
          <cell r="AB175">
            <v>41027.132309301582</v>
          </cell>
          <cell r="AC175">
            <v>935.33134149823127</v>
          </cell>
          <cell r="AD175">
            <v>40092</v>
          </cell>
          <cell r="AE175"/>
          <cell r="AL175">
            <v>84.193200000000004</v>
          </cell>
          <cell r="AM175">
            <v>84.193200000000004</v>
          </cell>
          <cell r="AN175">
            <v>35</v>
          </cell>
          <cell r="AQ175">
            <v>15677.83483</v>
          </cell>
          <cell r="AR175">
            <v>25349.297480000001</v>
          </cell>
        </row>
        <row r="176">
          <cell r="A176" t="str">
            <v>8160-01-284</v>
          </cell>
          <cell r="B176" t="str">
            <v>AMI - Government Employees Provident Fund Management Company Ltd</v>
          </cell>
          <cell r="C176">
            <v>520042581</v>
          </cell>
          <cell r="D176" t="str">
            <v>#REF!</v>
          </cell>
          <cell r="E176" t="str">
            <v xml:space="preserve">AMI - Government Employees Provident Fund Management Company Ltd
</v>
          </cell>
          <cell r="F176" t="str">
            <v>עמ"י - חברה לניהול קופת גמל מפעלית בע"מ</v>
          </cell>
          <cell r="G176" t="str">
            <v>VI</v>
          </cell>
          <cell r="H176"/>
          <cell r="I176">
            <v>1380000</v>
          </cell>
          <cell r="J176">
            <v>1.8872480862278728E-2</v>
          </cell>
          <cell r="K176">
            <v>25815.145025351183</v>
          </cell>
          <cell r="L176">
            <v>257272.06790882972</v>
          </cell>
          <cell r="M176">
            <v>283087.21293418092</v>
          </cell>
          <cell r="N176"/>
          <cell r="O176">
            <v>0</v>
          </cell>
          <cell r="P176"/>
          <cell r="Q176"/>
          <cell r="R176">
            <v>0</v>
          </cell>
          <cell r="S176" t="str">
            <v>V</v>
          </cell>
          <cell r="T176">
            <v>0</v>
          </cell>
          <cell r="U176">
            <v>283087</v>
          </cell>
          <cell r="V176"/>
          <cell r="W176"/>
          <cell r="X176"/>
          <cell r="Y176"/>
          <cell r="Z176"/>
          <cell r="AA176" t="str">
            <v>Zero investment in 2019</v>
          </cell>
          <cell r="AB176">
            <v>283087.21293418092</v>
          </cell>
          <cell r="AC176">
            <v>0</v>
          </cell>
          <cell r="AD176">
            <v>283087</v>
          </cell>
          <cell r="AE176"/>
          <cell r="AL176">
            <v>594.48270000000002</v>
          </cell>
          <cell r="AM176">
            <v>594.48270000000002</v>
          </cell>
          <cell r="AN176">
            <v>35</v>
          </cell>
          <cell r="AQ176">
            <v>108177.0603</v>
          </cell>
          <cell r="AR176">
            <v>174910.1526</v>
          </cell>
        </row>
        <row r="177">
          <cell r="A177" t="str">
            <v>8160-01-285</v>
          </cell>
          <cell r="B177" t="str">
            <v>Machar - Hevra Lenihul Kupot Gamal Ltd - obo Kupat Gemel Machar</v>
          </cell>
          <cell r="C177">
            <v>500601568</v>
          </cell>
          <cell r="D177" t="str">
            <v>#REF!</v>
          </cell>
          <cell r="E177" t="str">
            <v>Machar - Hevra Lenihul Kupot Gamal Ltd - obo Kupat Gemel Machar</v>
          </cell>
          <cell r="F177" t="str">
            <v>מחר - חברה לניהול קופות גמל בע"מ</v>
          </cell>
          <cell r="G177" t="str">
            <v>VI</v>
          </cell>
          <cell r="H177"/>
          <cell r="I177">
            <v>1000000</v>
          </cell>
          <cell r="J177">
            <v>1.3675710769767193E-2</v>
          </cell>
          <cell r="K177">
            <v>18706.626829964625</v>
          </cell>
          <cell r="L177">
            <v>186429.03471654328</v>
          </cell>
          <cell r="M177">
            <v>205135.66154650791</v>
          </cell>
          <cell r="N177"/>
          <cell r="O177">
            <v>0</v>
          </cell>
          <cell r="P177"/>
          <cell r="Q177"/>
          <cell r="R177">
            <v>0</v>
          </cell>
          <cell r="S177" t="str">
            <v>V</v>
          </cell>
          <cell r="T177">
            <v>0</v>
          </cell>
          <cell r="U177">
            <v>205136</v>
          </cell>
          <cell r="V177"/>
          <cell r="W177"/>
          <cell r="X177"/>
          <cell r="Y177"/>
          <cell r="Z177"/>
          <cell r="AA177" t="str">
            <v>Zero investment in 2019</v>
          </cell>
          <cell r="AB177">
            <v>205135.66154650791</v>
          </cell>
          <cell r="AC177">
            <v>0</v>
          </cell>
          <cell r="AD177">
            <v>205136</v>
          </cell>
          <cell r="AE177"/>
          <cell r="AL177">
            <v>430.78559999999999</v>
          </cell>
          <cell r="AM177">
            <v>430.78559999999999</v>
          </cell>
          <cell r="AN177">
            <v>35</v>
          </cell>
          <cell r="AQ177">
            <v>78389.174129999999</v>
          </cell>
          <cell r="AR177">
            <v>126746.4874</v>
          </cell>
        </row>
        <row r="178">
          <cell r="A178" t="str">
            <v>8160-01-286</v>
          </cell>
          <cell r="B178" t="str">
            <v>I Argento Funds in Israel LP</v>
          </cell>
          <cell r="C178">
            <v>550244180</v>
          </cell>
          <cell r="D178" t="str">
            <v>#REF!</v>
          </cell>
          <cell r="E178" t="str">
            <v xml:space="preserve">I Argento Funds in Israel LP
</v>
          </cell>
          <cell r="F178" t="str">
            <v>קרן איגרא ארגנטו מנייתית, שותפות מוגבלת</v>
          </cell>
          <cell r="G178" t="str">
            <v>VI</v>
          </cell>
          <cell r="H178"/>
          <cell r="I178">
            <v>1500000</v>
          </cell>
          <cell r="J178">
            <v>2.0513566154650789E-2</v>
          </cell>
          <cell r="K178">
            <v>28059.940244946934</v>
          </cell>
          <cell r="L178">
            <v>279643.55207481486</v>
          </cell>
          <cell r="M178">
            <v>307703.49231976178</v>
          </cell>
          <cell r="N178"/>
          <cell r="O178">
            <v>0</v>
          </cell>
          <cell r="P178"/>
          <cell r="Q178"/>
          <cell r="R178">
            <v>0</v>
          </cell>
          <cell r="S178" t="str">
            <v>V</v>
          </cell>
          <cell r="T178"/>
          <cell r="U178">
            <v>307703</v>
          </cell>
          <cell r="V178"/>
          <cell r="W178"/>
          <cell r="X178"/>
          <cell r="Y178"/>
          <cell r="Z178"/>
          <cell r="AA178" t="str">
            <v>Zero investment in 2019</v>
          </cell>
          <cell r="AB178">
            <v>307703.49231976178</v>
          </cell>
          <cell r="AC178">
            <v>0</v>
          </cell>
          <cell r="AD178">
            <v>307703</v>
          </cell>
          <cell r="AE178"/>
          <cell r="AL178">
            <v>646.17629999999997</v>
          </cell>
          <cell r="AM178">
            <v>646.17629999999997</v>
          </cell>
          <cell r="AN178">
            <v>35</v>
          </cell>
          <cell r="AQ178">
            <v>117583.76119999999</v>
          </cell>
          <cell r="AR178">
            <v>190119.7311</v>
          </cell>
        </row>
        <row r="179">
          <cell r="A179" t="str">
            <v>8160-01-287</v>
          </cell>
          <cell r="B179" t="str">
            <v>Kela - Social Workers Study Fund Management Company Ltd</v>
          </cell>
          <cell r="C179">
            <v>520030941</v>
          </cell>
          <cell r="D179" t="str">
            <v>#REF!</v>
          </cell>
          <cell r="E179" t="str">
            <v xml:space="preserve">Kela - Social Workers Study Fund Management Company Ltd
</v>
          </cell>
          <cell r="F179" t="str">
            <v>ק.ל.ע חברה לניהול קרן השתלמות לעובדים סוציאלים בע"מ</v>
          </cell>
          <cell r="G179" t="str">
            <v>VI</v>
          </cell>
          <cell r="H179"/>
          <cell r="I179">
            <v>560000</v>
          </cell>
          <cell r="J179">
            <v>7.6583980310696281E-3</v>
          </cell>
          <cell r="K179">
            <v>10475.711024780188</v>
          </cell>
          <cell r="L179">
            <v>104400.25944126422</v>
          </cell>
          <cell r="M179">
            <v>114875.97046604441</v>
          </cell>
          <cell r="N179"/>
          <cell r="O179">
            <v>0</v>
          </cell>
          <cell r="P179"/>
          <cell r="Q179"/>
          <cell r="R179">
            <v>0</v>
          </cell>
          <cell r="S179" t="str">
            <v>V</v>
          </cell>
          <cell r="T179">
            <v>0</v>
          </cell>
          <cell r="U179">
            <v>114876</v>
          </cell>
          <cell r="V179"/>
          <cell r="W179"/>
          <cell r="X179"/>
          <cell r="Y179"/>
          <cell r="Z179"/>
          <cell r="AA179" t="str">
            <v>Zero investment in 2019</v>
          </cell>
          <cell r="AB179">
            <v>114875.97046604441</v>
          </cell>
          <cell r="AC179">
            <v>0</v>
          </cell>
          <cell r="AD179">
            <v>114876</v>
          </cell>
          <cell r="AE179"/>
          <cell r="AL179">
            <v>241.2396</v>
          </cell>
          <cell r="AM179">
            <v>241.2396</v>
          </cell>
          <cell r="AN179">
            <v>35</v>
          </cell>
          <cell r="AQ179">
            <v>43897.937510000003</v>
          </cell>
          <cell r="AR179">
            <v>70978.032949999993</v>
          </cell>
        </row>
        <row r="180">
          <cell r="A180" t="str">
            <v>8160-01-288</v>
          </cell>
          <cell r="B180" t="str">
            <v>Michael Lutzky - IRA</v>
          </cell>
          <cell r="C180" t="str">
            <v>017518861</v>
          </cell>
          <cell r="D180" t="str">
            <v>#REF!</v>
          </cell>
          <cell r="E180"/>
          <cell r="F180" t="str">
            <v>מיכאל לוצקי</v>
          </cell>
          <cell r="G180" t="str">
            <v>VI</v>
          </cell>
          <cell r="H180" t="str">
            <v>Meitav</v>
          </cell>
          <cell r="I180">
            <v>200000</v>
          </cell>
          <cell r="J180">
            <v>2.7351421539534388E-3</v>
          </cell>
          <cell r="K180">
            <v>3741.3253659929251</v>
          </cell>
          <cell r="L180">
            <v>37285.806943308657</v>
          </cell>
          <cell r="M180">
            <v>41027.132309301582</v>
          </cell>
          <cell r="N180"/>
          <cell r="O180">
            <v>0</v>
          </cell>
          <cell r="P180"/>
          <cell r="Q180"/>
          <cell r="R180">
            <v>0</v>
          </cell>
          <cell r="S180" t="str">
            <v>IRA</v>
          </cell>
          <cell r="T180">
            <v>0</v>
          </cell>
          <cell r="U180">
            <v>41027</v>
          </cell>
          <cell r="V180"/>
          <cell r="W180"/>
          <cell r="X180"/>
          <cell r="Y180"/>
          <cell r="Z180"/>
          <cell r="AA180" t="str">
            <v>Zero investment in 2019</v>
          </cell>
          <cell r="AB180">
            <v>41027.132309301582</v>
          </cell>
          <cell r="AC180">
            <v>0</v>
          </cell>
          <cell r="AD180">
            <v>41027</v>
          </cell>
          <cell r="AE180"/>
          <cell r="AL180">
            <v>86.156700000000001</v>
          </cell>
          <cell r="AM180">
            <v>86.156700000000001</v>
          </cell>
          <cell r="AN180">
            <v>35</v>
          </cell>
          <cell r="AQ180">
            <v>15677.83483</v>
          </cell>
          <cell r="AR180">
            <v>25349.297480000001</v>
          </cell>
        </row>
        <row r="181">
          <cell r="A181" t="str">
            <v>8160-01-289</v>
          </cell>
          <cell r="B181" t="str">
            <v>Avner Shaham</v>
          </cell>
          <cell r="C181" t="str">
            <v>051669745</v>
          </cell>
          <cell r="D181" t="str">
            <v>#REF!</v>
          </cell>
          <cell r="E181"/>
          <cell r="F181" t="str">
            <v>אבנר שחם</v>
          </cell>
          <cell r="G181" t="str">
            <v>I</v>
          </cell>
          <cell r="H181" t="str">
            <v>Meitav</v>
          </cell>
          <cell r="I181">
            <v>300000</v>
          </cell>
          <cell r="J181">
            <v>4.1027132309301578E-3</v>
          </cell>
          <cell r="K181">
            <v>5611.9880489893867</v>
          </cell>
          <cell r="L181">
            <v>55928.710414962974</v>
          </cell>
          <cell r="M181">
            <v>61540.698463952358</v>
          </cell>
          <cell r="N181"/>
          <cell r="O181">
            <v>0</v>
          </cell>
          <cell r="P181"/>
          <cell r="Q181"/>
          <cell r="R181">
            <v>0</v>
          </cell>
          <cell r="S181" t="str">
            <v>IRA</v>
          </cell>
          <cell r="T181">
            <v>0</v>
          </cell>
          <cell r="U181">
            <v>61541</v>
          </cell>
          <cell r="V181" t="e">
            <v>#N/A</v>
          </cell>
          <cell r="W181" t="e">
            <v>#N/A</v>
          </cell>
          <cell r="X181" t="e">
            <v>#N/A</v>
          </cell>
          <cell r="Y181" t="e">
            <v>#N/A</v>
          </cell>
          <cell r="Z181" t="e">
            <v>#N/A</v>
          </cell>
          <cell r="AA181" t="e">
            <v>#REF!</v>
          </cell>
          <cell r="AB181">
            <v>61540.698463952358</v>
          </cell>
          <cell r="AC181">
            <v>0</v>
          </cell>
          <cell r="AD181">
            <v>61541</v>
          </cell>
          <cell r="AE181"/>
          <cell r="AH181"/>
          <cell r="AL181">
            <v>129.23609999999999</v>
          </cell>
          <cell r="AM181">
            <v>129.23609999999999</v>
          </cell>
          <cell r="AN181">
            <v>35</v>
          </cell>
          <cell r="AQ181">
            <v>23516.752240000002</v>
          </cell>
          <cell r="AR181">
            <v>38023.946219999998</v>
          </cell>
        </row>
        <row r="182">
          <cell r="A182" t="str">
            <v>8160-01-290</v>
          </cell>
          <cell r="B182" t="str">
            <v>Tomer Shacham</v>
          </cell>
          <cell r="C182" t="str">
            <v>Tomer: 039070487
Avner: 051669745</v>
          </cell>
          <cell r="D182" t="str">
            <v>#REF!</v>
          </cell>
          <cell r="E182"/>
          <cell r="F182" t="str">
            <v>תומר שחם</v>
          </cell>
          <cell r="G182" t="str">
            <v>VI</v>
          </cell>
          <cell r="H182"/>
          <cell r="I182">
            <v>75000</v>
          </cell>
          <cell r="J182">
            <v>1.0256783077325395E-3</v>
          </cell>
          <cell r="K182">
            <v>1402.9970122473467</v>
          </cell>
          <cell r="L182">
            <v>13982.177603740744</v>
          </cell>
          <cell r="M182">
            <v>15385.174615988089</v>
          </cell>
          <cell r="N182">
            <v>350.74925306183667</v>
          </cell>
          <cell r="O182">
            <v>0</v>
          </cell>
          <cell r="P182">
            <v>0</v>
          </cell>
          <cell r="Q182">
            <v>350.74925306183667</v>
          </cell>
          <cell r="R182">
            <v>350.74925306183667</v>
          </cell>
          <cell r="S182" t="str">
            <v>X</v>
          </cell>
          <cell r="T182"/>
          <cell r="U182">
            <v>15034</v>
          </cell>
          <cell r="V182"/>
          <cell r="W182"/>
          <cell r="X182"/>
          <cell r="Y182"/>
          <cell r="Z182"/>
          <cell r="AA182" t="str">
            <v>Zero investment in 2019</v>
          </cell>
          <cell r="AB182">
            <v>15385.174615988089</v>
          </cell>
          <cell r="AC182">
            <v>350.74925306183667</v>
          </cell>
          <cell r="AD182">
            <v>15034</v>
          </cell>
          <cell r="AE182"/>
          <cell r="AL182">
            <v>31.571400000000001</v>
          </cell>
          <cell r="AM182">
            <v>31.571400000000001</v>
          </cell>
          <cell r="AN182">
            <v>35</v>
          </cell>
          <cell r="AQ182">
            <v>5879.1880600000004</v>
          </cell>
          <cell r="AR182">
            <v>9505.9865559999998</v>
          </cell>
        </row>
        <row r="183">
          <cell r="A183" t="e">
            <v>#N/A</v>
          </cell>
          <cell r="B183"/>
          <cell r="C183"/>
          <cell r="D183"/>
          <cell r="E183"/>
          <cell r="F183"/>
          <cell r="G183"/>
          <cell r="H183"/>
          <cell r="I183">
            <v>73122342</v>
          </cell>
          <cell r="J183">
            <v>1</v>
          </cell>
          <cell r="K183">
            <v>1367872.3647270498</v>
          </cell>
          <cell r="L183">
            <v>13632127.635272961</v>
          </cell>
          <cell r="M183">
            <v>15000000.000000011</v>
          </cell>
          <cell r="N183">
            <v>124188.61886742759</v>
          </cell>
          <cell r="O183">
            <v>0</v>
          </cell>
          <cell r="P183">
            <v>0</v>
          </cell>
          <cell r="Q183">
            <v>124188.61886742759</v>
          </cell>
          <cell r="R183">
            <v>124188.61886742759</v>
          </cell>
          <cell r="S183">
            <v>0</v>
          </cell>
          <cell r="T183">
            <v>0</v>
          </cell>
          <cell r="U183">
            <v>14874118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/>
          <cell r="AB183">
            <v>15000000.000000011</v>
          </cell>
          <cell r="AC183">
            <v>124188.61886742759</v>
          </cell>
          <cell r="AD183">
            <v>14874118</v>
          </cell>
          <cell r="AE183"/>
          <cell r="AL183">
            <v>31235.647799999999</v>
          </cell>
          <cell r="AM183">
            <v>28390.1528</v>
          </cell>
          <cell r="AN183">
            <v>6265</v>
          </cell>
          <cell r="AO183">
            <v>-22125.1528</v>
          </cell>
        </row>
        <row r="184">
          <cell r="C184"/>
          <cell r="P184"/>
          <cell r="R184"/>
          <cell r="S184"/>
          <cell r="W184" t="str">
            <v>Not Collected amount</v>
          </cell>
          <cell r="X184" t="str">
            <v>#REF!</v>
          </cell>
          <cell r="Y184" t="str">
            <v>#REF!</v>
          </cell>
          <cell r="Z184" t="str">
            <v>#REF!</v>
          </cell>
          <cell r="AA184"/>
          <cell r="AB184">
            <v>0</v>
          </cell>
          <cell r="AC184"/>
          <cell r="AD184">
            <v>1693.3811325840652</v>
          </cell>
          <cell r="AE184"/>
        </row>
        <row r="185">
          <cell r="A185" t="str">
            <v>8160-01-253</v>
          </cell>
          <cell r="B185" t="str">
            <v>Yuval Fuchs</v>
          </cell>
          <cell r="C185"/>
          <cell r="D185"/>
          <cell r="E185"/>
          <cell r="F185"/>
          <cell r="G185"/>
          <cell r="H185"/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/>
          <cell r="P185"/>
          <cell r="Q185"/>
          <cell r="R185"/>
          <cell r="S185" t="str">
            <v>ע"פ תקנות'</v>
          </cell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</row>
        <row r="186">
          <cell r="C186"/>
          <cell r="P186"/>
          <cell r="R186"/>
          <cell r="S186"/>
          <cell r="AA186"/>
          <cell r="AB186"/>
          <cell r="AC186"/>
          <cell r="AD186"/>
          <cell r="AE186"/>
        </row>
        <row r="187">
          <cell r="C187"/>
          <cell r="P187"/>
          <cell r="R187"/>
          <cell r="S187"/>
          <cell r="AC187"/>
          <cell r="AD187"/>
          <cell r="AE187"/>
        </row>
        <row r="188">
          <cell r="C188"/>
          <cell r="P188"/>
          <cell r="R188"/>
          <cell r="S188"/>
          <cell r="AA188"/>
          <cell r="AB188"/>
          <cell r="AC188"/>
          <cell r="AD188"/>
          <cell r="AE188"/>
        </row>
        <row r="189">
          <cell r="C189"/>
          <cell r="P189"/>
          <cell r="R189"/>
          <cell r="S189"/>
          <cell r="AA189"/>
          <cell r="AB189"/>
          <cell r="AC189"/>
          <cell r="AD189"/>
          <cell r="AE189"/>
        </row>
        <row r="190">
          <cell r="C190"/>
          <cell r="P190"/>
          <cell r="R190"/>
          <cell r="S190"/>
          <cell r="AA190"/>
          <cell r="AB190"/>
          <cell r="AC190"/>
          <cell r="AD190"/>
          <cell r="AE190"/>
        </row>
        <row r="191">
          <cell r="C191"/>
          <cell r="P191"/>
          <cell r="R191"/>
          <cell r="S191"/>
          <cell r="AB191"/>
          <cell r="AC191"/>
          <cell r="AD191"/>
          <cell r="AE191"/>
        </row>
        <row r="192">
          <cell r="C192"/>
          <cell r="P192"/>
          <cell r="R192"/>
          <cell r="S192"/>
          <cell r="AB192"/>
          <cell r="AC192"/>
          <cell r="AD192"/>
          <cell r="AE192"/>
        </row>
        <row r="193">
          <cell r="C193"/>
          <cell r="P193"/>
          <cell r="R193"/>
          <cell r="S193"/>
          <cell r="AB193"/>
          <cell r="AC193"/>
          <cell r="AD193"/>
          <cell r="AE193"/>
        </row>
        <row r="194">
          <cell r="C194"/>
          <cell r="P194"/>
          <cell r="R194"/>
          <cell r="S194"/>
          <cell r="AB194"/>
          <cell r="AC194"/>
          <cell r="AD194"/>
          <cell r="AE194"/>
        </row>
        <row r="195">
          <cell r="C195"/>
          <cell r="P195"/>
          <cell r="R195"/>
          <cell r="S195"/>
          <cell r="AB195"/>
          <cell r="AC195"/>
          <cell r="AD195"/>
          <cell r="AE195"/>
        </row>
        <row r="196">
          <cell r="C196"/>
          <cell r="P196"/>
          <cell r="R196"/>
          <cell r="S196"/>
          <cell r="AB196"/>
          <cell r="AC196"/>
          <cell r="AD196"/>
          <cell r="AE196"/>
        </row>
        <row r="197">
          <cell r="C197"/>
          <cell r="P197"/>
          <cell r="R197"/>
          <cell r="S197"/>
          <cell r="AB197"/>
          <cell r="AC197"/>
          <cell r="AD197"/>
          <cell r="AE197"/>
        </row>
        <row r="198">
          <cell r="C198"/>
          <cell r="P198"/>
          <cell r="R198"/>
          <cell r="S198"/>
          <cell r="AB198"/>
          <cell r="AC198"/>
          <cell r="AD198"/>
          <cell r="AE198"/>
        </row>
        <row r="199">
          <cell r="C199"/>
          <cell r="P199"/>
          <cell r="R199"/>
          <cell r="S199"/>
          <cell r="AB199"/>
          <cell r="AC199"/>
          <cell r="AD199"/>
          <cell r="AE199"/>
        </row>
        <row r="200">
          <cell r="C200"/>
          <cell r="P200"/>
          <cell r="R200"/>
          <cell r="S200"/>
          <cell r="AB200"/>
          <cell r="AC200"/>
          <cell r="AD200"/>
          <cell r="AE200"/>
        </row>
        <row r="201">
          <cell r="C201"/>
          <cell r="P201"/>
          <cell r="R201"/>
          <cell r="S201"/>
          <cell r="AB201"/>
          <cell r="AC201"/>
          <cell r="AD201"/>
          <cell r="AE201"/>
        </row>
        <row r="202">
          <cell r="C202"/>
          <cell r="P202"/>
          <cell r="R202"/>
          <cell r="S202"/>
          <cell r="AB202"/>
          <cell r="AC202"/>
          <cell r="AD202"/>
          <cell r="AE202"/>
        </row>
        <row r="203">
          <cell r="C203"/>
          <cell r="P203"/>
          <cell r="R203"/>
          <cell r="S203"/>
          <cell r="AB203"/>
          <cell r="AC203"/>
          <cell r="AD203"/>
          <cell r="AE203"/>
        </row>
        <row r="204">
          <cell r="C204"/>
          <cell r="P204"/>
          <cell r="R204"/>
          <cell r="S204"/>
          <cell r="AB204"/>
          <cell r="AC204"/>
          <cell r="AD204"/>
          <cell r="AE204"/>
        </row>
        <row r="205">
          <cell r="C205"/>
          <cell r="P205"/>
          <cell r="R205"/>
          <cell r="S205"/>
          <cell r="AB205"/>
          <cell r="AC205"/>
          <cell r="AD205"/>
          <cell r="AE205"/>
        </row>
        <row r="206">
          <cell r="C206"/>
          <cell r="P206"/>
          <cell r="R206"/>
          <cell r="S206"/>
          <cell r="AB206"/>
          <cell r="AC206"/>
          <cell r="AD206"/>
          <cell r="AE206"/>
        </row>
        <row r="207">
          <cell r="C207"/>
          <cell r="P207"/>
          <cell r="R207"/>
          <cell r="S207"/>
          <cell r="AB207"/>
          <cell r="AC207"/>
          <cell r="AD207"/>
          <cell r="AE207"/>
        </row>
        <row r="208">
          <cell r="C208"/>
          <cell r="P208"/>
          <cell r="R208"/>
          <cell r="S208"/>
          <cell r="AB208"/>
          <cell r="AC208"/>
          <cell r="AD208"/>
          <cell r="AE208"/>
        </row>
        <row r="209">
          <cell r="C209"/>
          <cell r="P209"/>
          <cell r="R209"/>
          <cell r="S209"/>
          <cell r="AB209"/>
          <cell r="AC209"/>
          <cell r="AD209"/>
          <cell r="AE209"/>
        </row>
        <row r="210">
          <cell r="C210"/>
          <cell r="P210"/>
          <cell r="R210"/>
          <cell r="S210"/>
          <cell r="AB210"/>
          <cell r="AC210"/>
          <cell r="AD210"/>
          <cell r="AE210"/>
        </row>
        <row r="211">
          <cell r="C211"/>
          <cell r="P211"/>
          <cell r="R211"/>
          <cell r="S211"/>
          <cell r="AB211"/>
          <cell r="AC211"/>
          <cell r="AD211"/>
          <cell r="AE211"/>
        </row>
        <row r="212">
          <cell r="C212"/>
          <cell r="P212"/>
          <cell r="R212"/>
          <cell r="S212"/>
          <cell r="AB212"/>
          <cell r="AC212"/>
          <cell r="AD212"/>
          <cell r="AE212"/>
        </row>
        <row r="213">
          <cell r="C213"/>
          <cell r="P213"/>
          <cell r="R213"/>
          <cell r="S213"/>
          <cell r="AB213"/>
          <cell r="AC213"/>
          <cell r="AD213"/>
          <cell r="AE213"/>
        </row>
        <row r="214">
          <cell r="C214"/>
          <cell r="P214"/>
          <cell r="R214"/>
          <cell r="S214"/>
          <cell r="AB214"/>
          <cell r="AC214"/>
          <cell r="AD214"/>
          <cell r="AE214"/>
        </row>
        <row r="215">
          <cell r="C215"/>
          <cell r="P215"/>
          <cell r="R215"/>
          <cell r="S215"/>
          <cell r="AB215"/>
          <cell r="AC215"/>
          <cell r="AD215"/>
          <cell r="AE215"/>
        </row>
        <row r="216">
          <cell r="C216"/>
          <cell r="P216"/>
          <cell r="R216"/>
          <cell r="S216"/>
          <cell r="AB216"/>
          <cell r="AC216"/>
          <cell r="AD216"/>
          <cell r="AE216"/>
        </row>
        <row r="217">
          <cell r="C217"/>
          <cell r="P217"/>
          <cell r="R217"/>
          <cell r="S217"/>
          <cell r="AB217"/>
          <cell r="AC217"/>
          <cell r="AD217"/>
          <cell r="AE217"/>
        </row>
        <row r="218">
          <cell r="C218"/>
          <cell r="P218"/>
          <cell r="R218"/>
          <cell r="S218"/>
          <cell r="AB218"/>
          <cell r="AC218"/>
          <cell r="AD218"/>
          <cell r="AE218"/>
        </row>
        <row r="219">
          <cell r="C219"/>
          <cell r="P219"/>
          <cell r="R219"/>
          <cell r="S219"/>
          <cell r="AB219"/>
          <cell r="AC219"/>
          <cell r="AD219"/>
          <cell r="AE219"/>
        </row>
        <row r="220">
          <cell r="C220"/>
          <cell r="P220"/>
          <cell r="R220"/>
          <cell r="S220"/>
          <cell r="AB220"/>
          <cell r="AC220"/>
          <cell r="AD220"/>
          <cell r="AE220"/>
        </row>
        <row r="221">
          <cell r="C221"/>
          <cell r="P221"/>
          <cell r="R221"/>
          <cell r="S221"/>
          <cell r="AB221"/>
          <cell r="AC221"/>
          <cell r="AD221"/>
          <cell r="AE221"/>
        </row>
        <row r="222">
          <cell r="C222"/>
          <cell r="P222"/>
          <cell r="R222"/>
          <cell r="S222"/>
          <cell r="AB222"/>
          <cell r="AC222"/>
          <cell r="AD222"/>
          <cell r="AE222"/>
        </row>
        <row r="223">
          <cell r="C223"/>
          <cell r="P223"/>
          <cell r="R223"/>
          <cell r="S223"/>
          <cell r="AB223"/>
          <cell r="AC223"/>
          <cell r="AD223"/>
          <cell r="AE223"/>
        </row>
        <row r="224">
          <cell r="C224"/>
          <cell r="P224"/>
          <cell r="R224"/>
          <cell r="S224"/>
          <cell r="AB224"/>
          <cell r="AC224"/>
          <cell r="AD224"/>
          <cell r="AE224"/>
        </row>
        <row r="225">
          <cell r="C225"/>
          <cell r="P225"/>
          <cell r="R225"/>
          <cell r="S225"/>
          <cell r="AB225"/>
          <cell r="AC225"/>
          <cell r="AD225"/>
          <cell r="AE225"/>
        </row>
        <row r="226">
          <cell r="C226"/>
          <cell r="P226"/>
          <cell r="R226"/>
          <cell r="S226"/>
          <cell r="AB226"/>
          <cell r="AC226"/>
          <cell r="AD226"/>
          <cell r="AE226"/>
        </row>
        <row r="227">
          <cell r="C227"/>
          <cell r="P227"/>
          <cell r="R227"/>
          <cell r="S227"/>
          <cell r="AB227"/>
          <cell r="AC227"/>
          <cell r="AD227"/>
          <cell r="AE227"/>
        </row>
        <row r="228">
          <cell r="C228"/>
          <cell r="P228"/>
          <cell r="R228"/>
          <cell r="S228"/>
          <cell r="AB228"/>
          <cell r="AC228"/>
          <cell r="AD228"/>
          <cell r="AE228"/>
        </row>
        <row r="229">
          <cell r="C229"/>
          <cell r="P229"/>
          <cell r="R229"/>
          <cell r="S229"/>
          <cell r="AB229"/>
          <cell r="AC229"/>
          <cell r="AD229"/>
          <cell r="AE229"/>
        </row>
        <row r="230">
          <cell r="C230"/>
          <cell r="P230"/>
          <cell r="R230"/>
          <cell r="S230"/>
          <cell r="AB230"/>
          <cell r="AC230"/>
          <cell r="AD230"/>
          <cell r="AE230"/>
        </row>
        <row r="231">
          <cell r="C231"/>
          <cell r="P231"/>
          <cell r="R231"/>
          <cell r="S231"/>
          <cell r="AB231"/>
          <cell r="AC231"/>
          <cell r="AD231"/>
          <cell r="AE231"/>
        </row>
        <row r="232">
          <cell r="C232"/>
          <cell r="P232"/>
          <cell r="R232"/>
          <cell r="S232"/>
          <cell r="AB232"/>
          <cell r="AC232"/>
          <cell r="AD232"/>
          <cell r="AE232"/>
        </row>
        <row r="233">
          <cell r="C233"/>
          <cell r="P233"/>
          <cell r="R233"/>
          <cell r="S233"/>
          <cell r="AB233"/>
          <cell r="AC233"/>
          <cell r="AD233"/>
          <cell r="AE233"/>
        </row>
        <row r="234">
          <cell r="C234"/>
          <cell r="P234"/>
          <cell r="R234"/>
          <cell r="S234"/>
          <cell r="AB234"/>
          <cell r="AC234"/>
          <cell r="AD234"/>
          <cell r="AE234"/>
        </row>
        <row r="235">
          <cell r="C235"/>
          <cell r="P235"/>
          <cell r="R235"/>
          <cell r="S235"/>
          <cell r="AB235"/>
          <cell r="AC235"/>
          <cell r="AD235"/>
          <cell r="AE235"/>
        </row>
        <row r="236">
          <cell r="C236"/>
          <cell r="P236"/>
          <cell r="R236"/>
          <cell r="S236"/>
          <cell r="AB236"/>
          <cell r="AC236"/>
          <cell r="AD236"/>
          <cell r="AE236"/>
        </row>
        <row r="237">
          <cell r="C237"/>
          <cell r="P237"/>
          <cell r="R237"/>
          <cell r="S237"/>
          <cell r="AB237"/>
          <cell r="AC237"/>
          <cell r="AD237"/>
          <cell r="AE237"/>
        </row>
        <row r="238">
          <cell r="C238"/>
          <cell r="P238"/>
          <cell r="R238"/>
          <cell r="S238"/>
          <cell r="AB238"/>
          <cell r="AC238"/>
          <cell r="AD238"/>
          <cell r="AE238"/>
        </row>
        <row r="239">
          <cell r="C239"/>
          <cell r="P239"/>
          <cell r="R239"/>
          <cell r="S239"/>
          <cell r="AB239"/>
          <cell r="AC239"/>
          <cell r="AD239"/>
          <cell r="AE239"/>
        </row>
        <row r="240">
          <cell r="C240"/>
          <cell r="P240"/>
          <cell r="R240"/>
          <cell r="S240"/>
          <cell r="AB240"/>
          <cell r="AC240"/>
          <cell r="AD240"/>
          <cell r="AE240"/>
        </row>
        <row r="241">
          <cell r="C241"/>
          <cell r="P241"/>
          <cell r="R241"/>
          <cell r="S241"/>
          <cell r="AB241"/>
          <cell r="AC241"/>
          <cell r="AD241"/>
          <cell r="AE241"/>
        </row>
        <row r="242">
          <cell r="C242"/>
          <cell r="P242"/>
          <cell r="R242"/>
          <cell r="S242"/>
          <cell r="AB242"/>
          <cell r="AC242"/>
          <cell r="AD242"/>
          <cell r="AE242"/>
        </row>
        <row r="243">
          <cell r="C243"/>
          <cell r="P243"/>
          <cell r="R243"/>
          <cell r="S243"/>
          <cell r="AB243"/>
          <cell r="AC243"/>
          <cell r="AD243"/>
          <cell r="AE243"/>
        </row>
        <row r="244">
          <cell r="C244"/>
          <cell r="P244"/>
          <cell r="R244"/>
          <cell r="S244"/>
          <cell r="AB244"/>
          <cell r="AC244"/>
          <cell r="AD244"/>
          <cell r="AE244"/>
        </row>
        <row r="245">
          <cell r="C245"/>
          <cell r="P245"/>
          <cell r="R245"/>
          <cell r="S245"/>
          <cell r="AB245"/>
          <cell r="AC245"/>
          <cell r="AD245"/>
          <cell r="AE245"/>
        </row>
        <row r="246">
          <cell r="C246"/>
          <cell r="P246"/>
          <cell r="R246"/>
          <cell r="S246"/>
          <cell r="AB246"/>
          <cell r="AC246"/>
          <cell r="AD246"/>
          <cell r="AE246"/>
        </row>
        <row r="247">
          <cell r="C247"/>
          <cell r="P247"/>
          <cell r="R247"/>
          <cell r="S247"/>
          <cell r="AB247"/>
          <cell r="AC247"/>
          <cell r="AD247"/>
          <cell r="AE247"/>
        </row>
        <row r="248">
          <cell r="C248"/>
          <cell r="P248"/>
          <cell r="R248"/>
          <cell r="S248"/>
          <cell r="AB248"/>
          <cell r="AC248"/>
          <cell r="AD248"/>
          <cell r="AE248"/>
        </row>
        <row r="249">
          <cell r="C249"/>
          <cell r="P249"/>
          <cell r="R249"/>
          <cell r="S249"/>
          <cell r="AB249"/>
          <cell r="AC249"/>
          <cell r="AD249"/>
          <cell r="AE249"/>
        </row>
        <row r="250">
          <cell r="C250"/>
          <cell r="P250"/>
          <cell r="R250"/>
          <cell r="S250"/>
          <cell r="AB250"/>
          <cell r="AC250"/>
          <cell r="AD250"/>
          <cell r="AE250"/>
        </row>
        <row r="251">
          <cell r="C251"/>
          <cell r="P251"/>
          <cell r="R251"/>
          <cell r="S251"/>
          <cell r="AB251"/>
          <cell r="AC251"/>
          <cell r="AD251"/>
          <cell r="AE251"/>
        </row>
        <row r="252">
          <cell r="C252"/>
          <cell r="P252"/>
          <cell r="R252"/>
          <cell r="S252"/>
          <cell r="AB252"/>
          <cell r="AC252"/>
          <cell r="AD252"/>
          <cell r="AE252"/>
        </row>
        <row r="253">
          <cell r="C253"/>
          <cell r="P253"/>
          <cell r="R253"/>
          <cell r="S253"/>
          <cell r="AB253"/>
          <cell r="AC253"/>
          <cell r="AD253"/>
          <cell r="AE253"/>
        </row>
        <row r="254">
          <cell r="C254"/>
          <cell r="P254"/>
          <cell r="R254"/>
          <cell r="S254"/>
          <cell r="AB254"/>
          <cell r="AC254"/>
          <cell r="AD254"/>
          <cell r="AE254"/>
        </row>
        <row r="255">
          <cell r="C255"/>
          <cell r="P255"/>
          <cell r="R255"/>
          <cell r="S255"/>
          <cell r="AB255"/>
          <cell r="AC255"/>
          <cell r="AD255"/>
          <cell r="AE255"/>
        </row>
        <row r="256">
          <cell r="C256"/>
          <cell r="P256"/>
          <cell r="R256"/>
          <cell r="S256"/>
          <cell r="AB256"/>
          <cell r="AC256"/>
          <cell r="AD256"/>
          <cell r="AE256"/>
        </row>
        <row r="257">
          <cell r="C257"/>
          <cell r="P257"/>
          <cell r="R257"/>
          <cell r="S257"/>
          <cell r="AB257"/>
          <cell r="AC257"/>
          <cell r="AD257"/>
          <cell r="AE257"/>
        </row>
        <row r="258">
          <cell r="C258"/>
          <cell r="P258"/>
          <cell r="R258"/>
          <cell r="S258"/>
          <cell r="AB258"/>
          <cell r="AC258"/>
          <cell r="AD258"/>
          <cell r="AE258"/>
        </row>
        <row r="259">
          <cell r="C259"/>
          <cell r="P259"/>
          <cell r="R259"/>
          <cell r="S259"/>
          <cell r="AB259"/>
          <cell r="AC259"/>
          <cell r="AD259"/>
          <cell r="AE259"/>
        </row>
        <row r="260">
          <cell r="C260"/>
          <cell r="P260"/>
          <cell r="R260"/>
          <cell r="S260"/>
          <cell r="AB260"/>
          <cell r="AC260"/>
          <cell r="AD260"/>
          <cell r="AE260"/>
        </row>
        <row r="261">
          <cell r="C261"/>
          <cell r="P261"/>
          <cell r="R261"/>
          <cell r="S261"/>
          <cell r="AB261"/>
          <cell r="AC261"/>
          <cell r="AD261"/>
          <cell r="AE261"/>
        </row>
        <row r="262">
          <cell r="C262"/>
          <cell r="P262"/>
          <cell r="R262"/>
          <cell r="S262"/>
          <cell r="AB262"/>
          <cell r="AC262"/>
          <cell r="AD262"/>
          <cell r="AE262"/>
        </row>
        <row r="263">
          <cell r="C263"/>
          <cell r="P263"/>
          <cell r="R263"/>
          <cell r="S263"/>
          <cell r="AB263"/>
          <cell r="AC263"/>
          <cell r="AD263"/>
          <cell r="AE263"/>
        </row>
        <row r="264">
          <cell r="C264"/>
          <cell r="P264"/>
          <cell r="R264"/>
          <cell r="S264"/>
          <cell r="AB264"/>
          <cell r="AC264"/>
          <cell r="AD264"/>
          <cell r="AE264"/>
        </row>
        <row r="265">
          <cell r="C265"/>
          <cell r="P265"/>
          <cell r="R265"/>
          <cell r="S265"/>
          <cell r="AB265"/>
          <cell r="AC265"/>
          <cell r="AD265"/>
          <cell r="AE265"/>
        </row>
        <row r="266">
          <cell r="C266"/>
          <cell r="P266"/>
          <cell r="R266"/>
          <cell r="S266"/>
          <cell r="AB266"/>
          <cell r="AC266"/>
          <cell r="AD266"/>
          <cell r="AE266"/>
        </row>
        <row r="267">
          <cell r="C267"/>
          <cell r="P267"/>
          <cell r="R267"/>
          <cell r="S267"/>
          <cell r="AB267"/>
          <cell r="AC267"/>
          <cell r="AD267"/>
          <cell r="AE267"/>
        </row>
        <row r="268">
          <cell r="C268"/>
          <cell r="P268"/>
          <cell r="R268"/>
          <cell r="S268"/>
          <cell r="AB268"/>
          <cell r="AC268"/>
          <cell r="AD268"/>
          <cell r="AE268"/>
        </row>
        <row r="269">
          <cell r="C269"/>
          <cell r="P269"/>
          <cell r="R269"/>
          <cell r="S269"/>
          <cell r="AB269"/>
          <cell r="AC269"/>
          <cell r="AD269"/>
          <cell r="AE269"/>
        </row>
        <row r="270">
          <cell r="C270"/>
          <cell r="P270"/>
          <cell r="R270"/>
          <cell r="S270"/>
          <cell r="AB270"/>
          <cell r="AC270"/>
          <cell r="AD270"/>
          <cell r="AE270"/>
        </row>
        <row r="271">
          <cell r="C271"/>
          <cell r="P271"/>
          <cell r="R271"/>
          <cell r="S271"/>
          <cell r="AB271"/>
          <cell r="AC271"/>
          <cell r="AD271"/>
          <cell r="AE271"/>
        </row>
        <row r="272">
          <cell r="C272"/>
          <cell r="P272"/>
          <cell r="R272"/>
          <cell r="S272"/>
          <cell r="AB272"/>
          <cell r="AC272"/>
          <cell r="AD272"/>
          <cell r="AE272"/>
        </row>
        <row r="273">
          <cell r="C273"/>
          <cell r="P273"/>
          <cell r="R273"/>
          <cell r="S273"/>
          <cell r="AB273"/>
          <cell r="AC273"/>
          <cell r="AD273"/>
          <cell r="AE273"/>
        </row>
        <row r="274">
          <cell r="C274"/>
          <cell r="P274"/>
          <cell r="R274"/>
          <cell r="S274"/>
          <cell r="AB274"/>
          <cell r="AC274"/>
          <cell r="AD274"/>
          <cell r="AE274"/>
        </row>
        <row r="275">
          <cell r="C275"/>
          <cell r="P275"/>
          <cell r="R275"/>
          <cell r="S275"/>
          <cell r="AB275"/>
          <cell r="AC275"/>
          <cell r="AD275"/>
          <cell r="AE275"/>
        </row>
        <row r="276">
          <cell r="C276"/>
          <cell r="P276"/>
          <cell r="R276"/>
          <cell r="S276"/>
          <cell r="AB276"/>
          <cell r="AC276"/>
          <cell r="AD276"/>
          <cell r="AE276"/>
        </row>
        <row r="277">
          <cell r="C277"/>
          <cell r="P277"/>
          <cell r="R277"/>
          <cell r="S277"/>
          <cell r="AB277"/>
          <cell r="AC277"/>
          <cell r="AD277"/>
          <cell r="AE277"/>
        </row>
        <row r="278">
          <cell r="C278"/>
          <cell r="P278"/>
          <cell r="R278"/>
          <cell r="S278"/>
          <cell r="AB278"/>
          <cell r="AC278"/>
          <cell r="AD278"/>
          <cell r="AE278"/>
        </row>
        <row r="279">
          <cell r="C279"/>
          <cell r="P279"/>
          <cell r="R279"/>
          <cell r="S279"/>
          <cell r="AB279"/>
          <cell r="AC279"/>
          <cell r="AD279"/>
          <cell r="AE279"/>
        </row>
        <row r="280">
          <cell r="C280"/>
          <cell r="P280"/>
          <cell r="R280"/>
          <cell r="S280"/>
          <cell r="AB280"/>
          <cell r="AC280"/>
          <cell r="AD280"/>
          <cell r="AE280"/>
        </row>
        <row r="281">
          <cell r="C281"/>
          <cell r="P281"/>
          <cell r="R281"/>
          <cell r="S281"/>
          <cell r="AB281"/>
          <cell r="AC281"/>
          <cell r="AD281"/>
          <cell r="AE281"/>
        </row>
        <row r="282">
          <cell r="C282"/>
          <cell r="P282"/>
          <cell r="R282"/>
          <cell r="S282"/>
          <cell r="AB282"/>
          <cell r="AC282"/>
          <cell r="AD282"/>
          <cell r="AE282"/>
        </row>
        <row r="283">
          <cell r="C283"/>
          <cell r="P283"/>
          <cell r="R283"/>
          <cell r="S283"/>
          <cell r="AB283"/>
          <cell r="AC283"/>
          <cell r="AD283"/>
          <cell r="AE283"/>
        </row>
        <row r="284">
          <cell r="C284"/>
          <cell r="P284"/>
          <cell r="R284"/>
          <cell r="S284"/>
          <cell r="AB284"/>
          <cell r="AC284"/>
          <cell r="AD284"/>
          <cell r="AE284"/>
        </row>
        <row r="285">
          <cell r="C285"/>
          <cell r="P285"/>
          <cell r="R285"/>
          <cell r="S285"/>
          <cell r="AB285"/>
          <cell r="AC285"/>
          <cell r="AD285"/>
          <cell r="AE285"/>
        </row>
        <row r="286">
          <cell r="C286"/>
          <cell r="P286"/>
          <cell r="R286"/>
          <cell r="S286"/>
          <cell r="AB286"/>
          <cell r="AC286"/>
          <cell r="AD286"/>
          <cell r="AE286"/>
        </row>
        <row r="287">
          <cell r="C287"/>
          <cell r="P287"/>
          <cell r="R287"/>
          <cell r="S287"/>
          <cell r="AB287"/>
          <cell r="AC287"/>
          <cell r="AD287"/>
          <cell r="AE287"/>
        </row>
        <row r="288">
          <cell r="C288"/>
          <cell r="P288"/>
          <cell r="R288"/>
          <cell r="S288"/>
          <cell r="AB288"/>
          <cell r="AC288"/>
          <cell r="AD288"/>
          <cell r="AE288"/>
        </row>
        <row r="289">
          <cell r="C289"/>
          <cell r="P289"/>
          <cell r="R289"/>
          <cell r="S289"/>
          <cell r="AB289"/>
          <cell r="AC289"/>
          <cell r="AD289"/>
          <cell r="AE289"/>
        </row>
        <row r="290">
          <cell r="C290"/>
          <cell r="P290"/>
          <cell r="R290"/>
          <cell r="S290"/>
          <cell r="AB290"/>
          <cell r="AC290"/>
          <cell r="AD290"/>
          <cell r="AE290"/>
        </row>
        <row r="291">
          <cell r="C291"/>
          <cell r="P291"/>
          <cell r="R291"/>
          <cell r="S291"/>
          <cell r="AB291"/>
          <cell r="AC291"/>
          <cell r="AD291"/>
          <cell r="AE291"/>
        </row>
        <row r="292">
          <cell r="C292"/>
          <cell r="P292"/>
          <cell r="R292"/>
          <cell r="S292"/>
          <cell r="AB292"/>
          <cell r="AC292"/>
          <cell r="AD292"/>
          <cell r="AE292"/>
        </row>
        <row r="293">
          <cell r="C293"/>
          <cell r="P293"/>
          <cell r="R293"/>
          <cell r="S293"/>
          <cell r="AB293"/>
          <cell r="AC293"/>
          <cell r="AD293"/>
          <cell r="AE293"/>
        </row>
        <row r="294">
          <cell r="C294"/>
          <cell r="P294"/>
          <cell r="R294"/>
          <cell r="S294"/>
          <cell r="AB294"/>
          <cell r="AC294"/>
          <cell r="AD294"/>
          <cell r="AE294"/>
        </row>
        <row r="295">
          <cell r="C295"/>
          <cell r="P295"/>
          <cell r="R295"/>
          <cell r="S295"/>
          <cell r="AB295"/>
          <cell r="AC295"/>
          <cell r="AD295"/>
          <cell r="AE295"/>
        </row>
        <row r="296">
          <cell r="C296"/>
          <cell r="P296"/>
          <cell r="R296"/>
          <cell r="S296"/>
          <cell r="AB296"/>
          <cell r="AC296"/>
          <cell r="AD296"/>
          <cell r="AE296"/>
        </row>
        <row r="297">
          <cell r="C297"/>
          <cell r="P297"/>
          <cell r="R297"/>
          <cell r="S297"/>
          <cell r="AB297"/>
          <cell r="AC297"/>
          <cell r="AD297"/>
          <cell r="AE297"/>
        </row>
        <row r="298">
          <cell r="C298"/>
          <cell r="P298"/>
          <cell r="R298"/>
          <cell r="S298"/>
          <cell r="AB298"/>
          <cell r="AC298"/>
          <cell r="AD298"/>
          <cell r="AE298"/>
        </row>
        <row r="299">
          <cell r="C299"/>
          <cell r="P299"/>
          <cell r="R299"/>
          <cell r="S299"/>
          <cell r="AB299"/>
          <cell r="AC299"/>
          <cell r="AD299"/>
          <cell r="AE299"/>
        </row>
        <row r="300">
          <cell r="C300"/>
          <cell r="P300"/>
          <cell r="R300"/>
          <cell r="S300"/>
          <cell r="AB300"/>
          <cell r="AC300"/>
          <cell r="AD300"/>
          <cell r="AE300"/>
        </row>
        <row r="301">
          <cell r="C301"/>
          <cell r="P301"/>
          <cell r="R301"/>
          <cell r="S301"/>
          <cell r="AB301"/>
          <cell r="AC301"/>
          <cell r="AD301"/>
          <cell r="AE301"/>
        </row>
        <row r="302">
          <cell r="C302"/>
          <cell r="P302"/>
          <cell r="R302"/>
          <cell r="S302"/>
          <cell r="AB302"/>
          <cell r="AC302"/>
          <cell r="AD302"/>
          <cell r="AE302"/>
        </row>
        <row r="303">
          <cell r="C303"/>
          <cell r="P303"/>
          <cell r="R303"/>
          <cell r="S303"/>
          <cell r="AB303"/>
          <cell r="AC303"/>
          <cell r="AD303"/>
          <cell r="AE303"/>
        </row>
        <row r="304">
          <cell r="C304"/>
          <cell r="P304"/>
          <cell r="R304"/>
          <cell r="S304"/>
          <cell r="AB304"/>
          <cell r="AC304"/>
          <cell r="AD304"/>
          <cell r="AE304"/>
        </row>
        <row r="305">
          <cell r="C305"/>
          <cell r="P305"/>
          <cell r="R305"/>
          <cell r="S305"/>
          <cell r="AB305"/>
          <cell r="AC305"/>
          <cell r="AD305"/>
          <cell r="AE305"/>
        </row>
        <row r="306">
          <cell r="C306"/>
          <cell r="P306"/>
          <cell r="R306"/>
          <cell r="S306"/>
          <cell r="AB306"/>
          <cell r="AC306"/>
          <cell r="AD306"/>
          <cell r="AE306"/>
        </row>
        <row r="307">
          <cell r="C307"/>
          <cell r="P307"/>
          <cell r="R307"/>
          <cell r="S307"/>
          <cell r="AB307"/>
          <cell r="AC307"/>
          <cell r="AD307"/>
          <cell r="AE307"/>
        </row>
        <row r="308">
          <cell r="C308"/>
          <cell r="P308"/>
          <cell r="R308"/>
          <cell r="S308"/>
          <cell r="AB308"/>
          <cell r="AC308"/>
          <cell r="AD308"/>
          <cell r="AE308"/>
        </row>
        <row r="309">
          <cell r="C309"/>
          <cell r="P309"/>
          <cell r="R309"/>
          <cell r="S309"/>
          <cell r="AB309"/>
          <cell r="AC309"/>
          <cell r="AD309"/>
          <cell r="AE309"/>
        </row>
        <row r="310">
          <cell r="C310"/>
          <cell r="P310"/>
          <cell r="R310"/>
          <cell r="S310"/>
          <cell r="AB310"/>
          <cell r="AC310"/>
          <cell r="AD310"/>
          <cell r="AE310"/>
        </row>
        <row r="311">
          <cell r="C311"/>
          <cell r="P311"/>
          <cell r="R311"/>
          <cell r="S311"/>
          <cell r="AB311"/>
          <cell r="AC311"/>
          <cell r="AD311"/>
          <cell r="AE311"/>
        </row>
        <row r="312">
          <cell r="C312"/>
          <cell r="P312"/>
          <cell r="R312"/>
          <cell r="S312"/>
          <cell r="AB312"/>
          <cell r="AC312"/>
          <cell r="AD312"/>
          <cell r="AE312"/>
        </row>
        <row r="313">
          <cell r="C313"/>
          <cell r="P313"/>
          <cell r="R313"/>
          <cell r="S313"/>
          <cell r="AB313"/>
          <cell r="AC313"/>
          <cell r="AD313"/>
          <cell r="AE313"/>
        </row>
        <row r="314">
          <cell r="C314"/>
          <cell r="P314"/>
          <cell r="R314"/>
          <cell r="S314"/>
          <cell r="AB314"/>
          <cell r="AC314"/>
          <cell r="AD314"/>
          <cell r="AE314"/>
        </row>
        <row r="315">
          <cell r="C315"/>
          <cell r="P315"/>
          <cell r="R315"/>
          <cell r="S315"/>
          <cell r="AB315"/>
          <cell r="AC315"/>
          <cell r="AD315"/>
          <cell r="AE315"/>
        </row>
        <row r="316">
          <cell r="C316"/>
          <cell r="P316"/>
          <cell r="R316"/>
          <cell r="S316"/>
          <cell r="AB316"/>
          <cell r="AC316"/>
          <cell r="AD316"/>
          <cell r="AE316"/>
        </row>
        <row r="317">
          <cell r="C317"/>
          <cell r="P317"/>
          <cell r="R317"/>
          <cell r="S317"/>
          <cell r="AB317"/>
          <cell r="AC317"/>
          <cell r="AD317"/>
          <cell r="AE317"/>
        </row>
        <row r="318">
          <cell r="C318"/>
          <cell r="P318"/>
          <cell r="R318"/>
          <cell r="S318"/>
          <cell r="AB318"/>
          <cell r="AC318"/>
          <cell r="AD318"/>
          <cell r="AE318"/>
        </row>
        <row r="319">
          <cell r="C319"/>
          <cell r="P319"/>
          <cell r="R319"/>
          <cell r="S319"/>
          <cell r="AB319"/>
          <cell r="AC319"/>
          <cell r="AD319"/>
          <cell r="AE319"/>
        </row>
        <row r="320">
          <cell r="C320"/>
          <cell r="P320"/>
          <cell r="R320"/>
          <cell r="S320"/>
          <cell r="AB320"/>
          <cell r="AC320"/>
          <cell r="AD320"/>
          <cell r="AE320"/>
        </row>
        <row r="321">
          <cell r="C321"/>
          <cell r="P321"/>
          <cell r="R321"/>
          <cell r="S321"/>
          <cell r="AB321"/>
          <cell r="AC321"/>
          <cell r="AD321"/>
          <cell r="AE321"/>
        </row>
        <row r="322">
          <cell r="C322"/>
          <cell r="P322"/>
          <cell r="R322"/>
          <cell r="S322"/>
          <cell r="AB322"/>
          <cell r="AC322"/>
          <cell r="AD322"/>
          <cell r="AE322"/>
        </row>
        <row r="323">
          <cell r="C323"/>
          <cell r="P323"/>
          <cell r="R323"/>
          <cell r="S323"/>
          <cell r="AB323"/>
          <cell r="AC323"/>
          <cell r="AD323"/>
          <cell r="AE323"/>
        </row>
        <row r="324">
          <cell r="C324"/>
          <cell r="P324"/>
          <cell r="R324"/>
          <cell r="S324"/>
          <cell r="AB324"/>
          <cell r="AC324"/>
          <cell r="AD324"/>
          <cell r="AE324"/>
        </row>
        <row r="325">
          <cell r="C325"/>
          <cell r="P325"/>
          <cell r="R325"/>
          <cell r="S325"/>
          <cell r="AB325"/>
          <cell r="AC325"/>
          <cell r="AD325"/>
          <cell r="AE325"/>
        </row>
        <row r="326">
          <cell r="C326"/>
          <cell r="P326"/>
          <cell r="R326"/>
          <cell r="S326"/>
          <cell r="AB326"/>
          <cell r="AC326"/>
          <cell r="AD326"/>
          <cell r="AE326"/>
        </row>
        <row r="327">
          <cell r="C327"/>
          <cell r="P327"/>
          <cell r="R327"/>
          <cell r="S327"/>
          <cell r="AB327"/>
          <cell r="AC327"/>
          <cell r="AD327"/>
          <cell r="AE327"/>
        </row>
        <row r="328">
          <cell r="C328"/>
          <cell r="P328"/>
          <cell r="R328"/>
          <cell r="S328"/>
          <cell r="AB328"/>
          <cell r="AC328"/>
          <cell r="AD328"/>
          <cell r="AE328"/>
        </row>
        <row r="329">
          <cell r="C329"/>
          <cell r="P329"/>
          <cell r="R329"/>
          <cell r="S329"/>
          <cell r="AB329"/>
          <cell r="AC329"/>
          <cell r="AD329"/>
          <cell r="AE329"/>
        </row>
        <row r="330">
          <cell r="C330"/>
          <cell r="P330"/>
          <cell r="R330"/>
          <cell r="S330"/>
          <cell r="AB330"/>
          <cell r="AC330"/>
          <cell r="AD330"/>
          <cell r="AE330"/>
        </row>
        <row r="331">
          <cell r="C331"/>
          <cell r="P331"/>
          <cell r="R331"/>
          <cell r="S331"/>
          <cell r="AB331"/>
          <cell r="AC331"/>
          <cell r="AD331"/>
          <cell r="AE331"/>
        </row>
        <row r="332">
          <cell r="C332"/>
          <cell r="P332"/>
          <cell r="R332"/>
          <cell r="S332"/>
          <cell r="AB332"/>
          <cell r="AC332"/>
          <cell r="AD332"/>
          <cell r="AE332"/>
        </row>
        <row r="333">
          <cell r="C333"/>
          <cell r="P333"/>
          <cell r="R333"/>
          <cell r="S333"/>
          <cell r="AB333"/>
          <cell r="AC333"/>
          <cell r="AD333"/>
          <cell r="AE333"/>
        </row>
        <row r="334">
          <cell r="C334"/>
          <cell r="P334"/>
          <cell r="R334"/>
          <cell r="S334"/>
          <cell r="AB334"/>
          <cell r="AC334"/>
          <cell r="AD334"/>
          <cell r="AE334"/>
        </row>
        <row r="335">
          <cell r="C335"/>
          <cell r="P335"/>
          <cell r="R335"/>
          <cell r="S335"/>
          <cell r="AB335"/>
          <cell r="AC335"/>
          <cell r="AD335"/>
          <cell r="AE335"/>
        </row>
        <row r="336">
          <cell r="C336"/>
          <cell r="P336"/>
          <cell r="R336"/>
          <cell r="S336"/>
          <cell r="AB336"/>
          <cell r="AC336"/>
          <cell r="AD336"/>
          <cell r="AE336"/>
        </row>
        <row r="337">
          <cell r="C337"/>
          <cell r="P337"/>
          <cell r="R337"/>
          <cell r="S337"/>
          <cell r="AB337"/>
          <cell r="AC337"/>
          <cell r="AD337"/>
          <cell r="AE337"/>
        </row>
        <row r="338">
          <cell r="C338"/>
          <cell r="P338"/>
          <cell r="R338"/>
          <cell r="S338"/>
          <cell r="AB338"/>
          <cell r="AC338"/>
          <cell r="AD338"/>
          <cell r="AE338"/>
        </row>
        <row r="339">
          <cell r="C339"/>
          <cell r="P339"/>
          <cell r="R339"/>
          <cell r="S339"/>
          <cell r="AB339"/>
          <cell r="AC339"/>
          <cell r="AD339"/>
          <cell r="AE339"/>
        </row>
        <row r="340">
          <cell r="C340"/>
          <cell r="P340"/>
          <cell r="R340"/>
          <cell r="S340"/>
          <cell r="AB340"/>
          <cell r="AC340"/>
          <cell r="AD340"/>
          <cell r="AE340"/>
        </row>
        <row r="341">
          <cell r="C341"/>
          <cell r="P341"/>
          <cell r="R341"/>
          <cell r="S341"/>
          <cell r="AB341"/>
          <cell r="AC341"/>
          <cell r="AD341"/>
          <cell r="AE341"/>
        </row>
        <row r="342">
          <cell r="C342"/>
          <cell r="P342"/>
          <cell r="R342"/>
          <cell r="S342"/>
          <cell r="AB342"/>
          <cell r="AC342"/>
          <cell r="AD342"/>
          <cell r="AE342"/>
        </row>
        <row r="343">
          <cell r="C343"/>
          <cell r="P343"/>
          <cell r="R343"/>
          <cell r="S343"/>
          <cell r="AB343"/>
          <cell r="AC343"/>
          <cell r="AD343"/>
          <cell r="AE343"/>
        </row>
        <row r="344">
          <cell r="C344"/>
          <cell r="P344"/>
          <cell r="R344"/>
          <cell r="S344"/>
          <cell r="AB344"/>
          <cell r="AC344"/>
          <cell r="AD344"/>
          <cell r="AE344"/>
        </row>
        <row r="345">
          <cell r="C345"/>
          <cell r="P345"/>
          <cell r="R345"/>
          <cell r="S345"/>
          <cell r="AB345"/>
          <cell r="AC345"/>
          <cell r="AD345"/>
          <cell r="AE345"/>
        </row>
        <row r="346">
          <cell r="C346"/>
          <cell r="P346"/>
          <cell r="R346"/>
          <cell r="S346"/>
          <cell r="AB346"/>
          <cell r="AC346"/>
          <cell r="AD346"/>
          <cell r="AE346"/>
        </row>
        <row r="347">
          <cell r="C347"/>
          <cell r="P347"/>
          <cell r="R347"/>
          <cell r="S347"/>
          <cell r="AB347"/>
          <cell r="AC347"/>
          <cell r="AD347"/>
          <cell r="AE347"/>
        </row>
        <row r="348">
          <cell r="C348"/>
          <cell r="P348"/>
          <cell r="R348"/>
          <cell r="S348"/>
          <cell r="AB348"/>
          <cell r="AC348"/>
          <cell r="AD348"/>
          <cell r="AE348"/>
        </row>
        <row r="349">
          <cell r="C349"/>
          <cell r="P349"/>
          <cell r="R349"/>
          <cell r="S349"/>
          <cell r="AB349"/>
          <cell r="AC349"/>
          <cell r="AD349"/>
          <cell r="AE349"/>
        </row>
        <row r="350">
          <cell r="C350"/>
          <cell r="P350"/>
          <cell r="R350"/>
          <cell r="S350"/>
          <cell r="AB350"/>
          <cell r="AC350"/>
          <cell r="AD350"/>
          <cell r="AE350"/>
        </row>
        <row r="351">
          <cell r="C351"/>
          <cell r="P351"/>
          <cell r="R351"/>
          <cell r="S351"/>
          <cell r="AB351"/>
          <cell r="AC351"/>
          <cell r="AD351"/>
          <cell r="AE351"/>
        </row>
        <row r="352">
          <cell r="C352"/>
          <cell r="P352"/>
          <cell r="R352"/>
          <cell r="S352"/>
          <cell r="AB352"/>
          <cell r="AC352"/>
          <cell r="AD352"/>
          <cell r="AE352"/>
        </row>
        <row r="353">
          <cell r="C353"/>
          <cell r="P353"/>
          <cell r="R353"/>
          <cell r="S353"/>
          <cell r="AB353"/>
          <cell r="AC353"/>
          <cell r="AD353"/>
          <cell r="AE353"/>
        </row>
        <row r="354">
          <cell r="C354"/>
          <cell r="P354"/>
          <cell r="R354"/>
          <cell r="S354"/>
          <cell r="AB354"/>
          <cell r="AC354"/>
          <cell r="AD354"/>
          <cell r="AE354"/>
        </row>
        <row r="355">
          <cell r="C355"/>
          <cell r="P355"/>
          <cell r="R355"/>
          <cell r="S355"/>
          <cell r="AB355"/>
          <cell r="AC355"/>
          <cell r="AD355"/>
          <cell r="AE355"/>
        </row>
        <row r="356">
          <cell r="C356"/>
          <cell r="P356"/>
          <cell r="R356"/>
          <cell r="S356"/>
          <cell r="AB356"/>
          <cell r="AC356"/>
          <cell r="AD356"/>
          <cell r="AE356"/>
        </row>
        <row r="357">
          <cell r="C357"/>
          <cell r="P357"/>
          <cell r="R357"/>
          <cell r="S357"/>
          <cell r="AB357"/>
          <cell r="AC357"/>
          <cell r="AD357"/>
          <cell r="AE357"/>
        </row>
        <row r="358">
          <cell r="C358"/>
          <cell r="P358"/>
          <cell r="R358"/>
          <cell r="S358"/>
          <cell r="AB358"/>
          <cell r="AC358"/>
          <cell r="AD358"/>
          <cell r="AE358"/>
        </row>
        <row r="359">
          <cell r="C359"/>
          <cell r="P359"/>
          <cell r="R359"/>
          <cell r="S359"/>
          <cell r="AB359"/>
          <cell r="AC359"/>
          <cell r="AD359"/>
          <cell r="AE359"/>
        </row>
        <row r="360">
          <cell r="C360"/>
          <cell r="P360"/>
          <cell r="R360"/>
          <cell r="S360"/>
          <cell r="AB360"/>
          <cell r="AC360"/>
          <cell r="AD360"/>
          <cell r="AE360"/>
        </row>
        <row r="361">
          <cell r="C361"/>
          <cell r="P361"/>
          <cell r="R361"/>
          <cell r="S361"/>
          <cell r="AB361"/>
          <cell r="AC361"/>
          <cell r="AD361"/>
          <cell r="AE361"/>
        </row>
        <row r="362">
          <cell r="C362"/>
          <cell r="P362"/>
          <cell r="R362"/>
          <cell r="S362"/>
          <cell r="AB362"/>
          <cell r="AC362"/>
          <cell r="AD362"/>
          <cell r="AE362"/>
        </row>
        <row r="363">
          <cell r="C363"/>
          <cell r="P363"/>
          <cell r="R363"/>
          <cell r="S363"/>
          <cell r="AB363"/>
          <cell r="AC363"/>
          <cell r="AD363"/>
          <cell r="AE363"/>
        </row>
        <row r="364">
          <cell r="C364"/>
          <cell r="P364"/>
          <cell r="R364"/>
          <cell r="S364"/>
          <cell r="AB364"/>
          <cell r="AC364"/>
          <cell r="AD364"/>
          <cell r="AE364"/>
        </row>
        <row r="365">
          <cell r="C365"/>
          <cell r="P365"/>
          <cell r="R365"/>
          <cell r="S365"/>
          <cell r="AB365"/>
          <cell r="AC365"/>
          <cell r="AD365"/>
          <cell r="AE365"/>
        </row>
        <row r="366">
          <cell r="C366"/>
          <cell r="P366"/>
          <cell r="R366"/>
          <cell r="S366"/>
          <cell r="AB366"/>
          <cell r="AC366"/>
          <cell r="AD366"/>
          <cell r="AE366"/>
        </row>
        <row r="367">
          <cell r="C367"/>
          <cell r="P367"/>
          <cell r="R367"/>
          <cell r="S367"/>
          <cell r="AB367"/>
          <cell r="AC367"/>
          <cell r="AD367"/>
          <cell r="AE367"/>
        </row>
        <row r="368">
          <cell r="C368"/>
          <cell r="P368"/>
          <cell r="R368"/>
          <cell r="S368"/>
          <cell r="AB368"/>
          <cell r="AC368"/>
          <cell r="AD368"/>
          <cell r="AE368"/>
        </row>
        <row r="369">
          <cell r="C369"/>
          <cell r="P369"/>
          <cell r="R369"/>
          <cell r="S369"/>
          <cell r="AB369"/>
          <cell r="AC369"/>
          <cell r="AD369"/>
          <cell r="AE369"/>
        </row>
        <row r="370">
          <cell r="C370"/>
          <cell r="P370"/>
          <cell r="R370"/>
          <cell r="S370"/>
          <cell r="AB370"/>
          <cell r="AC370"/>
          <cell r="AD370"/>
          <cell r="AE370"/>
        </row>
        <row r="371">
          <cell r="C371"/>
          <cell r="P371"/>
          <cell r="R371"/>
          <cell r="S371"/>
          <cell r="AB371"/>
          <cell r="AC371"/>
          <cell r="AD371"/>
          <cell r="AE371"/>
        </row>
        <row r="372">
          <cell r="C372"/>
          <cell r="P372"/>
          <cell r="R372"/>
          <cell r="S372"/>
          <cell r="AB372"/>
          <cell r="AC372"/>
          <cell r="AD372"/>
          <cell r="AE372"/>
        </row>
        <row r="373">
          <cell r="C373"/>
          <cell r="P373"/>
          <cell r="R373"/>
          <cell r="S373"/>
          <cell r="AB373"/>
          <cell r="AC373"/>
          <cell r="AD373"/>
          <cell r="AE373"/>
        </row>
        <row r="374">
          <cell r="C374"/>
          <cell r="P374"/>
          <cell r="R374"/>
          <cell r="S374"/>
          <cell r="AB374"/>
          <cell r="AC374"/>
          <cell r="AD374"/>
          <cell r="AE374"/>
        </row>
        <row r="375">
          <cell r="C375"/>
          <cell r="P375"/>
          <cell r="R375"/>
          <cell r="S375"/>
          <cell r="AB375"/>
          <cell r="AC375"/>
          <cell r="AD375"/>
          <cell r="AE375"/>
        </row>
        <row r="376">
          <cell r="C376"/>
          <cell r="P376"/>
          <cell r="R376"/>
          <cell r="S376"/>
          <cell r="AB376"/>
          <cell r="AC376"/>
          <cell r="AD376"/>
          <cell r="AE376"/>
        </row>
        <row r="377">
          <cell r="C377"/>
          <cell r="P377"/>
          <cell r="R377"/>
          <cell r="S377"/>
          <cell r="AB377"/>
          <cell r="AC377"/>
          <cell r="AD377"/>
          <cell r="AE377"/>
        </row>
        <row r="378">
          <cell r="C378"/>
          <cell r="P378"/>
          <cell r="R378"/>
          <cell r="S378"/>
          <cell r="AB378"/>
          <cell r="AC378"/>
          <cell r="AD378"/>
          <cell r="AE378"/>
        </row>
        <row r="379">
          <cell r="C379"/>
          <cell r="P379"/>
          <cell r="R379"/>
          <cell r="S379"/>
          <cell r="AB379"/>
          <cell r="AC379"/>
          <cell r="AD379"/>
          <cell r="AE379"/>
        </row>
        <row r="380">
          <cell r="C380"/>
          <cell r="P380"/>
          <cell r="R380"/>
          <cell r="S380"/>
          <cell r="AB380"/>
          <cell r="AC380"/>
          <cell r="AD380"/>
          <cell r="AE380"/>
        </row>
        <row r="381">
          <cell r="C381"/>
          <cell r="P381"/>
          <cell r="R381"/>
          <cell r="S381"/>
          <cell r="AB381"/>
          <cell r="AC381"/>
          <cell r="AD381"/>
          <cell r="AE381"/>
        </row>
        <row r="382">
          <cell r="C382"/>
          <cell r="P382"/>
          <cell r="R382"/>
          <cell r="S382"/>
          <cell r="AB382"/>
          <cell r="AC382"/>
          <cell r="AD382"/>
          <cell r="AE382"/>
        </row>
        <row r="383">
          <cell r="C383"/>
          <cell r="P383"/>
          <cell r="R383"/>
          <cell r="S383"/>
          <cell r="AB383"/>
          <cell r="AC383"/>
          <cell r="AD383"/>
          <cell r="AE383"/>
        </row>
        <row r="384">
          <cell r="C384"/>
          <cell r="P384"/>
          <cell r="R384"/>
          <cell r="S384"/>
          <cell r="AB384"/>
          <cell r="AC384"/>
          <cell r="AD384"/>
          <cell r="AE384"/>
        </row>
        <row r="385">
          <cell r="C385"/>
          <cell r="P385"/>
          <cell r="R385"/>
          <cell r="S385"/>
          <cell r="AB385"/>
          <cell r="AC385"/>
          <cell r="AD385"/>
          <cell r="AE385"/>
        </row>
        <row r="386">
          <cell r="C386"/>
          <cell r="P386"/>
          <cell r="R386"/>
          <cell r="S386"/>
          <cell r="AB386"/>
          <cell r="AC386"/>
          <cell r="AD386"/>
          <cell r="AE386"/>
        </row>
        <row r="387">
          <cell r="C387"/>
          <cell r="P387"/>
          <cell r="R387"/>
          <cell r="S387"/>
          <cell r="AB387"/>
          <cell r="AC387"/>
          <cell r="AD387"/>
          <cell r="AE387"/>
        </row>
        <row r="388">
          <cell r="C388"/>
          <cell r="P388"/>
          <cell r="R388"/>
          <cell r="S388"/>
          <cell r="AB388"/>
          <cell r="AC388"/>
          <cell r="AD388"/>
          <cell r="AE388"/>
        </row>
        <row r="389">
          <cell r="C389"/>
          <cell r="P389"/>
          <cell r="R389"/>
          <cell r="S389"/>
          <cell r="AB389"/>
          <cell r="AC389"/>
          <cell r="AD389"/>
          <cell r="AE389"/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ors List"/>
      <sheetName val="Amount to distribute"/>
      <sheetName val="Invetments"/>
      <sheetName val="Distribution"/>
      <sheetName val="Sheet9"/>
      <sheetName val="WHT Apr19-Mar 20"/>
      <sheetName val="Same Investor"/>
      <sheetName val="Profit Allocation"/>
      <sheetName val="Investors ID"/>
      <sheetName val="Personal ID"/>
    </sheetNames>
    <sheetDataSet>
      <sheetData sheetId="0" refreshError="1"/>
      <sheetData sheetId="1" refreshError="1"/>
      <sheetData sheetId="2" refreshError="1"/>
      <sheetData sheetId="3" refreshError="1">
        <row r="1">
          <cell r="S1" t="str">
            <v>2019 Tax</v>
          </cell>
          <cell r="Z1" t="str">
            <v>2020 Tax</v>
          </cell>
        </row>
        <row r="2">
          <cell r="A2" t="str">
            <v>Investors' ID</v>
          </cell>
          <cell r="B2" t="str">
            <v>LP</v>
          </cell>
          <cell r="C2" t="str">
            <v>Investors' Personal  ID/RN (Text)</v>
          </cell>
          <cell r="D2" t="str">
            <v>Investors' Personal  ID/RN</v>
          </cell>
          <cell r="E2" t="str">
            <v>Company Name (optional)</v>
          </cell>
          <cell r="F2" t="str">
            <v>Hebrew Name</v>
          </cell>
          <cell r="G2" t="str">
            <v>Closing</v>
          </cell>
          <cell r="H2" t="str">
            <v>IRA</v>
          </cell>
          <cell r="I2" t="str">
            <v>Commitment  Amount</v>
          </cell>
          <cell r="J2" t="str">
            <v>Ratio From all Investors</v>
          </cell>
          <cell r="K2" t="str">
            <v>Ratio From 2019 Investors</v>
          </cell>
          <cell r="L2" t="str">
            <v>Ratio From 2020 Investors</v>
          </cell>
          <cell r="M2" t="str">
            <v>Distribution Amount Interest 2019</v>
          </cell>
          <cell r="N2" t="str">
            <v>Distribution Amount Interest 2020</v>
          </cell>
          <cell r="O2" t="str">
            <v>Distribution Amount Principal</v>
          </cell>
          <cell r="P2" t="str">
            <v>Total Distribution</v>
          </cell>
          <cell r="Q2" t="str">
            <v>Principal Allocated to 2019</v>
          </cell>
          <cell r="R2" t="str">
            <v>Total 2019 Payment</v>
          </cell>
          <cell r="S2" t="str">
            <v>Tax (25%)</v>
          </cell>
          <cell r="T2" t="str">
            <v>WHT Allocation</v>
          </cell>
          <cell r="U2" t="str">
            <v>WHT</v>
          </cell>
          <cell r="V2" t="str">
            <v>Tax Payment, net</v>
          </cell>
          <cell r="W2" t="str">
            <v>WHT Exemption</v>
          </cell>
          <cell r="X2" t="str">
            <v>Tax Refund (IRA and exempted Investors will receive from the tax authorities)</v>
          </cell>
          <cell r="Y2" t="str">
            <v>Total Tax Withheld</v>
          </cell>
          <cell r="Z2" t="str">
            <v>Tax (25%)</v>
          </cell>
          <cell r="AA2" t="str">
            <v>WHT Allocation</v>
          </cell>
          <cell r="AB2" t="str">
            <v>WHT</v>
          </cell>
          <cell r="AC2" t="str">
            <v>Tax Payment, net</v>
          </cell>
          <cell r="AD2" t="str">
            <v>WHT Exemption</v>
          </cell>
          <cell r="AE2" t="str">
            <v>Tax Refund (IRA and exempted Investors will receive from the tax authorities)</v>
          </cell>
          <cell r="AF2" t="str">
            <v>Total Tax Withheld</v>
          </cell>
          <cell r="AG2" t="str">
            <v>Net Distribution</v>
          </cell>
          <cell r="AH2" t="str">
            <v>Payment 1 - April 2019</v>
          </cell>
          <cell r="AI2" t="str">
            <v>Payment 2 -
 August 2019</v>
          </cell>
          <cell r="AJ2" t="str">
            <v>Payment 3 -
 January 2020</v>
          </cell>
          <cell r="AK2" t="str">
            <v>Payment 4 -"CatchUp"
March 1st 2020</v>
          </cell>
          <cell r="AL2" t="str">
            <v>Payment 5 -"4th Call"
March 12th 2020</v>
          </cell>
          <cell r="AM2" t="str">
            <v xml:space="preserve">% From Capital Call represents Yearly % </v>
          </cell>
          <cell r="AO2" t="str">
            <v>A- Distribution</v>
          </cell>
          <cell r="AP2" t="str">
            <v xml:space="preserve">B- Distribution Tax Withholding </v>
          </cell>
          <cell r="AQ2" t="str">
            <v>C- Net Payment</v>
          </cell>
          <cell r="AR2" t="str">
            <v>D- 2019 Tax Withholding for the LP benefit</v>
          </cell>
          <cell r="AS2" t="str">
            <v>E- 2020 Tax Withholding for the LP benefit</v>
          </cell>
        </row>
        <row r="3">
          <cell r="A3" t="str">
            <v>8160-01-100</v>
          </cell>
          <cell r="B3" t="str">
            <v>Orna Hazan</v>
          </cell>
          <cell r="C3" t="str">
            <v>052595188</v>
          </cell>
          <cell r="D3">
            <v>52595188</v>
          </cell>
          <cell r="F3" t="str">
            <v>אורנה אריאן תירוש חזן</v>
          </cell>
          <cell r="G3" t="str">
            <v>I</v>
          </cell>
          <cell r="I3">
            <v>350000</v>
          </cell>
          <cell r="J3">
            <v>4.7433626025459091E-3</v>
          </cell>
          <cell r="K3">
            <v>6.8223039516909145E-3</v>
          </cell>
          <cell r="M3">
            <v>7217.9975808889876</v>
          </cell>
          <cell r="N3">
            <v>846.54893189450445</v>
          </cell>
          <cell r="O3">
            <v>2055.9113235817158</v>
          </cell>
          <cell r="P3">
            <v>10120.457836365207</v>
          </cell>
          <cell r="Q3">
            <v>538.86855596506655</v>
          </cell>
          <cell r="R3">
            <v>7756.8661368540543</v>
          </cell>
          <cell r="S3">
            <v>1804.4993952222469</v>
          </cell>
          <cell r="T3">
            <v>1016.4815021902422</v>
          </cell>
          <cell r="U3">
            <v>-1016.4815021902422</v>
          </cell>
          <cell r="V3">
            <v>788.01789303200474</v>
          </cell>
          <cell r="W3" t="str">
            <v>X</v>
          </cell>
          <cell r="Y3">
            <v>1804.4993952222469</v>
          </cell>
          <cell r="Z3">
            <v>211.63723297362611</v>
          </cell>
          <cell r="AA3">
            <v>97.860489678340826</v>
          </cell>
          <cell r="AB3">
            <v>-97.860489678340826</v>
          </cell>
          <cell r="AC3">
            <v>113.77674329528529</v>
          </cell>
          <cell r="AD3" t="str">
            <v>X</v>
          </cell>
          <cell r="AF3">
            <v>211.63723297362611</v>
          </cell>
          <cell r="AG3">
            <v>9218.6632000379159</v>
          </cell>
          <cell r="AH3">
            <v>116666.66619999999</v>
          </cell>
          <cell r="AI3">
            <v>67060.349999999991</v>
          </cell>
          <cell r="AJ3">
            <v>14875</v>
          </cell>
          <cell r="AK3">
            <v>0</v>
          </cell>
          <cell r="AL3">
            <v>46414</v>
          </cell>
          <cell r="AM3">
            <v>4.1275622522196152E-2</v>
          </cell>
          <cell r="AO3">
            <v>10120.457836365207</v>
          </cell>
          <cell r="AP3">
            <v>901.79463632729005</v>
          </cell>
          <cell r="AQ3">
            <v>9218.6632000379159</v>
          </cell>
          <cell r="AR3">
            <v>1804.4993952222469</v>
          </cell>
          <cell r="AS3">
            <v>211.63723297362611</v>
          </cell>
          <cell r="AY3">
            <v>19.359192720079623</v>
          </cell>
          <cell r="AZ3">
            <v>19.359192720079623</v>
          </cell>
          <cell r="BA3">
            <v>35</v>
          </cell>
        </row>
        <row r="4">
          <cell r="A4" t="str">
            <v>8160-01-101</v>
          </cell>
          <cell r="B4" t="str">
            <v>Arik Aberjel</v>
          </cell>
          <cell r="C4" t="str">
            <v>032358285</v>
          </cell>
          <cell r="D4">
            <v>32358285</v>
          </cell>
          <cell r="F4" t="str">
            <v>אריה אברגל</v>
          </cell>
          <cell r="G4" t="str">
            <v>I</v>
          </cell>
          <cell r="I4">
            <v>250000</v>
          </cell>
          <cell r="J4">
            <v>3.3881161446756495E-3</v>
          </cell>
          <cell r="K4">
            <v>4.8730742512077966E-3</v>
          </cell>
          <cell r="M4">
            <v>5155.7125577778488</v>
          </cell>
          <cell r="N4">
            <v>604.6778084960747</v>
          </cell>
          <cell r="O4">
            <v>1468.5080882726543</v>
          </cell>
          <cell r="P4">
            <v>7228.8984545465773</v>
          </cell>
          <cell r="Q4">
            <v>384.90611140361898</v>
          </cell>
          <cell r="R4">
            <v>5540.6186691814673</v>
          </cell>
          <cell r="S4">
            <v>1288.9281394444622</v>
          </cell>
          <cell r="T4">
            <v>726.05821585017304</v>
          </cell>
          <cell r="U4">
            <v>-726.05821585017304</v>
          </cell>
          <cell r="V4">
            <v>562.86992359428916</v>
          </cell>
          <cell r="W4" t="str">
            <v>X</v>
          </cell>
          <cell r="Y4">
            <v>1288.9281394444622</v>
          </cell>
          <cell r="Z4">
            <v>151.16945212401868</v>
          </cell>
          <cell r="AA4">
            <v>69.900349770243452</v>
          </cell>
          <cell r="AB4">
            <v>-69.900349770243452</v>
          </cell>
          <cell r="AC4">
            <v>81.269102353775224</v>
          </cell>
          <cell r="AD4" t="str">
            <v>X</v>
          </cell>
          <cell r="AF4">
            <v>151.16945212401868</v>
          </cell>
          <cell r="AG4">
            <v>6584.7594285985124</v>
          </cell>
          <cell r="AH4">
            <v>83333.332999999999</v>
          </cell>
          <cell r="AI4">
            <v>47900.25</v>
          </cell>
          <cell r="AJ4">
            <v>10625</v>
          </cell>
          <cell r="AK4">
            <v>0</v>
          </cell>
          <cell r="AL4">
            <v>33153</v>
          </cell>
          <cell r="AM4">
            <v>4.1275618124891722E-2</v>
          </cell>
          <cell r="AO4">
            <v>7228.8984545465773</v>
          </cell>
          <cell r="AP4">
            <v>644.13902594806439</v>
          </cell>
          <cell r="AQ4">
            <v>6584.7594285985124</v>
          </cell>
          <cell r="AR4">
            <v>1288.9281394444622</v>
          </cell>
          <cell r="AS4">
            <v>151.16945212401868</v>
          </cell>
          <cell r="AY4">
            <v>13.827994800056874</v>
          </cell>
          <cell r="AZ4">
            <v>18</v>
          </cell>
          <cell r="BA4">
            <v>35</v>
          </cell>
        </row>
        <row r="5">
          <cell r="A5" t="str">
            <v>8160-01-103</v>
          </cell>
          <cell r="B5" t="str">
            <v>Boaz Goldman</v>
          </cell>
          <cell r="C5" t="str">
            <v>023860315</v>
          </cell>
          <cell r="D5">
            <v>23860315</v>
          </cell>
          <cell r="F5" t="str">
            <v>בועז גולדמן</v>
          </cell>
          <cell r="G5" t="str">
            <v>I</v>
          </cell>
          <cell r="I5">
            <v>250000</v>
          </cell>
          <cell r="J5">
            <v>3.3881161446756495E-3</v>
          </cell>
          <cell r="K5">
            <v>4.8730742512077966E-3</v>
          </cell>
          <cell r="M5">
            <v>5155.7125577778488</v>
          </cell>
          <cell r="N5">
            <v>604.6778084960747</v>
          </cell>
          <cell r="O5">
            <v>1468.5080882726543</v>
          </cell>
          <cell r="P5">
            <v>7228.8984545465773</v>
          </cell>
          <cell r="Q5">
            <v>384.90611140361898</v>
          </cell>
          <cell r="R5">
            <v>5540.6186691814673</v>
          </cell>
          <cell r="S5">
            <v>1288.9281394444622</v>
          </cell>
          <cell r="T5">
            <v>726.05821585017304</v>
          </cell>
          <cell r="U5">
            <v>-726.05821585017304</v>
          </cell>
          <cell r="V5">
            <v>562.86992359428916</v>
          </cell>
          <cell r="W5" t="str">
            <v>X</v>
          </cell>
          <cell r="Y5">
            <v>1288.9281394444622</v>
          </cell>
          <cell r="Z5">
            <v>151.16945212401868</v>
          </cell>
          <cell r="AA5">
            <v>69.900349770243452</v>
          </cell>
          <cell r="AB5">
            <v>-69.900349770243452</v>
          </cell>
          <cell r="AC5">
            <v>81.269102353775224</v>
          </cell>
          <cell r="AD5" t="str">
            <v>X</v>
          </cell>
          <cell r="AF5">
            <v>151.16945212401868</v>
          </cell>
          <cell r="AG5">
            <v>6584.7594285985124</v>
          </cell>
          <cell r="AH5">
            <v>83333.332999999999</v>
          </cell>
          <cell r="AI5">
            <v>47900.25</v>
          </cell>
          <cell r="AJ5">
            <v>10625</v>
          </cell>
          <cell r="AK5">
            <v>0</v>
          </cell>
          <cell r="AL5">
            <v>33153</v>
          </cell>
          <cell r="AM5">
            <v>4.1275618124891722E-2</v>
          </cell>
          <cell r="AO5">
            <v>7228.8984545465773</v>
          </cell>
          <cell r="AP5">
            <v>644.13902594806439</v>
          </cell>
          <cell r="AQ5">
            <v>6584.7594285985124</v>
          </cell>
          <cell r="AR5">
            <v>1288.9281394444622</v>
          </cell>
          <cell r="AS5">
            <v>151.16945212401868</v>
          </cell>
          <cell r="AW5" t="str">
            <v>Index חריגים</v>
          </cell>
          <cell r="AY5">
            <v>13.827994800056874</v>
          </cell>
          <cell r="AZ5">
            <v>18</v>
          </cell>
          <cell r="BA5">
            <v>35</v>
          </cell>
        </row>
        <row r="6">
          <cell r="A6" t="str">
            <v>8160-01-104</v>
          </cell>
          <cell r="B6" t="str">
            <v>BPF Investments LLC</v>
          </cell>
          <cell r="C6" t="str">
            <v>46-4986191</v>
          </cell>
          <cell r="D6" t="str">
            <v>46-4986191</v>
          </cell>
          <cell r="E6" t="str">
            <v>BPF Investments LLC</v>
          </cell>
          <cell r="G6" t="str">
            <v>I</v>
          </cell>
          <cell r="I6">
            <v>1000000</v>
          </cell>
          <cell r="J6">
            <v>1.3552464578702598E-2</v>
          </cell>
          <cell r="K6">
            <v>1.9492297004831186E-2</v>
          </cell>
          <cell r="M6">
            <v>20622.850231111395</v>
          </cell>
          <cell r="N6">
            <v>2418.7112339842988</v>
          </cell>
          <cell r="O6">
            <v>5874.0323530906171</v>
          </cell>
          <cell r="P6">
            <v>28915.593818186309</v>
          </cell>
          <cell r="Q6">
            <v>1539.6244456144759</v>
          </cell>
          <cell r="R6">
            <v>22162.474676725869</v>
          </cell>
          <cell r="S6">
            <v>5155.7125577778488</v>
          </cell>
          <cell r="T6">
            <v>2904.2328634006922</v>
          </cell>
          <cell r="U6">
            <v>-2904.2328634006922</v>
          </cell>
          <cell r="V6">
            <v>2251.4796943771566</v>
          </cell>
          <cell r="W6" t="str">
            <v>X</v>
          </cell>
          <cell r="Y6">
            <v>5155.7125577778488</v>
          </cell>
          <cell r="Z6">
            <v>604.6778084960747</v>
          </cell>
          <cell r="AA6">
            <v>279.60139908097381</v>
          </cell>
          <cell r="AB6">
            <v>-279.60139908097381</v>
          </cell>
          <cell r="AC6">
            <v>325.0764094151009</v>
          </cell>
          <cell r="AD6" t="str">
            <v>X</v>
          </cell>
          <cell r="AF6">
            <v>604.6778084960747</v>
          </cell>
          <cell r="AG6">
            <v>26339.03771439405</v>
          </cell>
          <cell r="AH6" t="e">
            <v>#N/A</v>
          </cell>
          <cell r="AI6" t="e">
            <v>#N/A</v>
          </cell>
          <cell r="AJ6" t="e">
            <v>#N/A</v>
          </cell>
          <cell r="AK6" t="e">
            <v>#N/A</v>
          </cell>
          <cell r="AL6" t="e">
            <v>#N/A</v>
          </cell>
          <cell r="AM6" t="e">
            <v>#N/A</v>
          </cell>
          <cell r="AO6">
            <v>28915.593818186309</v>
          </cell>
          <cell r="AP6">
            <v>2576.5561037922575</v>
          </cell>
          <cell r="AQ6">
            <v>26339.03771439405</v>
          </cell>
          <cell r="AR6">
            <v>5155.7125577778488</v>
          </cell>
          <cell r="AS6">
            <v>604.6778084960747</v>
          </cell>
          <cell r="AW6" t="str">
            <v>טרם העביר קריאה אחרונה ובסכנת דיפולטינג / הקטנה  והעביר קריאות קודמות</v>
          </cell>
          <cell r="AY6">
            <v>55.311979200227498</v>
          </cell>
          <cell r="AZ6">
            <v>55.311979200227498</v>
          </cell>
          <cell r="BA6">
            <v>35</v>
          </cell>
        </row>
        <row r="7">
          <cell r="A7" t="str">
            <v>8160-01-105</v>
          </cell>
          <cell r="B7" t="str">
            <v>Daniel Itzhaki</v>
          </cell>
          <cell r="C7" t="str">
            <v>054029095</v>
          </cell>
          <cell r="D7">
            <v>54029095</v>
          </cell>
          <cell r="F7" t="str">
            <v>דניאל יצחקי</v>
          </cell>
          <cell r="G7" t="str">
            <v>I</v>
          </cell>
          <cell r="I7">
            <v>250000</v>
          </cell>
          <cell r="J7">
            <v>3.3881161446756495E-3</v>
          </cell>
          <cell r="K7">
            <v>4.8730742512077966E-3</v>
          </cell>
          <cell r="M7">
            <v>5155.7125577778488</v>
          </cell>
          <cell r="N7">
            <v>604.6778084960747</v>
          </cell>
          <cell r="O7">
            <v>1468.5080882726543</v>
          </cell>
          <cell r="P7">
            <v>7228.8984545465773</v>
          </cell>
          <cell r="Q7">
            <v>384.90611140361898</v>
          </cell>
          <cell r="R7">
            <v>5540.6186691814673</v>
          </cell>
          <cell r="S7">
            <v>1288.9281394444622</v>
          </cell>
          <cell r="T7">
            <v>726.05821585017304</v>
          </cell>
          <cell r="U7">
            <v>-726.05821585017304</v>
          </cell>
          <cell r="V7">
            <v>562.86992359428916</v>
          </cell>
          <cell r="W7" t="str">
            <v>ע"פ תקנות'</v>
          </cell>
          <cell r="Y7">
            <v>1288.9281394444622</v>
          </cell>
          <cell r="Z7">
            <v>151.16945212401868</v>
          </cell>
          <cell r="AA7">
            <v>69.900349770243452</v>
          </cell>
          <cell r="AB7">
            <v>-69.900349770243452</v>
          </cell>
          <cell r="AC7">
            <v>81.269102353775224</v>
          </cell>
          <cell r="AD7" t="str">
            <v>ע"פ תקנות'</v>
          </cell>
          <cell r="AF7">
            <v>151.16945212401868</v>
          </cell>
          <cell r="AG7">
            <v>6584.7594285985124</v>
          </cell>
          <cell r="AH7">
            <v>83333.332999999999</v>
          </cell>
          <cell r="AI7">
            <v>47900.25</v>
          </cell>
          <cell r="AJ7">
            <v>10628</v>
          </cell>
          <cell r="AK7">
            <v>0</v>
          </cell>
          <cell r="AL7">
            <v>33150.5</v>
          </cell>
          <cell r="AM7">
            <v>4.1275423480442823E-2</v>
          </cell>
          <cell r="AO7">
            <v>7228.8984545465773</v>
          </cell>
          <cell r="AP7">
            <v>644.13902594806439</v>
          </cell>
          <cell r="AQ7">
            <v>6584.7594285985124</v>
          </cell>
          <cell r="AR7">
            <v>1288.9281394444622</v>
          </cell>
          <cell r="AS7">
            <v>151.16945212401868</v>
          </cell>
          <cell r="AW7" t="str">
            <v xml:space="preserve">טרם העביר כספים  - טכני ולא בסכנת דיפולטינג </v>
          </cell>
          <cell r="AY7">
            <v>13.827994800056874</v>
          </cell>
          <cell r="AZ7">
            <v>18</v>
          </cell>
          <cell r="BA7">
            <v>35</v>
          </cell>
        </row>
        <row r="8">
          <cell r="A8" t="str">
            <v>8160-01-107</v>
          </cell>
          <cell r="B8" t="str">
            <v>Eran Tamari</v>
          </cell>
          <cell r="C8" t="str">
            <v>059742098</v>
          </cell>
          <cell r="D8">
            <v>59742098</v>
          </cell>
          <cell r="F8" t="str">
            <v>ערן תמרי</v>
          </cell>
          <cell r="G8" t="str">
            <v>I</v>
          </cell>
          <cell r="I8">
            <v>250000</v>
          </cell>
          <cell r="J8">
            <v>3.3881161446756495E-3</v>
          </cell>
          <cell r="K8">
            <v>4.8730742512077966E-3</v>
          </cell>
          <cell r="M8">
            <v>5155.7125577778488</v>
          </cell>
          <cell r="N8">
            <v>604.6778084960747</v>
          </cell>
          <cell r="O8">
            <v>1468.5080882726543</v>
          </cell>
          <cell r="P8">
            <v>7228.8984545465773</v>
          </cell>
          <cell r="Q8">
            <v>384.90611140361898</v>
          </cell>
          <cell r="R8">
            <v>5540.6186691814673</v>
          </cell>
          <cell r="S8">
            <v>1288.9281394444622</v>
          </cell>
          <cell r="T8">
            <v>726.05821585017304</v>
          </cell>
          <cell r="U8">
            <v>-726.05821585017304</v>
          </cell>
          <cell r="V8">
            <v>562.86992359428916</v>
          </cell>
          <cell r="W8" t="str">
            <v>ע"פ תקנות'</v>
          </cell>
          <cell r="Y8">
            <v>1288.9281394444622</v>
          </cell>
          <cell r="Z8">
            <v>151.16945212401868</v>
          </cell>
          <cell r="AA8">
            <v>69.900349770243452</v>
          </cell>
          <cell r="AB8">
            <v>-69.900349770243452</v>
          </cell>
          <cell r="AC8">
            <v>81.269102353775224</v>
          </cell>
          <cell r="AD8" t="str">
            <v>ע"פ תקנות'</v>
          </cell>
          <cell r="AF8">
            <v>151.16945212401868</v>
          </cell>
          <cell r="AG8">
            <v>6584.7594285985124</v>
          </cell>
          <cell r="AH8">
            <v>83333.332999999999</v>
          </cell>
          <cell r="AI8">
            <v>47900.25</v>
          </cell>
          <cell r="AJ8">
            <v>10625</v>
          </cell>
          <cell r="AK8">
            <v>0</v>
          </cell>
          <cell r="AL8">
            <v>33153</v>
          </cell>
          <cell r="AM8">
            <v>4.1275618124891722E-2</v>
          </cell>
          <cell r="AO8">
            <v>7228.8984545465773</v>
          </cell>
          <cell r="AP8">
            <v>644.13902594806439</v>
          </cell>
          <cell r="AQ8">
            <v>6584.7594285985124</v>
          </cell>
          <cell r="AR8">
            <v>1288.9281394444622</v>
          </cell>
          <cell r="AS8">
            <v>151.16945212401868</v>
          </cell>
          <cell r="AW8" t="str">
            <v>טרם העביר כספים - סגירה ששית</v>
          </cell>
          <cell r="AY8">
            <v>13.827994800056874</v>
          </cell>
          <cell r="AZ8">
            <v>18</v>
          </cell>
          <cell r="BA8">
            <v>35</v>
          </cell>
        </row>
        <row r="9">
          <cell r="A9" t="str">
            <v>8160-01-108</v>
          </cell>
          <cell r="B9" t="str">
            <v>Hanan Weiss</v>
          </cell>
          <cell r="C9" t="str">
            <v>041159559</v>
          </cell>
          <cell r="D9">
            <v>41159559</v>
          </cell>
          <cell r="F9" t="str">
            <v>חנן ווייס</v>
          </cell>
          <cell r="G9" t="str">
            <v>I</v>
          </cell>
          <cell r="I9">
            <v>250000</v>
          </cell>
          <cell r="J9">
            <v>3.3881161446756495E-3</v>
          </cell>
          <cell r="K9">
            <v>4.8730742512077966E-3</v>
          </cell>
          <cell r="M9">
            <v>5155.7125577778488</v>
          </cell>
          <cell r="N9">
            <v>604.6778084960747</v>
          </cell>
          <cell r="O9">
            <v>1468.5080882726543</v>
          </cell>
          <cell r="P9">
            <v>7228.8984545465773</v>
          </cell>
          <cell r="Q9">
            <v>384.90611140361898</v>
          </cell>
          <cell r="R9">
            <v>5540.6186691814673</v>
          </cell>
          <cell r="S9">
            <v>1288.9281394444622</v>
          </cell>
          <cell r="T9">
            <v>726.05821585017304</v>
          </cell>
          <cell r="U9">
            <v>-726.05821585017304</v>
          </cell>
          <cell r="V9">
            <v>562.86992359428916</v>
          </cell>
          <cell r="W9" t="str">
            <v>ע"פ תקנות'</v>
          </cell>
          <cell r="Y9">
            <v>1288.9281394444622</v>
          </cell>
          <cell r="Z9">
            <v>151.16945212401868</v>
          </cell>
          <cell r="AA9">
            <v>69.900349770243452</v>
          </cell>
          <cell r="AB9">
            <v>-69.900349770243452</v>
          </cell>
          <cell r="AC9">
            <v>81.269102353775224</v>
          </cell>
          <cell r="AD9" t="str">
            <v>ע"פ תקנות'</v>
          </cell>
          <cell r="AF9">
            <v>151.16945212401868</v>
          </cell>
          <cell r="AG9">
            <v>6584.7594285985124</v>
          </cell>
          <cell r="AH9">
            <v>83333.332999999999</v>
          </cell>
          <cell r="AI9">
            <v>47900.25</v>
          </cell>
          <cell r="AJ9">
            <v>10625</v>
          </cell>
          <cell r="AK9">
            <v>0</v>
          </cell>
          <cell r="AL9">
            <v>33150.5</v>
          </cell>
          <cell r="AM9">
            <v>4.127569507785462E-2</v>
          </cell>
          <cell r="AO9">
            <v>7228.8984545465773</v>
          </cell>
          <cell r="AP9">
            <v>644.13902594806439</v>
          </cell>
          <cell r="AQ9">
            <v>6584.7594285985124</v>
          </cell>
          <cell r="AR9">
            <v>1288.9281394444622</v>
          </cell>
          <cell r="AS9">
            <v>151.16945212401868</v>
          </cell>
          <cell r="AW9" t="str">
            <v>טרם העביר כספים - סכנת דיפולטינג</v>
          </cell>
          <cell r="AY9">
            <v>13.827994800056874</v>
          </cell>
          <cell r="AZ9">
            <v>18</v>
          </cell>
          <cell r="BA9">
            <v>35</v>
          </cell>
        </row>
        <row r="10">
          <cell r="A10" t="str">
            <v>8160-01-109</v>
          </cell>
          <cell r="B10" t="str">
            <v>Inwood Investment Group Limited</v>
          </cell>
          <cell r="C10" t="str">
            <v>175 3862</v>
          </cell>
          <cell r="D10" t="str">
            <v>175 3862</v>
          </cell>
          <cell r="E10" t="str">
            <v>Inwood Investment Group Limited</v>
          </cell>
          <cell r="G10" t="str">
            <v>I</v>
          </cell>
          <cell r="I10">
            <v>775000</v>
          </cell>
          <cell r="J10">
            <v>1.0503160048494513E-2</v>
          </cell>
          <cell r="K10">
            <v>1.5106530178744169E-2</v>
          </cell>
          <cell r="M10">
            <v>15982.70892911133</v>
          </cell>
          <cell r="N10">
            <v>1874.5012063378313</v>
          </cell>
          <cell r="O10">
            <v>4552.3750736452275</v>
          </cell>
          <cell r="P10">
            <v>22409.585209094388</v>
          </cell>
          <cell r="Q10">
            <v>1193.2089453512187</v>
          </cell>
          <cell r="R10">
            <v>17175.91787446255</v>
          </cell>
          <cell r="S10">
            <v>3995.6772322778324</v>
          </cell>
          <cell r="T10">
            <v>2250.7804691355364</v>
          </cell>
          <cell r="U10">
            <v>-2250.7804691355364</v>
          </cell>
          <cell r="V10">
            <v>1744.8967631422961</v>
          </cell>
          <cell r="W10" t="str">
            <v>X</v>
          </cell>
          <cell r="Y10">
            <v>3995.6772322778324</v>
          </cell>
          <cell r="Z10">
            <v>468.62530158445782</v>
          </cell>
          <cell r="AA10">
            <v>216.69108428775471</v>
          </cell>
          <cell r="AB10">
            <v>-216.69108428775471</v>
          </cell>
          <cell r="AC10">
            <v>251.93421729670311</v>
          </cell>
          <cell r="AD10" t="str">
            <v>X</v>
          </cell>
          <cell r="AF10">
            <v>468.62530158445782</v>
          </cell>
          <cell r="AG10">
            <v>20412.754228655387</v>
          </cell>
          <cell r="AH10" t="e">
            <v>#N/A</v>
          </cell>
          <cell r="AI10" t="e">
            <v>#N/A</v>
          </cell>
          <cell r="AJ10" t="e">
            <v>#N/A</v>
          </cell>
          <cell r="AK10" t="e">
            <v>#N/A</v>
          </cell>
          <cell r="AL10" t="e">
            <v>#N/A</v>
          </cell>
          <cell r="AM10" t="e">
            <v>#N/A</v>
          </cell>
          <cell r="AO10">
            <v>22409.585209094388</v>
          </cell>
          <cell r="AP10">
            <v>1996.8309804389992</v>
          </cell>
          <cell r="AQ10">
            <v>20412.754228655387</v>
          </cell>
          <cell r="AR10">
            <v>3995.6772322778324</v>
          </cell>
          <cell r="AS10">
            <v>468.62530158445782</v>
          </cell>
          <cell r="AY10">
            <v>42.866783880176307</v>
          </cell>
          <cell r="AZ10">
            <v>42.866783880176307</v>
          </cell>
          <cell r="BA10">
            <v>35</v>
          </cell>
        </row>
        <row r="11">
          <cell r="A11" t="str">
            <v>8160-01-110</v>
          </cell>
          <cell r="B11" t="str">
            <v>Ira Holtzer</v>
          </cell>
          <cell r="C11" t="str">
            <v>033515081</v>
          </cell>
          <cell r="D11">
            <v>33515081</v>
          </cell>
          <cell r="F11" t="str">
            <v>עירא הולצר</v>
          </cell>
          <cell r="G11" t="str">
            <v>I</v>
          </cell>
          <cell r="I11">
            <v>350000</v>
          </cell>
          <cell r="J11">
            <v>4.7433626025459091E-3</v>
          </cell>
          <cell r="K11">
            <v>6.8223039516909145E-3</v>
          </cell>
          <cell r="M11">
            <v>7217.9975808889876</v>
          </cell>
          <cell r="N11">
            <v>846.54893189450445</v>
          </cell>
          <cell r="O11">
            <v>2055.9113235817158</v>
          </cell>
          <cell r="P11">
            <v>10120.457836365207</v>
          </cell>
          <cell r="Q11">
            <v>538.86855596506655</v>
          </cell>
          <cell r="R11">
            <v>7756.8661368540543</v>
          </cell>
          <cell r="S11">
            <v>1804.4993952222469</v>
          </cell>
          <cell r="T11">
            <v>1016.4815021902422</v>
          </cell>
          <cell r="U11">
            <v>-1016.4815021902422</v>
          </cell>
          <cell r="V11">
            <v>788.01789303200474</v>
          </cell>
          <cell r="W11" t="str">
            <v>X</v>
          </cell>
          <cell r="Y11">
            <v>1804.4993952222469</v>
          </cell>
          <cell r="Z11">
            <v>211.63723297362611</v>
          </cell>
          <cell r="AA11">
            <v>97.860489678340826</v>
          </cell>
          <cell r="AB11">
            <v>-97.860489678340826</v>
          </cell>
          <cell r="AC11">
            <v>113.77674329528529</v>
          </cell>
          <cell r="AD11" t="str">
            <v>X</v>
          </cell>
          <cell r="AF11">
            <v>211.63723297362611</v>
          </cell>
          <cell r="AG11">
            <v>9218.6632000379159</v>
          </cell>
          <cell r="AH11">
            <v>116666.66619999999</v>
          </cell>
          <cell r="AI11">
            <v>67060.349999999991</v>
          </cell>
          <cell r="AJ11">
            <v>14875</v>
          </cell>
          <cell r="AK11">
            <v>0</v>
          </cell>
          <cell r="AL11">
            <v>46414</v>
          </cell>
          <cell r="AM11">
            <v>4.1275622522196152E-2</v>
          </cell>
          <cell r="AO11">
            <v>10120.457836365207</v>
          </cell>
          <cell r="AP11">
            <v>901.79463632729005</v>
          </cell>
          <cell r="AQ11">
            <v>9218.6632000379159</v>
          </cell>
          <cell r="AR11">
            <v>1804.4993952222469</v>
          </cell>
          <cell r="AS11">
            <v>211.63723297362611</v>
          </cell>
          <cell r="AY11">
            <v>19.359192720079623</v>
          </cell>
          <cell r="AZ11">
            <v>19.359192720079623</v>
          </cell>
          <cell r="BA11">
            <v>35</v>
          </cell>
        </row>
        <row r="12">
          <cell r="A12" t="str">
            <v>8160-01-111</v>
          </cell>
          <cell r="B12" t="str">
            <v>Yuval &amp; Yael Lavon</v>
          </cell>
          <cell r="C12" t="str">
            <v>069962553</v>
          </cell>
          <cell r="D12">
            <v>514767490</v>
          </cell>
          <cell r="F12" t="str">
            <v>יעל לבון</v>
          </cell>
          <cell r="G12" t="str">
            <v>I</v>
          </cell>
          <cell r="H12" t="str">
            <v>Kal-Gemel</v>
          </cell>
          <cell r="I12">
            <v>400000</v>
          </cell>
          <cell r="J12">
            <v>5.4209858314810391E-3</v>
          </cell>
          <cell r="K12">
            <v>7.7969188019324743E-3</v>
          </cell>
          <cell r="M12">
            <v>8249.140092444557</v>
          </cell>
          <cell r="N12">
            <v>967.48449359371944</v>
          </cell>
          <cell r="O12">
            <v>2349.6129412362466</v>
          </cell>
          <cell r="P12">
            <v>11566.237527274523</v>
          </cell>
          <cell r="Q12">
            <v>615.84977824579028</v>
          </cell>
          <cell r="R12">
            <v>8864.9898706903477</v>
          </cell>
          <cell r="T12">
            <v>1161.6931453602767</v>
          </cell>
          <cell r="V12">
            <v>0</v>
          </cell>
          <cell r="X12">
            <v>1161.6931453602767</v>
          </cell>
          <cell r="Y12">
            <v>1161.6931453602767</v>
          </cell>
          <cell r="AA12">
            <v>111.84055963238953</v>
          </cell>
          <cell r="AC12">
            <v>0</v>
          </cell>
          <cell r="AE12">
            <v>111.84055963238953</v>
          </cell>
          <cell r="AF12">
            <v>111.84055963238953</v>
          </cell>
          <cell r="AG12">
            <v>11566.237527274523</v>
          </cell>
          <cell r="AH12">
            <v>133333.3328</v>
          </cell>
          <cell r="AI12">
            <v>76640</v>
          </cell>
          <cell r="AJ12">
            <v>17000</v>
          </cell>
          <cell r="AK12">
            <v>0</v>
          </cell>
          <cell r="AL12">
            <v>53045</v>
          </cell>
          <cell r="AM12">
            <v>4.1275669728611603E-2</v>
          </cell>
          <cell r="AO12">
            <v>11566.237527274523</v>
          </cell>
          <cell r="AP12">
            <v>0</v>
          </cell>
          <cell r="AQ12">
            <v>11566.237527274523</v>
          </cell>
          <cell r="AR12">
            <v>1161.6931453602767</v>
          </cell>
          <cell r="AS12">
            <v>111.84055963238953</v>
          </cell>
          <cell r="AY12">
            <v>24.289098807276496</v>
          </cell>
          <cell r="AZ12">
            <v>24.289098807276496</v>
          </cell>
          <cell r="BA12">
            <v>35</v>
          </cell>
        </row>
        <row r="13">
          <cell r="A13" t="str">
            <v>8160-01-112</v>
          </cell>
          <cell r="B13" t="str">
            <v>Yehezkel Flomin</v>
          </cell>
          <cell r="C13" t="str">
            <v>004066379</v>
          </cell>
          <cell r="D13">
            <v>514767490</v>
          </cell>
          <cell r="F13" t="str">
            <v>יחזקאל פלומין</v>
          </cell>
          <cell r="G13" t="str">
            <v>I</v>
          </cell>
          <cell r="H13" t="str">
            <v>Kal-Gemel</v>
          </cell>
          <cell r="I13">
            <v>400000</v>
          </cell>
          <cell r="J13">
            <v>5.4209858314810391E-3</v>
          </cell>
          <cell r="K13">
            <v>7.7969188019324743E-3</v>
          </cell>
          <cell r="M13">
            <v>8249.140092444557</v>
          </cell>
          <cell r="N13">
            <v>967.48449359371944</v>
          </cell>
          <cell r="O13">
            <v>2349.6129412362466</v>
          </cell>
          <cell r="P13">
            <v>11566.237527274523</v>
          </cell>
          <cell r="Q13">
            <v>615.84977824579028</v>
          </cell>
          <cell r="R13">
            <v>8864.9898706903477</v>
          </cell>
          <cell r="T13">
            <v>1161.6931453602767</v>
          </cell>
          <cell r="V13">
            <v>0</v>
          </cell>
          <cell r="X13">
            <v>1161.6931453602767</v>
          </cell>
          <cell r="Y13">
            <v>1161.6931453602767</v>
          </cell>
          <cell r="AA13">
            <v>111.84055963238953</v>
          </cell>
          <cell r="AC13">
            <v>0</v>
          </cell>
          <cell r="AE13">
            <v>111.84055963238953</v>
          </cell>
          <cell r="AF13">
            <v>111.84055963238953</v>
          </cell>
          <cell r="AG13">
            <v>11566.237527274523</v>
          </cell>
          <cell r="AH13">
            <v>133333.3328</v>
          </cell>
          <cell r="AI13">
            <v>76640</v>
          </cell>
          <cell r="AJ13">
            <v>17000</v>
          </cell>
          <cell r="AK13">
            <v>0</v>
          </cell>
          <cell r="AL13">
            <v>53045</v>
          </cell>
          <cell r="AM13">
            <v>4.1275669728611603E-2</v>
          </cell>
          <cell r="AO13">
            <v>11566.237527274523</v>
          </cell>
          <cell r="AP13">
            <v>0</v>
          </cell>
          <cell r="AQ13">
            <v>11566.237527274523</v>
          </cell>
          <cell r="AR13">
            <v>1161.6931453602767</v>
          </cell>
          <cell r="AS13">
            <v>111.84055963238953</v>
          </cell>
          <cell r="AY13">
            <v>24.289098807276496</v>
          </cell>
          <cell r="AZ13">
            <v>24.289098807276496</v>
          </cell>
          <cell r="BA13">
            <v>35</v>
          </cell>
        </row>
        <row r="14">
          <cell r="A14" t="str">
            <v>8160-01-113</v>
          </cell>
          <cell r="B14" t="str">
            <v>Kotlicki Investments Ltd</v>
          </cell>
          <cell r="C14">
            <v>514838358</v>
          </cell>
          <cell r="D14">
            <v>514838358</v>
          </cell>
          <cell r="E14" t="str">
            <v>Kotlicki Investments Ltd</v>
          </cell>
          <cell r="F14" t="str">
            <v>קוטליצקי השקעות בע"צ</v>
          </cell>
          <cell r="G14" t="str">
            <v>I</v>
          </cell>
          <cell r="I14">
            <v>500000</v>
          </cell>
          <cell r="J14">
            <v>6.7762322893512991E-3</v>
          </cell>
          <cell r="K14">
            <v>9.7461485024155931E-3</v>
          </cell>
          <cell r="M14">
            <v>10311.425115555698</v>
          </cell>
          <cell r="N14">
            <v>1209.3556169921494</v>
          </cell>
          <cell r="O14">
            <v>2937.0161765453086</v>
          </cell>
          <cell r="P14">
            <v>14457.796909093155</v>
          </cell>
          <cell r="Q14">
            <v>769.81222280723796</v>
          </cell>
          <cell r="R14">
            <v>11081.237338362935</v>
          </cell>
          <cell r="T14">
            <v>1452.1164317003461</v>
          </cell>
          <cell r="W14" t="str">
            <v>V</v>
          </cell>
          <cell r="X14">
            <v>1452.1164317003461</v>
          </cell>
          <cell r="Y14">
            <v>1452.1164317003461</v>
          </cell>
          <cell r="AA14">
            <v>139.8006995404869</v>
          </cell>
          <cell r="AD14" t="str">
            <v>V</v>
          </cell>
          <cell r="AE14">
            <v>139.8006995404869</v>
          </cell>
          <cell r="AF14">
            <v>139.8006995404869</v>
          </cell>
          <cell r="AG14">
            <v>14457.796909093155</v>
          </cell>
          <cell r="AH14" t="e">
            <v>#N/A</v>
          </cell>
          <cell r="AI14" t="e">
            <v>#N/A</v>
          </cell>
          <cell r="AJ14" t="e">
            <v>#N/A</v>
          </cell>
          <cell r="AK14" t="e">
            <v>#N/A</v>
          </cell>
          <cell r="AL14" t="e">
            <v>#N/A</v>
          </cell>
          <cell r="AM14" t="e">
            <v>#N/A</v>
          </cell>
          <cell r="AN14" t="str">
            <v>הגדלה ב- Subscription</v>
          </cell>
          <cell r="AO14">
            <v>14457.796909093155</v>
          </cell>
          <cell r="AP14">
            <v>0</v>
          </cell>
          <cell r="AQ14">
            <v>14457.796909093155</v>
          </cell>
          <cell r="AR14">
            <v>1452.1164317003461</v>
          </cell>
          <cell r="AS14">
            <v>139.8006995404869</v>
          </cell>
          <cell r="AY14">
            <v>30.361373509095625</v>
          </cell>
          <cell r="AZ14">
            <v>30.361373509095625</v>
          </cell>
          <cell r="BA14">
            <v>35</v>
          </cell>
        </row>
        <row r="15">
          <cell r="A15" t="str">
            <v>8160-01-114</v>
          </cell>
          <cell r="B15" t="str">
            <v>Levyor Trading LTD</v>
          </cell>
          <cell r="C15">
            <v>514706720</v>
          </cell>
          <cell r="D15">
            <v>514706720</v>
          </cell>
          <cell r="E15" t="str">
            <v>Levyor Trading LTD</v>
          </cell>
          <cell r="F15" t="str">
            <v>לויור מסחר בע"מ</v>
          </cell>
          <cell r="G15" t="str">
            <v>I</v>
          </cell>
          <cell r="I15">
            <v>800000</v>
          </cell>
          <cell r="J15">
            <v>1.0841971662962078E-2</v>
          </cell>
          <cell r="K15">
            <v>1.5593837603864949E-2</v>
          </cell>
          <cell r="M15">
            <v>16498.280184889114</v>
          </cell>
          <cell r="N15">
            <v>1934.9689871874389</v>
          </cell>
          <cell r="O15">
            <v>4699.2258824724931</v>
          </cell>
          <cell r="P15">
            <v>23132.475054549046</v>
          </cell>
          <cell r="Q15">
            <v>1231.6995564915806</v>
          </cell>
          <cell r="R15">
            <v>17729.979741380695</v>
          </cell>
          <cell r="T15">
            <v>2323.3862907205535</v>
          </cell>
          <cell r="W15" t="str">
            <v>V</v>
          </cell>
          <cell r="X15">
            <v>2323.3862907205535</v>
          </cell>
          <cell r="Y15">
            <v>2323.3862907205535</v>
          </cell>
          <cell r="AA15">
            <v>223.68111926477906</v>
          </cell>
          <cell r="AD15" t="str">
            <v>V</v>
          </cell>
          <cell r="AE15">
            <v>223.68111926477906</v>
          </cell>
          <cell r="AF15">
            <v>223.68111926477906</v>
          </cell>
          <cell r="AG15">
            <v>23132.475054549046</v>
          </cell>
          <cell r="AH15" t="e">
            <v>#N/A</v>
          </cell>
          <cell r="AI15" t="e">
            <v>#N/A</v>
          </cell>
          <cell r="AJ15" t="e">
            <v>#N/A</v>
          </cell>
          <cell r="AK15" t="e">
            <v>#N/A</v>
          </cell>
          <cell r="AL15" t="e">
            <v>#N/A</v>
          </cell>
          <cell r="AM15" t="e">
            <v>#N/A</v>
          </cell>
          <cell r="AO15">
            <v>23132.475054549046</v>
          </cell>
          <cell r="AP15">
            <v>0</v>
          </cell>
          <cell r="AQ15">
            <v>23132.475054549046</v>
          </cell>
          <cell r="AR15">
            <v>2323.3862907205535</v>
          </cell>
          <cell r="AS15">
            <v>223.68111926477906</v>
          </cell>
          <cell r="AY15">
            <v>48.578197614552991</v>
          </cell>
          <cell r="AZ15">
            <v>48.578197614552991</v>
          </cell>
          <cell r="BA15">
            <v>35</v>
          </cell>
        </row>
        <row r="16">
          <cell r="A16" t="str">
            <v>8160-01-115</v>
          </cell>
          <cell r="B16" t="str">
            <v>M.B Sherman</v>
          </cell>
          <cell r="C16">
            <v>513136622</v>
          </cell>
          <cell r="D16">
            <v>513136622</v>
          </cell>
          <cell r="E16" t="str">
            <v>M.B Sherman</v>
          </cell>
          <cell r="F16" t="str">
            <v>מ.ב שרמן בע"מ</v>
          </cell>
          <cell r="G16" t="str">
            <v>I</v>
          </cell>
          <cell r="I16">
            <v>250000</v>
          </cell>
          <cell r="J16">
            <v>3.3881161446756495E-3</v>
          </cell>
          <cell r="K16">
            <v>4.8730742512077966E-3</v>
          </cell>
          <cell r="M16">
            <v>5155.7125577778488</v>
          </cell>
          <cell r="N16">
            <v>604.6778084960747</v>
          </cell>
          <cell r="O16">
            <v>1468.5080882726543</v>
          </cell>
          <cell r="P16">
            <v>7228.8984545465773</v>
          </cell>
          <cell r="Q16">
            <v>384.90611140361898</v>
          </cell>
          <cell r="R16">
            <v>5540.6186691814673</v>
          </cell>
          <cell r="T16">
            <v>726.05821585017304</v>
          </cell>
          <cell r="W16" t="str">
            <v>V</v>
          </cell>
          <cell r="X16">
            <v>726.05821585017304</v>
          </cell>
          <cell r="Y16">
            <v>726.05821585017304</v>
          </cell>
          <cell r="AA16">
            <v>69.900349770243452</v>
          </cell>
          <cell r="AD16" t="str">
            <v>V</v>
          </cell>
          <cell r="AE16">
            <v>69.900349770243452</v>
          </cell>
          <cell r="AF16">
            <v>69.900349770243452</v>
          </cell>
          <cell r="AG16">
            <v>7228.8984545465773</v>
          </cell>
          <cell r="AH16" t="e">
            <v>#N/A</v>
          </cell>
          <cell r="AI16" t="e">
            <v>#N/A</v>
          </cell>
          <cell r="AJ16" t="e">
            <v>#N/A</v>
          </cell>
          <cell r="AK16" t="e">
            <v>#N/A</v>
          </cell>
          <cell r="AL16" t="e">
            <v>#N/A</v>
          </cell>
          <cell r="AM16" t="e">
            <v>#N/A</v>
          </cell>
          <cell r="AO16">
            <v>7228.8984545465773</v>
          </cell>
          <cell r="AP16">
            <v>0</v>
          </cell>
          <cell r="AQ16">
            <v>7228.8984545465773</v>
          </cell>
          <cell r="AR16">
            <v>726.05821585017304</v>
          </cell>
          <cell r="AS16">
            <v>69.900349770243452</v>
          </cell>
          <cell r="AY16">
            <v>15.180686754547812</v>
          </cell>
          <cell r="AZ16">
            <v>18</v>
          </cell>
          <cell r="BA16">
            <v>35</v>
          </cell>
        </row>
        <row r="17">
          <cell r="A17" t="str">
            <v>8160-01-116</v>
          </cell>
          <cell r="B17" t="str">
            <v>Meitav Dash Investments Ltd</v>
          </cell>
          <cell r="C17">
            <v>520043795</v>
          </cell>
          <cell r="D17">
            <v>520043795</v>
          </cell>
          <cell r="E17" t="str">
            <v>Meitav Dash Investments Ltd</v>
          </cell>
          <cell r="F17" t="str">
            <v>מיטב דש השקעות בע"מ</v>
          </cell>
          <cell r="G17" t="str">
            <v>I</v>
          </cell>
          <cell r="I17">
            <v>7000000</v>
          </cell>
          <cell r="J17">
            <v>9.4867252050918185E-2</v>
          </cell>
          <cell r="K17">
            <v>0.13644607903381831</v>
          </cell>
          <cell r="M17">
            <v>144359.95161777976</v>
          </cell>
          <cell r="N17">
            <v>16930.97863789009</v>
          </cell>
          <cell r="O17">
            <v>41118.22647163432</v>
          </cell>
          <cell r="P17">
            <v>202409.15672730419</v>
          </cell>
          <cell r="Q17">
            <v>10777.371119301331</v>
          </cell>
          <cell r="R17">
            <v>155137.32273708109</v>
          </cell>
          <cell r="T17">
            <v>20329.630043804846</v>
          </cell>
          <cell r="W17" t="str">
            <v>V</v>
          </cell>
          <cell r="X17">
            <v>20329.630043804846</v>
          </cell>
          <cell r="Y17">
            <v>20329.630043804846</v>
          </cell>
          <cell r="AA17">
            <v>1957.2097935668169</v>
          </cell>
          <cell r="AD17" t="str">
            <v>V</v>
          </cell>
          <cell r="AE17">
            <v>1957.2097935668169</v>
          </cell>
          <cell r="AF17">
            <v>1957.2097935668169</v>
          </cell>
          <cell r="AG17">
            <v>202409.15672730419</v>
          </cell>
          <cell r="AH17" t="e">
            <v>#N/A</v>
          </cell>
          <cell r="AI17" t="e">
            <v>#N/A</v>
          </cell>
          <cell r="AJ17" t="e">
            <v>#N/A</v>
          </cell>
          <cell r="AK17" t="e">
            <v>#N/A</v>
          </cell>
          <cell r="AL17" t="e">
            <v>#N/A</v>
          </cell>
          <cell r="AM17" t="e">
            <v>#N/A</v>
          </cell>
          <cell r="AO17">
            <v>202409.15672730419</v>
          </cell>
          <cell r="AP17">
            <v>0</v>
          </cell>
          <cell r="AQ17">
            <v>202409.15672730419</v>
          </cell>
          <cell r="AR17">
            <v>20329.630043804846</v>
          </cell>
          <cell r="AS17">
            <v>1957.2097935668169</v>
          </cell>
          <cell r="AY17">
            <v>425.05922912733877</v>
          </cell>
          <cell r="AZ17">
            <v>170</v>
          </cell>
          <cell r="BA17">
            <v>35</v>
          </cell>
        </row>
        <row r="18">
          <cell r="A18" t="str">
            <v>8160-01-117</v>
          </cell>
          <cell r="B18" t="str">
            <v>Nissim Zarfati</v>
          </cell>
          <cell r="C18" t="str">
            <v>058240565</v>
          </cell>
          <cell r="D18">
            <v>58240565</v>
          </cell>
          <cell r="F18" t="str">
            <v>נסים צרפתי</v>
          </cell>
          <cell r="G18" t="str">
            <v>I</v>
          </cell>
          <cell r="I18">
            <v>450000</v>
          </cell>
          <cell r="J18">
            <v>6.0986090604161691E-3</v>
          </cell>
          <cell r="K18">
            <v>8.7715336521740333E-3</v>
          </cell>
          <cell r="M18">
            <v>9280.2826040001273</v>
          </cell>
          <cell r="N18">
            <v>1088.4200552929344</v>
          </cell>
          <cell r="O18">
            <v>2643.3145588907773</v>
          </cell>
          <cell r="P18">
            <v>13012.017218183839</v>
          </cell>
          <cell r="Q18">
            <v>692.83100052651412</v>
          </cell>
          <cell r="R18">
            <v>9973.1136045266412</v>
          </cell>
          <cell r="S18">
            <v>2320.0706510000318</v>
          </cell>
          <cell r="T18">
            <v>1306.9047885303114</v>
          </cell>
          <cell r="U18">
            <v>-1306.9047885303114</v>
          </cell>
          <cell r="V18">
            <v>1013.1658624697204</v>
          </cell>
          <cell r="W18" t="str">
            <v>ע"פ תקנות'</v>
          </cell>
          <cell r="Y18">
            <v>2320.0706510000318</v>
          </cell>
          <cell r="Z18">
            <v>272.10501382323361</v>
          </cell>
          <cell r="AA18">
            <v>125.82062958643822</v>
          </cell>
          <cell r="AB18">
            <v>-125.82062958643822</v>
          </cell>
          <cell r="AC18">
            <v>146.2843842367954</v>
          </cell>
          <cell r="AD18" t="str">
            <v>ע"פ תקנות'</v>
          </cell>
          <cell r="AF18">
            <v>272.10501382323361</v>
          </cell>
          <cell r="AG18">
            <v>11852.566971477323</v>
          </cell>
          <cell r="AH18">
            <v>149999.9994</v>
          </cell>
          <cell r="AI18">
            <v>86220.45</v>
          </cell>
          <cell r="AJ18">
            <v>19128</v>
          </cell>
          <cell r="AK18">
            <v>0</v>
          </cell>
          <cell r="AL18">
            <v>59675</v>
          </cell>
          <cell r="AM18">
            <v>4.1275474077763816E-2</v>
          </cell>
          <cell r="AO18">
            <v>13012.017218183839</v>
          </cell>
          <cell r="AP18">
            <v>1159.4502467065158</v>
          </cell>
          <cell r="AQ18">
            <v>11852.566971477323</v>
          </cell>
          <cell r="AR18">
            <v>2320.0706510000318</v>
          </cell>
          <cell r="AS18">
            <v>272.10501382323361</v>
          </cell>
          <cell r="AY18">
            <v>24.890390640102378</v>
          </cell>
          <cell r="AZ18">
            <v>24.890390640102378</v>
          </cell>
          <cell r="BA18">
            <v>35</v>
          </cell>
        </row>
        <row r="19">
          <cell r="A19" t="str">
            <v>8160-01-118</v>
          </cell>
          <cell r="B19" t="str">
            <v>Ofer David Kinberg</v>
          </cell>
          <cell r="C19" t="str">
            <v>036125334</v>
          </cell>
          <cell r="D19">
            <v>36125334</v>
          </cell>
          <cell r="F19" t="str">
            <v>עופר דוד קינברג</v>
          </cell>
          <cell r="G19" t="str">
            <v>I</v>
          </cell>
          <cell r="I19">
            <v>400000</v>
          </cell>
          <cell r="J19">
            <v>5.4209858314810391E-3</v>
          </cell>
          <cell r="K19">
            <v>7.7969188019324743E-3</v>
          </cell>
          <cell r="M19">
            <v>8249.140092444557</v>
          </cell>
          <cell r="N19">
            <v>967.48449359371944</v>
          </cell>
          <cell r="O19">
            <v>2349.6129412362466</v>
          </cell>
          <cell r="P19">
            <v>11566.237527274523</v>
          </cell>
          <cell r="Q19">
            <v>615.84977824579028</v>
          </cell>
          <cell r="R19">
            <v>8864.9898706903477</v>
          </cell>
          <cell r="S19">
            <v>2062.2850231111393</v>
          </cell>
          <cell r="T19">
            <v>1161.6931453602767</v>
          </cell>
          <cell r="U19">
            <v>-1161.6931453602767</v>
          </cell>
          <cell r="V19">
            <v>900.59187775086252</v>
          </cell>
          <cell r="W19" t="str">
            <v>ע"פ תקנות'</v>
          </cell>
          <cell r="Y19">
            <v>2062.2850231111393</v>
          </cell>
          <cell r="Z19">
            <v>241.87112339842986</v>
          </cell>
          <cell r="AA19">
            <v>111.84055963238953</v>
          </cell>
          <cell r="AB19">
            <v>-111.84055963238953</v>
          </cell>
          <cell r="AC19">
            <v>130.03056376604033</v>
          </cell>
          <cell r="AD19" t="str">
            <v>ע"פ תקנות'</v>
          </cell>
          <cell r="AF19">
            <v>241.87112339842986</v>
          </cell>
          <cell r="AG19">
            <v>10535.615085757619</v>
          </cell>
          <cell r="AH19">
            <v>133333.3328</v>
          </cell>
          <cell r="AI19">
            <v>76640.399999999994</v>
          </cell>
          <cell r="AJ19">
            <v>17000</v>
          </cell>
          <cell r="AK19">
            <v>0</v>
          </cell>
          <cell r="AL19">
            <v>53045</v>
          </cell>
          <cell r="AM19">
            <v>4.1275614277251092E-2</v>
          </cell>
          <cell r="AO19">
            <v>11566.237527274523</v>
          </cell>
          <cell r="AP19">
            <v>1030.6224415169029</v>
          </cell>
          <cell r="AQ19">
            <v>10535.615085757619</v>
          </cell>
          <cell r="AR19">
            <v>2062.2850231111393</v>
          </cell>
          <cell r="AS19">
            <v>241.87112339842986</v>
          </cell>
          <cell r="AY19">
            <v>22.124791680091001</v>
          </cell>
          <cell r="AZ19">
            <v>22.124791680091001</v>
          </cell>
          <cell r="BA19">
            <v>35</v>
          </cell>
        </row>
        <row r="20">
          <cell r="A20" t="str">
            <v>8160-01-119</v>
          </cell>
          <cell r="B20" t="str">
            <v>Olga Ashurov</v>
          </cell>
          <cell r="C20">
            <v>305831232</v>
          </cell>
          <cell r="D20">
            <v>305831232</v>
          </cell>
          <cell r="F20" t="str">
            <v>אולגה אושרוב</v>
          </cell>
          <cell r="G20" t="str">
            <v>I</v>
          </cell>
          <cell r="I20">
            <v>250000</v>
          </cell>
          <cell r="J20">
            <v>3.3881161446756495E-3</v>
          </cell>
          <cell r="K20">
            <v>4.8730742512077966E-3</v>
          </cell>
          <cell r="M20">
            <v>5155.7125577778488</v>
          </cell>
          <cell r="N20">
            <v>604.6778084960747</v>
          </cell>
          <cell r="O20">
            <v>1468.5080882726543</v>
          </cell>
          <cell r="P20">
            <v>7228.8984545465773</v>
          </cell>
          <cell r="Q20">
            <v>384.90611140361898</v>
          </cell>
          <cell r="R20">
            <v>5540.6186691814673</v>
          </cell>
          <cell r="S20">
            <v>1288.9281394444622</v>
          </cell>
          <cell r="T20">
            <v>726.05821585017304</v>
          </cell>
          <cell r="U20">
            <v>-726.05821585017304</v>
          </cell>
          <cell r="V20">
            <v>562.86992359428916</v>
          </cell>
          <cell r="W20" t="str">
            <v>X</v>
          </cell>
          <cell r="Y20">
            <v>1288.9281394444622</v>
          </cell>
          <cell r="Z20">
            <v>151.16945212401868</v>
          </cell>
          <cell r="AA20">
            <v>69.900349770243452</v>
          </cell>
          <cell r="AB20">
            <v>-69.900349770243452</v>
          </cell>
          <cell r="AC20">
            <v>81.269102353775224</v>
          </cell>
          <cell r="AD20" t="str">
            <v>X</v>
          </cell>
          <cell r="AF20">
            <v>151.16945212401868</v>
          </cell>
          <cell r="AG20">
            <v>6584.7594285985124</v>
          </cell>
          <cell r="AH20">
            <v>83333.332999999999</v>
          </cell>
          <cell r="AI20">
            <v>47900.25</v>
          </cell>
          <cell r="AJ20">
            <v>10650.5</v>
          </cell>
          <cell r="AK20">
            <v>0</v>
          </cell>
          <cell r="AL20">
            <v>33153.5</v>
          </cell>
          <cell r="AM20">
            <v>4.1273294280586244E-2</v>
          </cell>
          <cell r="AO20">
            <v>7228.8984545465773</v>
          </cell>
          <cell r="AP20">
            <v>644.13902594806439</v>
          </cell>
          <cell r="AQ20">
            <v>6584.7594285985124</v>
          </cell>
          <cell r="AR20">
            <v>1288.9281394444622</v>
          </cell>
          <cell r="AS20">
            <v>151.16945212401868</v>
          </cell>
          <cell r="AY20">
            <v>13.827994800056874</v>
          </cell>
          <cell r="AZ20">
            <v>18</v>
          </cell>
          <cell r="BA20">
            <v>35</v>
          </cell>
        </row>
        <row r="21">
          <cell r="A21" t="str">
            <v>8160-01-120</v>
          </cell>
          <cell r="B21" t="str">
            <v>Orna Barkat</v>
          </cell>
          <cell r="C21" t="str">
            <v>057258675</v>
          </cell>
          <cell r="D21">
            <v>57258675</v>
          </cell>
          <cell r="F21" t="str">
            <v>אורנה ברקת</v>
          </cell>
          <cell r="G21" t="str">
            <v>I</v>
          </cell>
          <cell r="I21">
            <v>400000</v>
          </cell>
          <cell r="J21">
            <v>5.4209858314810391E-3</v>
          </cell>
          <cell r="K21">
            <v>7.7969188019324743E-3</v>
          </cell>
          <cell r="M21">
            <v>8249.140092444557</v>
          </cell>
          <cell r="N21">
            <v>967.48449359371944</v>
          </cell>
          <cell r="O21">
            <v>2349.6129412362466</v>
          </cell>
          <cell r="P21">
            <v>11566.237527274523</v>
          </cell>
          <cell r="Q21">
            <v>615.84977824579028</v>
          </cell>
          <cell r="R21">
            <v>8864.9898706903477</v>
          </cell>
          <cell r="S21">
            <v>2062.2850231111393</v>
          </cell>
          <cell r="T21">
            <v>1161.6931453602767</v>
          </cell>
          <cell r="U21">
            <v>-1161.6931453602767</v>
          </cell>
          <cell r="V21">
            <v>900.59187775086252</v>
          </cell>
          <cell r="W21" t="str">
            <v>X</v>
          </cell>
          <cell r="Y21">
            <v>2062.2850231111393</v>
          </cell>
          <cell r="Z21">
            <v>241.87112339842986</v>
          </cell>
          <cell r="AA21">
            <v>111.84055963238953</v>
          </cell>
          <cell r="AB21">
            <v>-111.84055963238953</v>
          </cell>
          <cell r="AC21">
            <v>130.03056376604033</v>
          </cell>
          <cell r="AD21" t="str">
            <v>X</v>
          </cell>
          <cell r="AF21">
            <v>241.87112339842986</v>
          </cell>
          <cell r="AG21">
            <v>10535.615085757619</v>
          </cell>
          <cell r="AH21">
            <v>133333.3328</v>
          </cell>
          <cell r="AI21">
            <v>76640.399999999994</v>
          </cell>
          <cell r="AJ21">
            <v>17000</v>
          </cell>
          <cell r="AK21">
            <v>0</v>
          </cell>
          <cell r="AL21">
            <v>53045</v>
          </cell>
          <cell r="AM21">
            <v>4.1275614277251092E-2</v>
          </cell>
          <cell r="AO21">
            <v>11566.237527274523</v>
          </cell>
          <cell r="AP21">
            <v>1030.6224415169029</v>
          </cell>
          <cell r="AQ21">
            <v>10535.615085757619</v>
          </cell>
          <cell r="AR21">
            <v>2062.2850231111393</v>
          </cell>
          <cell r="AS21">
            <v>241.87112339842986</v>
          </cell>
          <cell r="AY21">
            <v>22.124791680091001</v>
          </cell>
          <cell r="AZ21">
            <v>22.124791680091001</v>
          </cell>
          <cell r="BA21">
            <v>35</v>
          </cell>
        </row>
        <row r="22">
          <cell r="A22" t="str">
            <v>8160-01-121</v>
          </cell>
          <cell r="B22" t="str">
            <v>Plata Trading Co. Inc</v>
          </cell>
          <cell r="C22">
            <v>2601848</v>
          </cell>
          <cell r="D22">
            <v>2601848</v>
          </cell>
          <cell r="E22" t="str">
            <v>Plata Trading Co. Inc</v>
          </cell>
          <cell r="G22" t="str">
            <v>I</v>
          </cell>
          <cell r="I22">
            <v>300000</v>
          </cell>
          <cell r="J22">
            <v>4.0657393736107791E-3</v>
          </cell>
          <cell r="K22">
            <v>5.8476891014493555E-3</v>
          </cell>
          <cell r="M22">
            <v>6186.8550693334182</v>
          </cell>
          <cell r="N22">
            <v>725.61337019528958</v>
          </cell>
          <cell r="O22">
            <v>1762.2097059271848</v>
          </cell>
          <cell r="P22">
            <v>8674.6781454558932</v>
          </cell>
          <cell r="Q22">
            <v>461.88733368434271</v>
          </cell>
          <cell r="R22">
            <v>6648.7424030177608</v>
          </cell>
          <cell r="S22">
            <v>1546.7137673333546</v>
          </cell>
          <cell r="T22">
            <v>871.2698590202076</v>
          </cell>
          <cell r="U22">
            <v>-871.2698590202076</v>
          </cell>
          <cell r="V22">
            <v>675.44390831314695</v>
          </cell>
          <cell r="W22" t="str">
            <v>X</v>
          </cell>
          <cell r="Y22">
            <v>1546.7137673333546</v>
          </cell>
          <cell r="Z22">
            <v>181.40334254882239</v>
          </cell>
          <cell r="AA22">
            <v>83.880419724292139</v>
          </cell>
          <cell r="AB22">
            <v>-83.880419724292139</v>
          </cell>
          <cell r="AC22">
            <v>97.522922824530255</v>
          </cell>
          <cell r="AD22" t="str">
            <v>X</v>
          </cell>
          <cell r="AF22">
            <v>181.40334254882239</v>
          </cell>
          <cell r="AG22">
            <v>7901.711314318216</v>
          </cell>
          <cell r="AH22" t="e">
            <v>#N/A</v>
          </cell>
          <cell r="AI22" t="e">
            <v>#N/A</v>
          </cell>
          <cell r="AJ22" t="e">
            <v>#N/A</v>
          </cell>
          <cell r="AK22" t="e">
            <v>#N/A</v>
          </cell>
          <cell r="AL22" t="e">
            <v>#N/A</v>
          </cell>
          <cell r="AM22" t="e">
            <v>#N/A</v>
          </cell>
          <cell r="AO22">
            <v>8674.6781454558932</v>
          </cell>
          <cell r="AP22">
            <v>772.96683113767722</v>
          </cell>
          <cell r="AQ22">
            <v>7901.711314318216</v>
          </cell>
          <cell r="AR22">
            <v>1546.7137673333546</v>
          </cell>
          <cell r="AS22">
            <v>181.40334254882239</v>
          </cell>
          <cell r="AY22">
            <v>16.593593760068252</v>
          </cell>
          <cell r="AZ22">
            <v>18</v>
          </cell>
          <cell r="BA22">
            <v>35</v>
          </cell>
        </row>
        <row r="23">
          <cell r="A23" t="str">
            <v>8160-01-123</v>
          </cell>
          <cell r="B23" t="str">
            <v>Raz Freidman</v>
          </cell>
          <cell r="C23" t="str">
            <v>034522615</v>
          </cell>
          <cell r="D23">
            <v>34522615</v>
          </cell>
          <cell r="F23" t="str">
            <v>רז פרידמן</v>
          </cell>
          <cell r="G23" t="str">
            <v>I</v>
          </cell>
          <cell r="I23">
            <v>400000</v>
          </cell>
          <cell r="J23">
            <v>5.4209858314810391E-3</v>
          </cell>
          <cell r="K23">
            <v>7.7969188019324743E-3</v>
          </cell>
          <cell r="M23">
            <v>8249.140092444557</v>
          </cell>
          <cell r="N23">
            <v>967.48449359371944</v>
          </cell>
          <cell r="O23">
            <v>2349.6129412362466</v>
          </cell>
          <cell r="P23">
            <v>11566.237527274523</v>
          </cell>
          <cell r="Q23">
            <v>615.84977824579028</v>
          </cell>
          <cell r="R23">
            <v>8864.9898706903477</v>
          </cell>
          <cell r="S23">
            <v>2062.2850231111393</v>
          </cell>
          <cell r="T23">
            <v>1161.6931453602767</v>
          </cell>
          <cell r="U23">
            <v>-1161.6931453602767</v>
          </cell>
          <cell r="V23">
            <v>900.59187775086252</v>
          </cell>
          <cell r="W23" t="str">
            <v>ע"פ תקנות'</v>
          </cell>
          <cell r="Y23">
            <v>2062.2850231111393</v>
          </cell>
          <cell r="Z23">
            <v>241.87112339842986</v>
          </cell>
          <cell r="AA23">
            <v>111.84055963238953</v>
          </cell>
          <cell r="AB23">
            <v>-111.84055963238953</v>
          </cell>
          <cell r="AC23">
            <v>130.03056376604033</v>
          </cell>
          <cell r="AD23" t="str">
            <v>ע"פ תקנות'</v>
          </cell>
          <cell r="AF23">
            <v>241.87112339842986</v>
          </cell>
          <cell r="AG23">
            <v>10535.615085757619</v>
          </cell>
          <cell r="AH23">
            <v>133333.3328</v>
          </cell>
          <cell r="AI23">
            <v>76640.399999999994</v>
          </cell>
          <cell r="AJ23">
            <v>17000</v>
          </cell>
          <cell r="AK23">
            <v>0</v>
          </cell>
          <cell r="AL23">
            <v>53045</v>
          </cell>
          <cell r="AM23">
            <v>4.1275614277251092E-2</v>
          </cell>
          <cell r="AO23">
            <v>11566.237527274523</v>
          </cell>
          <cell r="AP23">
            <v>1030.6224415169029</v>
          </cell>
          <cell r="AQ23">
            <v>10535.615085757619</v>
          </cell>
          <cell r="AR23">
            <v>2062.2850231111393</v>
          </cell>
          <cell r="AS23">
            <v>241.87112339842986</v>
          </cell>
          <cell r="AY23">
            <v>22.124791680091001</v>
          </cell>
          <cell r="AZ23">
            <v>22.124791680091001</v>
          </cell>
          <cell r="BA23">
            <v>35</v>
          </cell>
        </row>
        <row r="24">
          <cell r="A24" t="str">
            <v>8160-01-124</v>
          </cell>
          <cell r="B24" t="str">
            <v>Robert Antokol</v>
          </cell>
          <cell r="C24" t="str">
            <v>014552855</v>
          </cell>
          <cell r="D24">
            <v>14552855</v>
          </cell>
          <cell r="F24" t="str">
            <v>רוברט אנטוקול</v>
          </cell>
          <cell r="G24" t="str">
            <v>I</v>
          </cell>
          <cell r="I24">
            <v>2000000</v>
          </cell>
          <cell r="J24">
            <v>2.7104929157405196E-2</v>
          </cell>
          <cell r="K24">
            <v>3.8984594009662372E-2</v>
          </cell>
          <cell r="M24">
            <v>41245.700462222791</v>
          </cell>
          <cell r="N24">
            <v>4837.4224679685976</v>
          </cell>
          <cell r="O24">
            <v>11748.064706181234</v>
          </cell>
          <cell r="P24">
            <v>57831.187636372619</v>
          </cell>
          <cell r="Q24">
            <v>3079.2488912289518</v>
          </cell>
          <cell r="R24">
            <v>44324.949353451739</v>
          </cell>
          <cell r="S24">
            <v>10311.425115555698</v>
          </cell>
          <cell r="T24">
            <v>5808.4657268013843</v>
          </cell>
          <cell r="U24">
            <v>-5808.4657268013843</v>
          </cell>
          <cell r="V24">
            <v>4502.9593887543133</v>
          </cell>
          <cell r="W24" t="str">
            <v>ע"פ תקנות'</v>
          </cell>
          <cell r="Y24">
            <v>10311.425115555698</v>
          </cell>
          <cell r="Z24">
            <v>1209.3556169921494</v>
          </cell>
          <cell r="AA24">
            <v>559.20279816194761</v>
          </cell>
          <cell r="AB24">
            <v>-559.20279816194761</v>
          </cell>
          <cell r="AC24">
            <v>650.1528188302018</v>
          </cell>
          <cell r="AD24" t="str">
            <v>ע"פ תקנות'</v>
          </cell>
          <cell r="AF24">
            <v>1209.3556169921494</v>
          </cell>
          <cell r="AG24">
            <v>52678.075428788099</v>
          </cell>
          <cell r="AH24">
            <v>666666.66399999999</v>
          </cell>
          <cell r="AI24">
            <v>383202</v>
          </cell>
          <cell r="AJ24">
            <v>84998</v>
          </cell>
          <cell r="AK24">
            <v>0</v>
          </cell>
          <cell r="AL24">
            <v>265226</v>
          </cell>
          <cell r="AM24">
            <v>4.1275633062797371E-2</v>
          </cell>
          <cell r="AO24">
            <v>57831.187636372619</v>
          </cell>
          <cell r="AP24">
            <v>5153.1122075845151</v>
          </cell>
          <cell r="AQ24">
            <v>52678.075428788099</v>
          </cell>
          <cell r="AR24">
            <v>10311.425115555698</v>
          </cell>
          <cell r="AS24">
            <v>1209.3556169921494</v>
          </cell>
          <cell r="AY24">
            <v>110.623958400455</v>
          </cell>
          <cell r="AZ24">
            <v>110.623958400455</v>
          </cell>
          <cell r="BA24">
            <v>35</v>
          </cell>
        </row>
        <row r="25">
          <cell r="A25" t="str">
            <v>8160-01-125</v>
          </cell>
          <cell r="B25" t="str">
            <v>Roy Oron</v>
          </cell>
          <cell r="C25" t="str">
            <v>024367021</v>
          </cell>
          <cell r="D25">
            <v>24367021</v>
          </cell>
          <cell r="F25" t="str">
            <v>רועי אורון</v>
          </cell>
          <cell r="G25" t="str">
            <v>I</v>
          </cell>
          <cell r="I25">
            <v>500000</v>
          </cell>
          <cell r="J25">
            <v>6.7762322893512991E-3</v>
          </cell>
          <cell r="K25">
            <v>9.7461485024155931E-3</v>
          </cell>
          <cell r="M25">
            <v>10311.425115555698</v>
          </cell>
          <cell r="N25">
            <v>1209.3556169921494</v>
          </cell>
          <cell r="O25">
            <v>2937.0161765453086</v>
          </cell>
          <cell r="P25">
            <v>14457.796909093155</v>
          </cell>
          <cell r="Q25">
            <v>769.81222280723796</v>
          </cell>
          <cell r="R25">
            <v>11081.237338362935</v>
          </cell>
          <cell r="S25">
            <v>2577.8562788889244</v>
          </cell>
          <cell r="T25">
            <v>1452.1164317003461</v>
          </cell>
          <cell r="U25">
            <v>-1452.1164317003461</v>
          </cell>
          <cell r="V25">
            <v>1125.7398471885783</v>
          </cell>
          <cell r="W25" t="str">
            <v>ע"פ תקנות'</v>
          </cell>
          <cell r="Y25">
            <v>2577.8562788889244</v>
          </cell>
          <cell r="Z25">
            <v>302.33890424803735</v>
          </cell>
          <cell r="AA25">
            <v>139.8006995404869</v>
          </cell>
          <cell r="AB25">
            <v>-139.8006995404869</v>
          </cell>
          <cell r="AC25">
            <v>162.53820470755045</v>
          </cell>
          <cell r="AD25" t="str">
            <v>ע"פ תקנות'</v>
          </cell>
          <cell r="AF25">
            <v>302.33890424803735</v>
          </cell>
          <cell r="AG25">
            <v>13169.518857197025</v>
          </cell>
          <cell r="AH25">
            <v>166666.666</v>
          </cell>
          <cell r="AI25">
            <v>95800.5</v>
          </cell>
          <cell r="AJ25">
            <v>21250</v>
          </cell>
          <cell r="AK25">
            <v>0</v>
          </cell>
          <cell r="AL25">
            <v>66306</v>
          </cell>
          <cell r="AM25">
            <v>4.1275618124891722E-2</v>
          </cell>
          <cell r="AO25">
            <v>14457.796909093155</v>
          </cell>
          <cell r="AP25">
            <v>1288.2780518961288</v>
          </cell>
          <cell r="AQ25">
            <v>13169.518857197025</v>
          </cell>
          <cell r="AR25">
            <v>2577.8562788889244</v>
          </cell>
          <cell r="AS25">
            <v>302.33890424803735</v>
          </cell>
          <cell r="AY25">
            <v>27.655989600113749</v>
          </cell>
          <cell r="AZ25">
            <v>27.655989600113749</v>
          </cell>
          <cell r="BA25">
            <v>35</v>
          </cell>
        </row>
        <row r="26">
          <cell r="A26" t="str">
            <v>8160-01-126</v>
          </cell>
          <cell r="B26" t="str">
            <v>Shai Reshef</v>
          </cell>
          <cell r="C26" t="str">
            <v>053560108</v>
          </cell>
          <cell r="D26">
            <v>53560108</v>
          </cell>
          <cell r="F26" t="str">
            <v>שי רשף</v>
          </cell>
          <cell r="G26" t="str">
            <v>I</v>
          </cell>
          <cell r="I26">
            <v>500000</v>
          </cell>
          <cell r="J26">
            <v>6.7762322893512991E-3</v>
          </cell>
          <cell r="K26">
            <v>9.7461485024155931E-3</v>
          </cell>
          <cell r="M26">
            <v>10311.425115555698</v>
          </cell>
          <cell r="N26">
            <v>1209.3556169921494</v>
          </cell>
          <cell r="O26">
            <v>2937.0161765453086</v>
          </cell>
          <cell r="P26">
            <v>14457.796909093155</v>
          </cell>
          <cell r="Q26">
            <v>769.81222280723796</v>
          </cell>
          <cell r="R26">
            <v>11081.237338362935</v>
          </cell>
          <cell r="S26">
            <v>2577.8562788889244</v>
          </cell>
          <cell r="T26">
            <v>1452.1164317003461</v>
          </cell>
          <cell r="U26">
            <v>-1452.1164317003461</v>
          </cell>
          <cell r="V26">
            <v>1125.7398471885783</v>
          </cell>
          <cell r="W26" t="str">
            <v>X</v>
          </cell>
          <cell r="Y26">
            <v>2577.8562788889244</v>
          </cell>
          <cell r="Z26">
            <v>302.33890424803735</v>
          </cell>
          <cell r="AA26">
            <v>139.8006995404869</v>
          </cell>
          <cell r="AB26">
            <v>-139.8006995404869</v>
          </cell>
          <cell r="AC26">
            <v>162.53820470755045</v>
          </cell>
          <cell r="AD26" t="str">
            <v>X</v>
          </cell>
          <cell r="AF26">
            <v>302.33890424803735</v>
          </cell>
          <cell r="AG26">
            <v>13169.518857197025</v>
          </cell>
          <cell r="AH26">
            <v>166666.666</v>
          </cell>
          <cell r="AI26">
            <v>95800.5</v>
          </cell>
          <cell r="AJ26">
            <v>21250</v>
          </cell>
          <cell r="AK26">
            <v>0</v>
          </cell>
          <cell r="AL26">
            <v>66306</v>
          </cell>
          <cell r="AM26">
            <v>4.1275618124891722E-2</v>
          </cell>
          <cell r="AO26">
            <v>14457.796909093155</v>
          </cell>
          <cell r="AP26">
            <v>1288.2780518961288</v>
          </cell>
          <cell r="AQ26">
            <v>13169.518857197025</v>
          </cell>
          <cell r="AR26">
            <v>2577.8562788889244</v>
          </cell>
          <cell r="AS26">
            <v>302.33890424803735</v>
          </cell>
          <cell r="AY26">
            <v>27.655989600113749</v>
          </cell>
          <cell r="AZ26">
            <v>27.655989600113749</v>
          </cell>
          <cell r="BA26">
            <v>35</v>
          </cell>
        </row>
        <row r="27">
          <cell r="A27" t="str">
            <v>8160-01-127</v>
          </cell>
          <cell r="B27" t="str">
            <v>Yishayahu Shai Sheffer</v>
          </cell>
          <cell r="C27" t="str">
            <v>07004476</v>
          </cell>
          <cell r="D27">
            <v>7004476</v>
          </cell>
          <cell r="F27" t="str">
            <v>שי ישעיהו שפר</v>
          </cell>
          <cell r="G27" t="str">
            <v>I</v>
          </cell>
          <cell r="I27">
            <v>250000</v>
          </cell>
          <cell r="J27">
            <v>3.3881161446756495E-3</v>
          </cell>
          <cell r="K27">
            <v>4.8730742512077966E-3</v>
          </cell>
          <cell r="M27">
            <v>5155.7125577778488</v>
          </cell>
          <cell r="N27">
            <v>604.6778084960747</v>
          </cell>
          <cell r="O27">
            <v>1468.5080882726543</v>
          </cell>
          <cell r="P27">
            <v>7228.8984545465773</v>
          </cell>
          <cell r="Q27">
            <v>384.90611140361898</v>
          </cell>
          <cell r="R27">
            <v>5540.6186691814673</v>
          </cell>
          <cell r="S27">
            <v>1288.9281394444622</v>
          </cell>
          <cell r="T27">
            <v>726.05821585017304</v>
          </cell>
          <cell r="U27">
            <v>-726.05821585017304</v>
          </cell>
          <cell r="V27">
            <v>562.86992359428916</v>
          </cell>
          <cell r="W27" t="str">
            <v>X</v>
          </cell>
          <cell r="Y27">
            <v>1288.9281394444622</v>
          </cell>
          <cell r="Z27">
            <v>151.16945212401868</v>
          </cell>
          <cell r="AA27">
            <v>69.900349770243452</v>
          </cell>
          <cell r="AB27">
            <v>-69.900349770243452</v>
          </cell>
          <cell r="AC27">
            <v>81.269102353775224</v>
          </cell>
          <cell r="AD27" t="str">
            <v>X</v>
          </cell>
          <cell r="AF27">
            <v>151.16945212401868</v>
          </cell>
          <cell r="AG27">
            <v>6584.7594285985124</v>
          </cell>
          <cell r="AH27">
            <v>83333.332999999999</v>
          </cell>
          <cell r="AI27">
            <v>47900</v>
          </cell>
          <cell r="AJ27">
            <v>10625</v>
          </cell>
          <cell r="AK27">
            <v>0</v>
          </cell>
          <cell r="AL27">
            <v>33153.5</v>
          </cell>
          <cell r="AM27">
            <v>4.1275658185663075E-2</v>
          </cell>
          <cell r="AO27">
            <v>7228.8984545465773</v>
          </cell>
          <cell r="AP27">
            <v>644.13902594806439</v>
          </cell>
          <cell r="AQ27">
            <v>6584.7594285985124</v>
          </cell>
          <cell r="AR27">
            <v>1288.9281394444622</v>
          </cell>
          <cell r="AS27">
            <v>151.16945212401868</v>
          </cell>
          <cell r="AY27">
            <v>13.827994800056874</v>
          </cell>
          <cell r="AZ27">
            <v>18</v>
          </cell>
          <cell r="BA27">
            <v>35</v>
          </cell>
        </row>
        <row r="28">
          <cell r="A28" t="str">
            <v>8160-01-128</v>
          </cell>
          <cell r="B28" t="str">
            <v>Shlomi Aizenberg</v>
          </cell>
          <cell r="C28" t="str">
            <v>036397297</v>
          </cell>
          <cell r="D28">
            <v>36397297</v>
          </cell>
          <cell r="F28" t="str">
            <v>שלומי אייזנברג</v>
          </cell>
          <cell r="G28" t="str">
            <v>I</v>
          </cell>
          <cell r="I28">
            <v>200000</v>
          </cell>
          <cell r="J28">
            <v>2.7104929157405195E-3</v>
          </cell>
          <cell r="K28">
            <v>3.8984594009662372E-3</v>
          </cell>
          <cell r="M28">
            <v>4124.5700462222785</v>
          </cell>
          <cell r="N28">
            <v>483.74224679685972</v>
          </cell>
          <cell r="O28">
            <v>1174.8064706181233</v>
          </cell>
          <cell r="P28">
            <v>5783.1187636372615</v>
          </cell>
          <cell r="Q28">
            <v>307.92488912289514</v>
          </cell>
          <cell r="R28">
            <v>4432.4949353451739</v>
          </cell>
          <cell r="S28">
            <v>1031.1425115555696</v>
          </cell>
          <cell r="T28">
            <v>580.84657268013837</v>
          </cell>
          <cell r="U28">
            <v>-580.84657268013837</v>
          </cell>
          <cell r="V28">
            <v>450.29593887543126</v>
          </cell>
          <cell r="W28" t="str">
            <v>ע"פ תקנות'</v>
          </cell>
          <cell r="Y28">
            <v>1031.1425115555696</v>
          </cell>
          <cell r="Z28">
            <v>120.93556169921493</v>
          </cell>
          <cell r="AA28">
            <v>55.920279816194764</v>
          </cell>
          <cell r="AB28">
            <v>-55.920279816194764</v>
          </cell>
          <cell r="AC28">
            <v>65.015281883020165</v>
          </cell>
          <cell r="AD28" t="str">
            <v>ע"פ תקנות'</v>
          </cell>
          <cell r="AF28">
            <v>120.93556169921493</v>
          </cell>
          <cell r="AG28">
            <v>5267.8075428788097</v>
          </cell>
          <cell r="AH28">
            <v>66666.666400000002</v>
          </cell>
          <cell r="AI28">
            <v>38320</v>
          </cell>
          <cell r="AJ28">
            <v>8500</v>
          </cell>
          <cell r="AK28">
            <v>0</v>
          </cell>
          <cell r="AL28">
            <v>26522</v>
          </cell>
          <cell r="AM28">
            <v>4.1275688966873531E-2</v>
          </cell>
          <cell r="AO28">
            <v>5783.1187636372615</v>
          </cell>
          <cell r="AP28">
            <v>515.31122075845144</v>
          </cell>
          <cell r="AQ28">
            <v>5267.8075428788097</v>
          </cell>
          <cell r="AR28">
            <v>1031.1425115555696</v>
          </cell>
          <cell r="AS28">
            <v>120.93556169921493</v>
          </cell>
          <cell r="AY28">
            <v>11.0623958400455</v>
          </cell>
          <cell r="AZ28">
            <v>18</v>
          </cell>
          <cell r="BA28">
            <v>35</v>
          </cell>
        </row>
        <row r="29">
          <cell r="A29" t="str">
            <v>8160-01-129</v>
          </cell>
          <cell r="B29" t="str">
            <v>Shy Datika</v>
          </cell>
          <cell r="C29" t="str">
            <v>023942162</v>
          </cell>
          <cell r="D29">
            <v>23942162</v>
          </cell>
          <cell r="F29" t="str">
            <v>שי דתיקה</v>
          </cell>
          <cell r="G29" t="str">
            <v>I</v>
          </cell>
          <cell r="I29">
            <v>500000</v>
          </cell>
          <cell r="J29">
            <v>6.7762322893512991E-3</v>
          </cell>
          <cell r="K29">
            <v>9.7461485024155931E-3</v>
          </cell>
          <cell r="M29">
            <v>10311.425115555698</v>
          </cell>
          <cell r="N29">
            <v>1209.3556169921494</v>
          </cell>
          <cell r="O29">
            <v>2937.0161765453086</v>
          </cell>
          <cell r="P29">
            <v>14457.796909093155</v>
          </cell>
          <cell r="Q29">
            <v>769.81222280723796</v>
          </cell>
          <cell r="R29">
            <v>11081.237338362935</v>
          </cell>
          <cell r="S29">
            <v>2577.8562788889244</v>
          </cell>
          <cell r="T29">
            <v>1452.1164317003461</v>
          </cell>
          <cell r="U29">
            <v>-1452.1164317003461</v>
          </cell>
          <cell r="V29">
            <v>1125.7398471885783</v>
          </cell>
          <cell r="W29" t="str">
            <v>ע"פ תקנות'</v>
          </cell>
          <cell r="Y29">
            <v>2577.8562788889244</v>
          </cell>
          <cell r="Z29">
            <v>302.33890424803735</v>
          </cell>
          <cell r="AA29">
            <v>139.8006995404869</v>
          </cell>
          <cell r="AB29">
            <v>-139.8006995404869</v>
          </cell>
          <cell r="AC29">
            <v>162.53820470755045</v>
          </cell>
          <cell r="AD29" t="str">
            <v>ע"פ תקנות'</v>
          </cell>
          <cell r="AF29">
            <v>302.33890424803735</v>
          </cell>
          <cell r="AG29">
            <v>13169.518857197025</v>
          </cell>
          <cell r="AH29">
            <v>166666.666</v>
          </cell>
          <cell r="AI29">
            <v>95800.5</v>
          </cell>
          <cell r="AJ29">
            <v>21250</v>
          </cell>
          <cell r="AK29">
            <v>0</v>
          </cell>
          <cell r="AL29">
            <v>66306</v>
          </cell>
          <cell r="AM29">
            <v>4.1275618124891722E-2</v>
          </cell>
          <cell r="AO29">
            <v>14457.796909093155</v>
          </cell>
          <cell r="AP29">
            <v>1288.2780518961288</v>
          </cell>
          <cell r="AQ29">
            <v>13169.518857197025</v>
          </cell>
          <cell r="AR29">
            <v>2577.8562788889244</v>
          </cell>
          <cell r="AS29">
            <v>302.33890424803735</v>
          </cell>
          <cell r="AY29">
            <v>27.655989600113749</v>
          </cell>
          <cell r="AZ29">
            <v>27.655989600113749</v>
          </cell>
          <cell r="BA29">
            <v>35</v>
          </cell>
        </row>
        <row r="30">
          <cell r="A30" t="str">
            <v>8160-01-130</v>
          </cell>
          <cell r="B30" t="str">
            <v>Solog Industrial Buildings LTD</v>
          </cell>
          <cell r="C30">
            <v>512170234</v>
          </cell>
          <cell r="D30">
            <v>512170234</v>
          </cell>
          <cell r="E30" t="str">
            <v>Solog Industrial Buildings LTD</v>
          </cell>
          <cell r="F30" t="str">
            <v>סולוג מבני תעשייה (1995) בע"מ</v>
          </cell>
          <cell r="G30" t="str">
            <v>I</v>
          </cell>
          <cell r="I30">
            <v>300000</v>
          </cell>
          <cell r="J30">
            <v>4.0657393736107791E-3</v>
          </cell>
          <cell r="K30">
            <v>5.8476891014493555E-3</v>
          </cell>
          <cell r="M30">
            <v>6186.8550693334182</v>
          </cell>
          <cell r="N30">
            <v>725.61337019528958</v>
          </cell>
          <cell r="O30">
            <v>1762.2097059271848</v>
          </cell>
          <cell r="P30">
            <v>8674.6781454558932</v>
          </cell>
          <cell r="Q30">
            <v>461.88733368434271</v>
          </cell>
          <cell r="R30">
            <v>6648.7424030177608</v>
          </cell>
          <cell r="T30">
            <v>871.2698590202076</v>
          </cell>
          <cell r="W30" t="str">
            <v>V</v>
          </cell>
          <cell r="X30">
            <v>871.2698590202076</v>
          </cell>
          <cell r="Y30">
            <v>871.2698590202076</v>
          </cell>
          <cell r="AA30">
            <v>83.880419724292139</v>
          </cell>
          <cell r="AD30" t="str">
            <v>V</v>
          </cell>
          <cell r="AE30">
            <v>83.880419724292139</v>
          </cell>
          <cell r="AF30">
            <v>83.880419724292139</v>
          </cell>
          <cell r="AG30">
            <v>8674.6781454558932</v>
          </cell>
          <cell r="AH30" t="e">
            <v>#N/A</v>
          </cell>
          <cell r="AI30" t="e">
            <v>#N/A</v>
          </cell>
          <cell r="AJ30" t="e">
            <v>#N/A</v>
          </cell>
          <cell r="AK30" t="e">
            <v>#N/A</v>
          </cell>
          <cell r="AL30" t="e">
            <v>#N/A</v>
          </cell>
          <cell r="AM30" t="e">
            <v>#N/A</v>
          </cell>
          <cell r="AO30">
            <v>8674.6781454558932</v>
          </cell>
          <cell r="AP30">
            <v>0</v>
          </cell>
          <cell r="AQ30">
            <v>8674.6781454558932</v>
          </cell>
          <cell r="AR30">
            <v>871.2698590202076</v>
          </cell>
          <cell r="AS30">
            <v>83.880419724292139</v>
          </cell>
          <cell r="AY30">
            <v>18.216824105457373</v>
          </cell>
          <cell r="AZ30">
            <v>18.216824105457373</v>
          </cell>
          <cell r="BA30">
            <v>35</v>
          </cell>
        </row>
        <row r="31">
          <cell r="A31" t="str">
            <v>8160-01-131</v>
          </cell>
          <cell r="B31" t="str">
            <v>The Ehud Sol Company</v>
          </cell>
          <cell r="C31">
            <v>514299676</v>
          </cell>
          <cell r="D31">
            <v>514299676</v>
          </cell>
          <cell r="E31" t="str">
            <v>The Ehud Sol Company</v>
          </cell>
          <cell r="F31" t="str">
            <v>חברת אהוד סול</v>
          </cell>
          <cell r="G31" t="str">
            <v>I</v>
          </cell>
          <cell r="I31">
            <v>250000</v>
          </cell>
          <cell r="J31">
            <v>3.3881161446756495E-3</v>
          </cell>
          <cell r="K31">
            <v>4.8730742512077966E-3</v>
          </cell>
          <cell r="M31">
            <v>5155.7125577778488</v>
          </cell>
          <cell r="N31">
            <v>604.6778084960747</v>
          </cell>
          <cell r="O31">
            <v>1468.5080882726543</v>
          </cell>
          <cell r="P31">
            <v>7228.8984545465773</v>
          </cell>
          <cell r="Q31">
            <v>384.90611140361898</v>
          </cell>
          <cell r="R31">
            <v>5540.6186691814673</v>
          </cell>
          <cell r="S31">
            <v>1288.9281394444622</v>
          </cell>
          <cell r="T31">
            <v>726.05821585017304</v>
          </cell>
          <cell r="U31">
            <v>-726.05821585017304</v>
          </cell>
          <cell r="V31">
            <v>562.86992359428916</v>
          </cell>
          <cell r="W31" t="str">
            <v>ע"פ תקנות'</v>
          </cell>
          <cell r="Y31">
            <v>1288.9281394444622</v>
          </cell>
          <cell r="Z31">
            <v>151.16945212401868</v>
          </cell>
          <cell r="AA31">
            <v>69.900349770243452</v>
          </cell>
          <cell r="AB31">
            <v>-69.900349770243452</v>
          </cell>
          <cell r="AC31">
            <v>81.269102353775224</v>
          </cell>
          <cell r="AD31" t="str">
            <v>ע"פ תקנות'</v>
          </cell>
          <cell r="AF31">
            <v>151.16945212401868</v>
          </cell>
          <cell r="AG31">
            <v>6584.7594285985124</v>
          </cell>
          <cell r="AH31" t="e">
            <v>#N/A</v>
          </cell>
          <cell r="AI31" t="e">
            <v>#N/A</v>
          </cell>
          <cell r="AJ31" t="e">
            <v>#N/A</v>
          </cell>
          <cell r="AK31" t="e">
            <v>#N/A</v>
          </cell>
          <cell r="AL31" t="e">
            <v>#N/A</v>
          </cell>
          <cell r="AM31" t="e">
            <v>#N/A</v>
          </cell>
          <cell r="AO31">
            <v>7228.8984545465773</v>
          </cell>
          <cell r="AP31">
            <v>644.13902594806439</v>
          </cell>
          <cell r="AQ31">
            <v>6584.7594285985124</v>
          </cell>
          <cell r="AR31">
            <v>1288.9281394444622</v>
          </cell>
          <cell r="AS31">
            <v>151.16945212401868</v>
          </cell>
          <cell r="AY31">
            <v>13.827994800056874</v>
          </cell>
          <cell r="AZ31">
            <v>18</v>
          </cell>
          <cell r="BA31">
            <v>35</v>
          </cell>
        </row>
        <row r="32">
          <cell r="A32" t="str">
            <v>8160-01-132</v>
          </cell>
          <cell r="B32" t="str">
            <v>Anat (Shay) Loterbach</v>
          </cell>
          <cell r="C32" t="str">
            <v>057105652</v>
          </cell>
          <cell r="D32">
            <v>520023185</v>
          </cell>
          <cell r="F32" t="str">
            <v>ענת לוטרבך</v>
          </cell>
          <cell r="G32" t="str">
            <v>I</v>
          </cell>
          <cell r="H32" t="str">
            <v>Phoenix</v>
          </cell>
          <cell r="I32">
            <v>250000</v>
          </cell>
          <cell r="J32">
            <v>3.3881161446756495E-3</v>
          </cell>
          <cell r="K32">
            <v>4.8730742512077966E-3</v>
          </cell>
          <cell r="M32">
            <v>5155.7125577778488</v>
          </cell>
          <cell r="N32">
            <v>604.6778084960747</v>
          </cell>
          <cell r="O32">
            <v>1468.5080882726543</v>
          </cell>
          <cell r="P32">
            <v>7228.8984545465773</v>
          </cell>
          <cell r="Q32">
            <v>384.90611140361898</v>
          </cell>
          <cell r="R32">
            <v>5540.6186691814673</v>
          </cell>
          <cell r="T32">
            <v>726.05821585017304</v>
          </cell>
          <cell r="V32">
            <v>0</v>
          </cell>
          <cell r="X32">
            <v>726.05821585017304</v>
          </cell>
          <cell r="Y32">
            <v>726.05821585017304</v>
          </cell>
          <cell r="AA32">
            <v>69.900349770243452</v>
          </cell>
          <cell r="AC32">
            <v>0</v>
          </cell>
          <cell r="AE32">
            <v>69.900349770243452</v>
          </cell>
          <cell r="AF32">
            <v>69.900349770243452</v>
          </cell>
          <cell r="AG32">
            <v>7228.8984545465773</v>
          </cell>
          <cell r="AH32">
            <v>83333.332999999999</v>
          </cell>
          <cell r="AI32">
            <v>47900.25</v>
          </cell>
          <cell r="AJ32">
            <v>10625</v>
          </cell>
          <cell r="AK32">
            <v>0</v>
          </cell>
          <cell r="AL32">
            <v>33153</v>
          </cell>
          <cell r="AM32">
            <v>4.1275618124891722E-2</v>
          </cell>
          <cell r="AO32">
            <v>7228.8984545465773</v>
          </cell>
          <cell r="AP32">
            <v>0</v>
          </cell>
          <cell r="AQ32">
            <v>7228.8984545465773</v>
          </cell>
          <cell r="AR32">
            <v>726.05821585017304</v>
          </cell>
          <cell r="AS32">
            <v>69.900349770243452</v>
          </cell>
          <cell r="AY32">
            <v>15.180686754547812</v>
          </cell>
          <cell r="AZ32">
            <v>18</v>
          </cell>
          <cell r="BA32">
            <v>35</v>
          </cell>
        </row>
        <row r="33">
          <cell r="A33" t="str">
            <v>8160-01-133</v>
          </cell>
          <cell r="B33" t="str">
            <v>Moshe Arkin</v>
          </cell>
          <cell r="C33" t="str">
            <v>051643062</v>
          </cell>
          <cell r="D33">
            <v>520023185</v>
          </cell>
          <cell r="F33" t="str">
            <v>משה ארקין</v>
          </cell>
          <cell r="G33" t="str">
            <v>I</v>
          </cell>
          <cell r="H33" t="str">
            <v>Phoenix</v>
          </cell>
          <cell r="I33">
            <v>500000</v>
          </cell>
          <cell r="J33">
            <v>6.7762322893512991E-3</v>
          </cell>
          <cell r="K33">
            <v>9.7461485024155931E-3</v>
          </cell>
          <cell r="M33">
            <v>10311.425115555698</v>
          </cell>
          <cell r="N33">
            <v>1209.3556169921494</v>
          </cell>
          <cell r="O33">
            <v>2937.0161765453086</v>
          </cell>
          <cell r="P33">
            <v>14457.796909093155</v>
          </cell>
          <cell r="Q33">
            <v>769.81222280723796</v>
          </cell>
          <cell r="R33">
            <v>11081.237338362935</v>
          </cell>
          <cell r="T33">
            <v>1452.1164317003461</v>
          </cell>
          <cell r="V33">
            <v>0</v>
          </cell>
          <cell r="X33">
            <v>1452.1164317003461</v>
          </cell>
          <cell r="Y33">
            <v>1452.1164317003461</v>
          </cell>
          <cell r="AA33">
            <v>139.8006995404869</v>
          </cell>
          <cell r="AC33">
            <v>0</v>
          </cell>
          <cell r="AE33">
            <v>139.8006995404869</v>
          </cell>
          <cell r="AF33">
            <v>139.8006995404869</v>
          </cell>
          <cell r="AG33">
            <v>14457.796909093155</v>
          </cell>
          <cell r="AH33">
            <v>166666.666</v>
          </cell>
          <cell r="AI33">
            <v>95800.5</v>
          </cell>
          <cell r="AJ33">
            <v>21250</v>
          </cell>
          <cell r="AK33">
            <v>0</v>
          </cell>
          <cell r="AL33">
            <v>66306</v>
          </cell>
          <cell r="AM33">
            <v>4.1275618124891722E-2</v>
          </cell>
          <cell r="AO33">
            <v>14457.796909093155</v>
          </cell>
          <cell r="AP33">
            <v>0</v>
          </cell>
          <cell r="AQ33">
            <v>14457.796909093155</v>
          </cell>
          <cell r="AR33">
            <v>1452.1164317003461</v>
          </cell>
          <cell r="AS33">
            <v>139.8006995404869</v>
          </cell>
          <cell r="AY33">
            <v>30.361373509095625</v>
          </cell>
          <cell r="AZ33">
            <v>30.361373509095625</v>
          </cell>
          <cell r="BA33">
            <v>35</v>
          </cell>
        </row>
        <row r="34">
          <cell r="A34" t="str">
            <v>8160-01-134</v>
          </cell>
          <cell r="B34" t="str">
            <v>Yaron Sorek Holdings</v>
          </cell>
          <cell r="C34">
            <v>512875113</v>
          </cell>
          <cell r="D34">
            <v>512875113</v>
          </cell>
          <cell r="E34" t="str">
            <v>Yaron Sorek Holdings</v>
          </cell>
          <cell r="F34" t="str">
            <v>ירון שורק החזקות</v>
          </cell>
          <cell r="G34" t="str">
            <v>I</v>
          </cell>
          <cell r="I34">
            <v>250000</v>
          </cell>
          <cell r="J34">
            <v>3.3881161446756495E-3</v>
          </cell>
          <cell r="K34">
            <v>4.8730742512077966E-3</v>
          </cell>
          <cell r="M34">
            <v>5155.7125577778488</v>
          </cell>
          <cell r="N34">
            <v>604.6778084960747</v>
          </cell>
          <cell r="O34">
            <v>1468.5080882726543</v>
          </cell>
          <cell r="P34">
            <v>7228.8984545465773</v>
          </cell>
          <cell r="Q34">
            <v>384.90611140361898</v>
          </cell>
          <cell r="R34">
            <v>5540.6186691814673</v>
          </cell>
          <cell r="T34">
            <v>726.05821585017304</v>
          </cell>
          <cell r="W34" t="str">
            <v>V</v>
          </cell>
          <cell r="X34">
            <v>726.05821585017304</v>
          </cell>
          <cell r="Y34">
            <v>726.05821585017304</v>
          </cell>
          <cell r="AA34">
            <v>69.900349770243452</v>
          </cell>
          <cell r="AD34" t="str">
            <v>V</v>
          </cell>
          <cell r="AE34">
            <v>69.900349770243452</v>
          </cell>
          <cell r="AF34">
            <v>69.900349770243452</v>
          </cell>
          <cell r="AG34">
            <v>7228.8984545465773</v>
          </cell>
          <cell r="AH34" t="e">
            <v>#N/A</v>
          </cell>
          <cell r="AI34" t="e">
            <v>#N/A</v>
          </cell>
          <cell r="AJ34" t="e">
            <v>#N/A</v>
          </cell>
          <cell r="AK34" t="e">
            <v>#N/A</v>
          </cell>
          <cell r="AL34" t="e">
            <v>#N/A</v>
          </cell>
          <cell r="AM34" t="e">
            <v>#N/A</v>
          </cell>
          <cell r="AO34">
            <v>7228.8984545465773</v>
          </cell>
          <cell r="AP34">
            <v>0</v>
          </cell>
          <cell r="AQ34">
            <v>7228.8984545465773</v>
          </cell>
          <cell r="AR34">
            <v>726.05821585017304</v>
          </cell>
          <cell r="AS34">
            <v>69.900349770243452</v>
          </cell>
          <cell r="AY34">
            <v>15.180686754547812</v>
          </cell>
          <cell r="AZ34">
            <v>18</v>
          </cell>
          <cell r="BA34">
            <v>35</v>
          </cell>
        </row>
        <row r="35">
          <cell r="A35" t="str">
            <v>8160-01-135</v>
          </cell>
          <cell r="B35" t="str">
            <v>Zafrir Engineers Ltd</v>
          </cell>
          <cell r="C35">
            <v>520042367</v>
          </cell>
          <cell r="D35">
            <v>520042367</v>
          </cell>
          <cell r="E35" t="str">
            <v>Zafrir Engineers Ltd</v>
          </cell>
          <cell r="F35" t="str">
            <v>צפריר מהנדסים בע"מ</v>
          </cell>
          <cell r="G35" t="str">
            <v>I</v>
          </cell>
          <cell r="I35">
            <v>250000</v>
          </cell>
          <cell r="J35">
            <v>3.3881161446756495E-3</v>
          </cell>
          <cell r="K35">
            <v>4.8730742512077966E-3</v>
          </cell>
          <cell r="M35">
            <v>5155.7125577778488</v>
          </cell>
          <cell r="N35">
            <v>604.6778084960747</v>
          </cell>
          <cell r="O35">
            <v>1468.5080882726543</v>
          </cell>
          <cell r="P35">
            <v>7228.8984545465773</v>
          </cell>
          <cell r="Q35">
            <v>384.90611140361898</v>
          </cell>
          <cell r="R35">
            <v>5540.6186691814673</v>
          </cell>
          <cell r="T35">
            <v>726.05821585017304</v>
          </cell>
          <cell r="W35" t="str">
            <v>V</v>
          </cell>
          <cell r="X35">
            <v>726.05821585017304</v>
          </cell>
          <cell r="Y35">
            <v>726.05821585017304</v>
          </cell>
          <cell r="AA35">
            <v>69.900349770243452</v>
          </cell>
          <cell r="AD35" t="str">
            <v>V</v>
          </cell>
          <cell r="AE35">
            <v>69.900349770243452</v>
          </cell>
          <cell r="AF35">
            <v>69.900349770243452</v>
          </cell>
          <cell r="AG35">
            <v>7228.8984545465773</v>
          </cell>
          <cell r="AH35" t="e">
            <v>#N/A</v>
          </cell>
          <cell r="AI35" t="e">
            <v>#N/A</v>
          </cell>
          <cell r="AJ35" t="e">
            <v>#N/A</v>
          </cell>
          <cell r="AK35" t="e">
            <v>#N/A</v>
          </cell>
          <cell r="AL35" t="e">
            <v>#N/A</v>
          </cell>
          <cell r="AM35" t="e">
            <v>#N/A</v>
          </cell>
          <cell r="AO35">
            <v>7228.8984545465773</v>
          </cell>
          <cell r="AP35">
            <v>0</v>
          </cell>
          <cell r="AQ35">
            <v>7228.8984545465773</v>
          </cell>
          <cell r="AR35">
            <v>726.05821585017304</v>
          </cell>
          <cell r="AS35">
            <v>69.900349770243452</v>
          </cell>
          <cell r="AY35">
            <v>15.180686754547812</v>
          </cell>
          <cell r="AZ35">
            <v>18</v>
          </cell>
          <cell r="BA35">
            <v>35</v>
          </cell>
        </row>
        <row r="36">
          <cell r="A36" t="str">
            <v>8160-01-136</v>
          </cell>
          <cell r="B36" t="str">
            <v>Zvi V &amp; Co Company</v>
          </cell>
          <cell r="C36">
            <v>512715970</v>
          </cell>
          <cell r="D36">
            <v>512715970</v>
          </cell>
          <cell r="E36" t="str">
            <v>Zvi V &amp; Co Company</v>
          </cell>
          <cell r="F36" t="str">
            <v>חברת צבי ו. ושות' בע"מ</v>
          </cell>
          <cell r="G36" t="str">
            <v>I</v>
          </cell>
          <cell r="I36">
            <v>500000</v>
          </cell>
          <cell r="J36">
            <v>6.7762322893512991E-3</v>
          </cell>
          <cell r="K36">
            <v>9.7461485024155931E-3</v>
          </cell>
          <cell r="M36">
            <v>10311.425115555698</v>
          </cell>
          <cell r="N36">
            <v>1209.3556169921494</v>
          </cell>
          <cell r="O36">
            <v>2937.0161765453086</v>
          </cell>
          <cell r="P36">
            <v>14457.796909093155</v>
          </cell>
          <cell r="Q36">
            <v>769.81222280723796</v>
          </cell>
          <cell r="R36">
            <v>11081.237338362935</v>
          </cell>
          <cell r="T36">
            <v>1452.1164317003461</v>
          </cell>
          <cell r="W36" t="str">
            <v>V</v>
          </cell>
          <cell r="X36">
            <v>1452.1164317003461</v>
          </cell>
          <cell r="Y36">
            <v>1452.1164317003461</v>
          </cell>
          <cell r="AA36">
            <v>139.8006995404869</v>
          </cell>
          <cell r="AD36" t="str">
            <v>V</v>
          </cell>
          <cell r="AE36">
            <v>139.8006995404869</v>
          </cell>
          <cell r="AF36">
            <v>139.8006995404869</v>
          </cell>
          <cell r="AG36">
            <v>14457.796909093155</v>
          </cell>
          <cell r="AH36" t="e">
            <v>#N/A</v>
          </cell>
          <cell r="AI36" t="e">
            <v>#N/A</v>
          </cell>
          <cell r="AJ36" t="e">
            <v>#N/A</v>
          </cell>
          <cell r="AK36" t="e">
            <v>#N/A</v>
          </cell>
          <cell r="AL36" t="e">
            <v>#N/A</v>
          </cell>
          <cell r="AM36" t="e">
            <v>#N/A</v>
          </cell>
          <cell r="AO36">
            <v>14457.796909093155</v>
          </cell>
          <cell r="AP36">
            <v>0</v>
          </cell>
          <cell r="AQ36">
            <v>14457.796909093155</v>
          </cell>
          <cell r="AR36">
            <v>1452.1164317003461</v>
          </cell>
          <cell r="AS36">
            <v>139.8006995404869</v>
          </cell>
          <cell r="AY36">
            <v>30.361373509095625</v>
          </cell>
          <cell r="AZ36">
            <v>30.361373509095625</v>
          </cell>
          <cell r="BA36">
            <v>35</v>
          </cell>
        </row>
        <row r="37">
          <cell r="A37" t="str">
            <v>8160-01-137</v>
          </cell>
          <cell r="B37" t="str">
            <v>ADIPAZ Israel Gold Jewllery LTD</v>
          </cell>
          <cell r="C37">
            <v>510606643</v>
          </cell>
          <cell r="D37">
            <v>510606643</v>
          </cell>
          <cell r="E37" t="str">
            <v>ADIPAZ Israel Gold Jewllery LTD</v>
          </cell>
          <cell r="F37" t="str">
            <v>עדיפז תכשיטי זהב בישראל בע"מ</v>
          </cell>
          <cell r="G37" t="str">
            <v>I</v>
          </cell>
          <cell r="I37">
            <v>500000</v>
          </cell>
          <cell r="J37">
            <v>6.7762322893512991E-3</v>
          </cell>
          <cell r="K37">
            <v>9.7461485024155931E-3</v>
          </cell>
          <cell r="M37">
            <v>10311.425115555698</v>
          </cell>
          <cell r="N37">
            <v>1209.3556169921494</v>
          </cell>
          <cell r="O37">
            <v>2937.0161765453086</v>
          </cell>
          <cell r="P37">
            <v>14457.796909093155</v>
          </cell>
          <cell r="Q37">
            <v>769.81222280723796</v>
          </cell>
          <cell r="R37">
            <v>11081.237338362935</v>
          </cell>
          <cell r="T37">
            <v>1452.1164317003461</v>
          </cell>
          <cell r="W37" t="str">
            <v>V</v>
          </cell>
          <cell r="X37">
            <v>1452.1164317003461</v>
          </cell>
          <cell r="Y37">
            <v>1452.1164317003461</v>
          </cell>
          <cell r="AA37">
            <v>139.8006995404869</v>
          </cell>
          <cell r="AD37" t="str">
            <v>V</v>
          </cell>
          <cell r="AE37">
            <v>139.8006995404869</v>
          </cell>
          <cell r="AF37">
            <v>139.8006995404869</v>
          </cell>
          <cell r="AG37">
            <v>14457.796909093155</v>
          </cell>
          <cell r="AH37" t="e">
            <v>#N/A</v>
          </cell>
          <cell r="AI37" t="e">
            <v>#N/A</v>
          </cell>
          <cell r="AJ37" t="e">
            <v>#N/A</v>
          </cell>
          <cell r="AK37" t="e">
            <v>#N/A</v>
          </cell>
          <cell r="AL37" t="e">
            <v>#N/A</v>
          </cell>
          <cell r="AM37" t="e">
            <v>#N/A</v>
          </cell>
          <cell r="AO37">
            <v>14457.796909093155</v>
          </cell>
          <cell r="AP37">
            <v>0</v>
          </cell>
          <cell r="AQ37">
            <v>14457.796909093155</v>
          </cell>
          <cell r="AR37">
            <v>1452.1164317003461</v>
          </cell>
          <cell r="AS37">
            <v>139.8006995404869</v>
          </cell>
          <cell r="AY37">
            <v>30.361373509095625</v>
          </cell>
          <cell r="AZ37">
            <v>30.361373509095625</v>
          </cell>
          <cell r="BA37">
            <v>35</v>
          </cell>
        </row>
        <row r="38">
          <cell r="A38" t="str">
            <v>8160-01-138</v>
          </cell>
          <cell r="B38" t="str">
            <v>E. Itzhaki Building &amp; Investments Co. Ltd</v>
          </cell>
          <cell r="C38" t="str">
            <v>510-063-647</v>
          </cell>
          <cell r="D38" t="str">
            <v>510-063-647</v>
          </cell>
          <cell r="E38" t="str">
            <v>E. Itzhaki Building &amp; Investments Co. Ltd</v>
          </cell>
          <cell r="F38" t="str">
            <v>א יצחקי חברה לבנין והשקעות בע"מ</v>
          </cell>
          <cell r="G38" t="str">
            <v>I</v>
          </cell>
          <cell r="I38">
            <v>500000</v>
          </cell>
          <cell r="J38">
            <v>6.7762322893512991E-3</v>
          </cell>
          <cell r="K38">
            <v>9.7461485024155931E-3</v>
          </cell>
          <cell r="M38">
            <v>10311.425115555698</v>
          </cell>
          <cell r="N38">
            <v>1209.3556169921494</v>
          </cell>
          <cell r="O38">
            <v>2937.0161765453086</v>
          </cell>
          <cell r="P38">
            <v>14457.796909093155</v>
          </cell>
          <cell r="Q38">
            <v>769.81222280723796</v>
          </cell>
          <cell r="R38">
            <v>11081.237338362935</v>
          </cell>
          <cell r="T38">
            <v>1452.1164317003461</v>
          </cell>
          <cell r="W38" t="str">
            <v>V</v>
          </cell>
          <cell r="X38">
            <v>1452.1164317003461</v>
          </cell>
          <cell r="Y38">
            <v>1452.1164317003461</v>
          </cell>
          <cell r="AA38">
            <v>139.8006995404869</v>
          </cell>
          <cell r="AD38" t="str">
            <v>V</v>
          </cell>
          <cell r="AE38">
            <v>139.8006995404869</v>
          </cell>
          <cell r="AF38">
            <v>139.8006995404869</v>
          </cell>
          <cell r="AG38">
            <v>14457.796909093155</v>
          </cell>
          <cell r="AH38" t="e">
            <v>#N/A</v>
          </cell>
          <cell r="AI38" t="e">
            <v>#N/A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 t="str">
            <v>הגדלה ב- Subscription</v>
          </cell>
          <cell r="AO38">
            <v>14457.796909093155</v>
          </cell>
          <cell r="AP38">
            <v>0</v>
          </cell>
          <cell r="AQ38">
            <v>14457.796909093155</v>
          </cell>
          <cell r="AR38">
            <v>1452.1164317003461</v>
          </cell>
          <cell r="AS38">
            <v>139.8006995404869</v>
          </cell>
          <cell r="AY38">
            <v>30.361373509095625</v>
          </cell>
          <cell r="AZ38">
            <v>30.361373509095625</v>
          </cell>
          <cell r="BA38">
            <v>35</v>
          </cell>
        </row>
        <row r="39">
          <cell r="A39" t="str">
            <v>8160-01-139</v>
          </cell>
          <cell r="B39" t="str">
            <v>Tamar Marash</v>
          </cell>
          <cell r="C39" t="str">
            <v>UTR 5882338352</v>
          </cell>
          <cell r="D39" t="str">
            <v>UTR 5882338352</v>
          </cell>
          <cell r="F39" t="str">
            <v>תמר מרש</v>
          </cell>
          <cell r="G39" t="str">
            <v>I</v>
          </cell>
          <cell r="I39">
            <v>400000</v>
          </cell>
          <cell r="J39">
            <v>5.4209858314810391E-3</v>
          </cell>
          <cell r="K39">
            <v>7.7969188019324743E-3</v>
          </cell>
          <cell r="M39">
            <v>8249.140092444557</v>
          </cell>
          <cell r="N39">
            <v>967.48449359371944</v>
          </cell>
          <cell r="O39">
            <v>2349.6129412362466</v>
          </cell>
          <cell r="P39">
            <v>11566.237527274523</v>
          </cell>
          <cell r="Q39">
            <v>615.84977824579028</v>
          </cell>
          <cell r="R39">
            <v>8864.9898706903477</v>
          </cell>
          <cell r="S39">
            <v>2062.2850231111393</v>
          </cell>
          <cell r="T39">
            <v>1161.6931453602767</v>
          </cell>
          <cell r="U39">
            <v>-1161.6931453602767</v>
          </cell>
          <cell r="V39">
            <v>900.59187775086252</v>
          </cell>
          <cell r="W39" t="str">
            <v>X</v>
          </cell>
          <cell r="Y39">
            <v>2062.2850231111393</v>
          </cell>
          <cell r="Z39">
            <v>241.87112339842986</v>
          </cell>
          <cell r="AA39">
            <v>111.84055963238953</v>
          </cell>
          <cell r="AB39">
            <v>-111.84055963238953</v>
          </cell>
          <cell r="AC39">
            <v>130.03056376604033</v>
          </cell>
          <cell r="AD39" t="str">
            <v>X</v>
          </cell>
          <cell r="AF39">
            <v>241.87112339842986</v>
          </cell>
          <cell r="AG39">
            <v>10535.615085757619</v>
          </cell>
          <cell r="AH39">
            <v>133333.3328</v>
          </cell>
          <cell r="AI39">
            <v>76640</v>
          </cell>
          <cell r="AJ39">
            <v>17000</v>
          </cell>
          <cell r="AK39">
            <v>0</v>
          </cell>
          <cell r="AL39">
            <v>53045</v>
          </cell>
          <cell r="AM39">
            <v>4.1275669728611603E-2</v>
          </cell>
          <cell r="AO39">
            <v>11566.237527274523</v>
          </cell>
          <cell r="AP39">
            <v>1030.6224415169029</v>
          </cell>
          <cell r="AQ39">
            <v>10535.615085757619</v>
          </cell>
          <cell r="AR39">
            <v>2062.2850231111393</v>
          </cell>
          <cell r="AS39">
            <v>241.87112339842986</v>
          </cell>
          <cell r="AY39">
            <v>22.124791680091001</v>
          </cell>
          <cell r="AZ39">
            <v>22.124791680091001</v>
          </cell>
          <cell r="BA39">
            <v>35</v>
          </cell>
        </row>
        <row r="40">
          <cell r="A40" t="str">
            <v>8160-01-140</v>
          </cell>
          <cell r="B40" t="str">
            <v>DO-TSACH LTD</v>
          </cell>
          <cell r="C40">
            <v>513229104</v>
          </cell>
          <cell r="D40">
            <v>513229104</v>
          </cell>
          <cell r="E40" t="str">
            <v>DO-TSACH LTD</v>
          </cell>
          <cell r="F40" t="str">
            <v>דו - צח בע"מ</v>
          </cell>
          <cell r="G40" t="str">
            <v>I</v>
          </cell>
          <cell r="I40">
            <v>250000</v>
          </cell>
          <cell r="J40">
            <v>3.3881161446756495E-3</v>
          </cell>
          <cell r="K40">
            <v>4.8730742512077966E-3</v>
          </cell>
          <cell r="M40">
            <v>5155.7125577778488</v>
          </cell>
          <cell r="N40">
            <v>604.6778084960747</v>
          </cell>
          <cell r="O40">
            <v>1468.5080882726543</v>
          </cell>
          <cell r="P40">
            <v>7228.8984545465773</v>
          </cell>
          <cell r="Q40">
            <v>384.90611140361898</v>
          </cell>
          <cell r="R40">
            <v>5540.6186691814673</v>
          </cell>
          <cell r="T40">
            <v>726.05821585017304</v>
          </cell>
          <cell r="W40" t="str">
            <v>V</v>
          </cell>
          <cell r="X40">
            <v>726.05821585017304</v>
          </cell>
          <cell r="Y40">
            <v>726.05821585017304</v>
          </cell>
          <cell r="AA40">
            <v>69.900349770243452</v>
          </cell>
          <cell r="AD40" t="str">
            <v>V</v>
          </cell>
          <cell r="AE40">
            <v>69.900349770243452</v>
          </cell>
          <cell r="AF40">
            <v>69.900349770243452</v>
          </cell>
          <cell r="AG40">
            <v>7228.8984545465773</v>
          </cell>
          <cell r="AH40" t="e">
            <v>#N/A</v>
          </cell>
          <cell r="AI40" t="e">
            <v>#N/A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O40">
            <v>7228.8984545465773</v>
          </cell>
          <cell r="AP40">
            <v>0</v>
          </cell>
          <cell r="AQ40">
            <v>7228.8984545465773</v>
          </cell>
          <cell r="AR40">
            <v>726.05821585017304</v>
          </cell>
          <cell r="AS40">
            <v>69.900349770243452</v>
          </cell>
          <cell r="AY40">
            <v>15.180686754547812</v>
          </cell>
          <cell r="AZ40">
            <v>18</v>
          </cell>
          <cell r="BA40">
            <v>35</v>
          </cell>
        </row>
        <row r="41">
          <cell r="A41" t="str">
            <v>8160-01-141</v>
          </cell>
          <cell r="B41" t="str">
            <v>Zohar Rapaport</v>
          </cell>
          <cell r="C41" t="str">
            <v>024945867</v>
          </cell>
          <cell r="D41">
            <v>24945867</v>
          </cell>
          <cell r="F41" t="str">
            <v>זוהר רפפורט</v>
          </cell>
          <cell r="G41" t="str">
            <v>I</v>
          </cell>
          <cell r="I41">
            <v>300000</v>
          </cell>
          <cell r="J41">
            <v>4.0657393736107791E-3</v>
          </cell>
          <cell r="K41">
            <v>5.8476891014493555E-3</v>
          </cell>
          <cell r="M41">
            <v>6186.8550693334182</v>
          </cell>
          <cell r="N41">
            <v>725.61337019528958</v>
          </cell>
          <cell r="O41">
            <v>1762.2097059271848</v>
          </cell>
          <cell r="P41">
            <v>8674.6781454558932</v>
          </cell>
          <cell r="Q41">
            <v>461.88733368434271</v>
          </cell>
          <cell r="R41">
            <v>6648.7424030177608</v>
          </cell>
          <cell r="S41">
            <v>1546.7137673333546</v>
          </cell>
          <cell r="T41">
            <v>871.2698590202076</v>
          </cell>
          <cell r="U41">
            <v>-871.2698590202076</v>
          </cell>
          <cell r="V41">
            <v>675.44390831314695</v>
          </cell>
          <cell r="W41" t="str">
            <v>ע"פ תקנות'</v>
          </cell>
          <cell r="Y41">
            <v>1546.7137673333546</v>
          </cell>
          <cell r="Z41">
            <v>181.40334254882239</v>
          </cell>
          <cell r="AA41">
            <v>83.880419724292139</v>
          </cell>
          <cell r="AB41">
            <v>-83.880419724292139</v>
          </cell>
          <cell r="AC41">
            <v>97.522922824530255</v>
          </cell>
          <cell r="AD41" t="str">
            <v>ע"פ תקנות'</v>
          </cell>
          <cell r="AF41">
            <v>181.40334254882239</v>
          </cell>
          <cell r="AG41">
            <v>7901.711314318216</v>
          </cell>
          <cell r="AH41">
            <v>99999.999599999996</v>
          </cell>
          <cell r="AI41">
            <v>57480</v>
          </cell>
          <cell r="AJ41">
            <v>12750</v>
          </cell>
          <cell r="AK41">
            <v>0</v>
          </cell>
          <cell r="AL41">
            <v>39784</v>
          </cell>
          <cell r="AM41">
            <v>4.1275663315861626E-2</v>
          </cell>
          <cell r="AO41">
            <v>8674.6781454558932</v>
          </cell>
          <cell r="AP41">
            <v>772.96683113767722</v>
          </cell>
          <cell r="AQ41">
            <v>7901.711314318216</v>
          </cell>
          <cell r="AR41">
            <v>1546.7137673333546</v>
          </cell>
          <cell r="AS41">
            <v>181.40334254882239</v>
          </cell>
          <cell r="AY41">
            <v>16.593593760068252</v>
          </cell>
          <cell r="AZ41">
            <v>18</v>
          </cell>
          <cell r="BA41">
            <v>35</v>
          </cell>
        </row>
        <row r="42">
          <cell r="A42" t="str">
            <v>8160-01-142</v>
          </cell>
          <cell r="B42" t="str">
            <v>Shmuel Bezalel</v>
          </cell>
          <cell r="C42" t="str">
            <v>032170169</v>
          </cell>
          <cell r="D42">
            <v>32170169</v>
          </cell>
          <cell r="F42" t="str">
            <v>שמואל בצלאל</v>
          </cell>
          <cell r="G42" t="str">
            <v>I</v>
          </cell>
          <cell r="I42">
            <v>250000</v>
          </cell>
          <cell r="J42">
            <v>3.3881161446756495E-3</v>
          </cell>
          <cell r="K42">
            <v>4.8730742512077966E-3</v>
          </cell>
          <cell r="M42">
            <v>5155.7125577778488</v>
          </cell>
          <cell r="N42">
            <v>604.6778084960747</v>
          </cell>
          <cell r="O42">
            <v>1468.5080882726543</v>
          </cell>
          <cell r="P42">
            <v>7228.8984545465773</v>
          </cell>
          <cell r="Q42">
            <v>384.90611140361898</v>
          </cell>
          <cell r="R42">
            <v>5540.6186691814673</v>
          </cell>
          <cell r="S42">
            <v>1288.9281394444622</v>
          </cell>
          <cell r="T42">
            <v>726.05821585017304</v>
          </cell>
          <cell r="U42">
            <v>-726.05821585017304</v>
          </cell>
          <cell r="V42">
            <v>562.86992359428916</v>
          </cell>
          <cell r="W42" t="str">
            <v>X</v>
          </cell>
          <cell r="Y42">
            <v>1288.9281394444622</v>
          </cell>
          <cell r="Z42">
            <v>151.16945212401868</v>
          </cell>
          <cell r="AA42">
            <v>69.900349770243452</v>
          </cell>
          <cell r="AB42">
            <v>-69.900349770243452</v>
          </cell>
          <cell r="AC42">
            <v>81.269102353775224</v>
          </cell>
          <cell r="AD42" t="str">
            <v>X</v>
          </cell>
          <cell r="AF42">
            <v>151.16945212401868</v>
          </cell>
          <cell r="AG42">
            <v>6584.7594285985124</v>
          </cell>
          <cell r="AH42">
            <v>83333.332999999999</v>
          </cell>
          <cell r="AI42">
            <v>47900</v>
          </cell>
          <cell r="AJ42">
            <v>10625</v>
          </cell>
          <cell r="AK42">
            <v>0</v>
          </cell>
          <cell r="AL42">
            <v>33153</v>
          </cell>
          <cell r="AM42">
            <v>4.1275673576262571E-2</v>
          </cell>
          <cell r="AO42">
            <v>7228.8984545465773</v>
          </cell>
          <cell r="AP42">
            <v>644.13902594806439</v>
          </cell>
          <cell r="AQ42">
            <v>6584.7594285985124</v>
          </cell>
          <cell r="AR42">
            <v>1288.9281394444622</v>
          </cell>
          <cell r="AS42">
            <v>151.16945212401868</v>
          </cell>
          <cell r="AY42">
            <v>13.827994800056874</v>
          </cell>
          <cell r="AZ42">
            <v>18</v>
          </cell>
          <cell r="BA42">
            <v>35</v>
          </cell>
        </row>
        <row r="43">
          <cell r="A43" t="str">
            <v>8160-01-143</v>
          </cell>
          <cell r="B43" t="str">
            <v>Yosi Buena</v>
          </cell>
          <cell r="C43" t="str">
            <v>030582126</v>
          </cell>
          <cell r="D43">
            <v>520023185</v>
          </cell>
          <cell r="F43" t="str">
            <v>יוסף בואנו</v>
          </cell>
          <cell r="G43" t="str">
            <v>I</v>
          </cell>
          <cell r="H43" t="str">
            <v>Phoenix</v>
          </cell>
          <cell r="I43">
            <v>330000</v>
          </cell>
          <cell r="J43">
            <v>4.4723133109718571E-3</v>
          </cell>
          <cell r="K43">
            <v>6.4324580115942909E-3</v>
          </cell>
          <cell r="M43">
            <v>6805.5405762667597</v>
          </cell>
          <cell r="N43">
            <v>798.17470721481845</v>
          </cell>
          <cell r="O43">
            <v>1938.4306765199033</v>
          </cell>
          <cell r="P43">
            <v>9542.1459600014805</v>
          </cell>
          <cell r="Q43">
            <v>508.07606705277698</v>
          </cell>
          <cell r="R43">
            <v>7313.6166433195367</v>
          </cell>
          <cell r="T43">
            <v>958.3968449222283</v>
          </cell>
          <cell r="V43">
            <v>0</v>
          </cell>
          <cell r="X43">
            <v>958.3968449222283</v>
          </cell>
          <cell r="Y43">
            <v>958.3968449222283</v>
          </cell>
          <cell r="AA43">
            <v>92.26846169672136</v>
          </cell>
          <cell r="AC43">
            <v>0</v>
          </cell>
          <cell r="AE43">
            <v>92.26846169672136</v>
          </cell>
          <cell r="AF43">
            <v>92.26846169672136</v>
          </cell>
          <cell r="AG43">
            <v>9542.1459600014805</v>
          </cell>
          <cell r="AH43">
            <v>109999.99956</v>
          </cell>
          <cell r="AI43">
            <v>63228</v>
          </cell>
          <cell r="AJ43">
            <v>14025</v>
          </cell>
          <cell r="AK43">
            <v>0</v>
          </cell>
          <cell r="AL43">
            <v>43762</v>
          </cell>
          <cell r="AM43">
            <v>4.1275672643498643E-2</v>
          </cell>
          <cell r="AO43">
            <v>9542.1459600014805</v>
          </cell>
          <cell r="AP43">
            <v>0</v>
          </cell>
          <cell r="AQ43">
            <v>9542.1459600014805</v>
          </cell>
          <cell r="AR43">
            <v>958.3968449222283</v>
          </cell>
          <cell r="AS43">
            <v>92.26846169672136</v>
          </cell>
          <cell r="AY43">
            <v>20.038506516003107</v>
          </cell>
          <cell r="AZ43">
            <v>20.038506516003107</v>
          </cell>
          <cell r="BA43">
            <v>35</v>
          </cell>
        </row>
        <row r="44">
          <cell r="A44" t="str">
            <v>8160-01-144</v>
          </cell>
          <cell r="B44" t="str">
            <v>Avi Barman</v>
          </cell>
          <cell r="C44" t="str">
            <v>055588800</v>
          </cell>
          <cell r="D44">
            <v>512065202</v>
          </cell>
          <cell r="F44" t="str">
            <v>אברהם ברמן</v>
          </cell>
          <cell r="G44" t="str">
            <v>I</v>
          </cell>
          <cell r="H44" t="str">
            <v>Meitav</v>
          </cell>
          <cell r="I44">
            <v>250000</v>
          </cell>
          <cell r="J44">
            <v>3.3881161446756495E-3</v>
          </cell>
          <cell r="K44">
            <v>4.8730742512077966E-3</v>
          </cell>
          <cell r="M44">
            <v>5155.7125577778488</v>
          </cell>
          <cell r="N44">
            <v>604.6778084960747</v>
          </cell>
          <cell r="O44">
            <v>1468.5080882726543</v>
          </cell>
          <cell r="P44">
            <v>7228.8984545465773</v>
          </cell>
          <cell r="Q44">
            <v>384.90611140361898</v>
          </cell>
          <cell r="R44">
            <v>5540.6186691814673</v>
          </cell>
          <cell r="T44">
            <v>726.05821585017304</v>
          </cell>
          <cell r="V44">
            <v>0</v>
          </cell>
          <cell r="X44">
            <v>726.05821585017304</v>
          </cell>
          <cell r="Y44">
            <v>726.05821585017304</v>
          </cell>
          <cell r="AA44">
            <v>69.900349770243452</v>
          </cell>
          <cell r="AC44">
            <v>0</v>
          </cell>
          <cell r="AE44">
            <v>69.900349770243452</v>
          </cell>
          <cell r="AF44">
            <v>69.900349770243452</v>
          </cell>
          <cell r="AG44">
            <v>7228.8984545465773</v>
          </cell>
          <cell r="AH44">
            <v>83333.332999999999</v>
          </cell>
          <cell r="AI44">
            <v>47900.25</v>
          </cell>
          <cell r="AJ44">
            <v>10625</v>
          </cell>
          <cell r="AK44">
            <v>0</v>
          </cell>
          <cell r="AL44">
            <v>33150.5</v>
          </cell>
          <cell r="AM44">
            <v>4.127569507785462E-2</v>
          </cell>
          <cell r="AO44">
            <v>7228.8984545465773</v>
          </cell>
          <cell r="AP44">
            <v>0</v>
          </cell>
          <cell r="AQ44">
            <v>7228.8984545465773</v>
          </cell>
          <cell r="AR44">
            <v>726.05821585017304</v>
          </cell>
          <cell r="AS44">
            <v>69.900349770243452</v>
          </cell>
          <cell r="AY44">
            <v>15.180686754547812</v>
          </cell>
          <cell r="AZ44">
            <v>18</v>
          </cell>
          <cell r="BA44">
            <v>35</v>
          </cell>
        </row>
        <row r="45">
          <cell r="A45" t="str">
            <v>8160-01-145</v>
          </cell>
          <cell r="B45" t="str">
            <v>Avigur Zmora</v>
          </cell>
          <cell r="C45" t="str">
            <v>025371055</v>
          </cell>
          <cell r="D45">
            <v>512065202</v>
          </cell>
          <cell r="F45" t="str">
            <v>אביגור זמורה</v>
          </cell>
          <cell r="G45" t="str">
            <v>I</v>
          </cell>
          <cell r="H45" t="str">
            <v>Meitav</v>
          </cell>
          <cell r="I45">
            <v>283718</v>
          </cell>
          <cell r="J45">
            <v>3.8450781453403435E-3</v>
          </cell>
          <cell r="K45">
            <v>5.5303155216166943E-3</v>
          </cell>
          <cell r="M45">
            <v>5851.0738218704628</v>
          </cell>
          <cell r="N45">
            <v>686.23191388355724</v>
          </cell>
          <cell r="O45">
            <v>1666.5687111541636</v>
          </cell>
          <cell r="P45">
            <v>8203.874446908183</v>
          </cell>
          <cell r="Q45">
            <v>436.81916846084789</v>
          </cell>
          <cell r="R45">
            <v>6287.892990331311</v>
          </cell>
          <cell r="T45">
            <v>823.98313953831757</v>
          </cell>
          <cell r="V45">
            <v>0</v>
          </cell>
          <cell r="X45">
            <v>823.98313953831757</v>
          </cell>
          <cell r="Y45">
            <v>823.98313953831757</v>
          </cell>
          <cell r="AA45">
            <v>79.327949744455722</v>
          </cell>
          <cell r="AC45">
            <v>0</v>
          </cell>
          <cell r="AE45">
            <v>79.327949744455722</v>
          </cell>
          <cell r="AF45">
            <v>79.327949744455722</v>
          </cell>
          <cell r="AG45">
            <v>8203.874446908183</v>
          </cell>
          <cell r="AH45">
            <v>166666.666</v>
          </cell>
          <cell r="AI45">
            <v>95800.5</v>
          </cell>
          <cell r="AJ45">
            <v>21250</v>
          </cell>
          <cell r="AK45">
            <v>0</v>
          </cell>
          <cell r="AL45">
            <v>0</v>
          </cell>
          <cell r="AM45">
            <v>2.4015012023339308E-2</v>
          </cell>
          <cell r="AN45" t="str">
            <v>הפחתה ב- Subscription</v>
          </cell>
          <cell r="AO45">
            <v>8203.874446908183</v>
          </cell>
          <cell r="AP45">
            <v>0</v>
          </cell>
          <cell r="AQ45">
            <v>8203.874446908183</v>
          </cell>
          <cell r="AR45">
            <v>823.98313953831757</v>
          </cell>
          <cell r="AS45">
            <v>79.327949744455722</v>
          </cell>
          <cell r="AY45">
            <v>17.228136338507184</v>
          </cell>
          <cell r="AZ45">
            <v>18</v>
          </cell>
          <cell r="BA45">
            <v>35</v>
          </cell>
        </row>
        <row r="46">
          <cell r="A46" t="str">
            <v>8160-01-146</v>
          </cell>
          <cell r="B46" t="str">
            <v>Danielle Porat</v>
          </cell>
          <cell r="C46" t="str">
            <v>050468131</v>
          </cell>
          <cell r="D46">
            <v>512065202</v>
          </cell>
          <cell r="F46" t="str">
            <v>דניאל פורת</v>
          </cell>
          <cell r="G46" t="str">
            <v>I</v>
          </cell>
          <cell r="H46" t="str">
            <v>Meitav</v>
          </cell>
          <cell r="I46">
            <v>250000</v>
          </cell>
          <cell r="J46">
            <v>3.3881161446756495E-3</v>
          </cell>
          <cell r="K46">
            <v>4.8730742512077966E-3</v>
          </cell>
          <cell r="M46">
            <v>5155.7125577778488</v>
          </cell>
          <cell r="N46">
            <v>604.6778084960747</v>
          </cell>
          <cell r="O46">
            <v>1468.5080882726543</v>
          </cell>
          <cell r="P46">
            <v>7228.8984545465773</v>
          </cell>
          <cell r="Q46">
            <v>384.90611140361898</v>
          </cell>
          <cell r="R46">
            <v>5540.6186691814673</v>
          </cell>
          <cell r="T46">
            <v>726.05821585017304</v>
          </cell>
          <cell r="V46">
            <v>0</v>
          </cell>
          <cell r="X46">
            <v>726.05821585017304</v>
          </cell>
          <cell r="Y46">
            <v>726.05821585017304</v>
          </cell>
          <cell r="AA46">
            <v>69.900349770243452</v>
          </cell>
          <cell r="AC46">
            <v>0</v>
          </cell>
          <cell r="AE46">
            <v>69.900349770243452</v>
          </cell>
          <cell r="AF46">
            <v>69.900349770243452</v>
          </cell>
          <cell r="AG46">
            <v>7228.8984545465773</v>
          </cell>
          <cell r="AH46">
            <v>83333.332999999999</v>
          </cell>
          <cell r="AI46">
            <v>47900.25</v>
          </cell>
          <cell r="AJ46">
            <v>10625</v>
          </cell>
          <cell r="AK46">
            <v>0</v>
          </cell>
          <cell r="AL46">
            <v>33153</v>
          </cell>
          <cell r="AM46">
            <v>4.1275618124891722E-2</v>
          </cell>
          <cell r="AO46">
            <v>7228.8984545465773</v>
          </cell>
          <cell r="AP46">
            <v>0</v>
          </cell>
          <cell r="AQ46">
            <v>7228.8984545465773</v>
          </cell>
          <cell r="AR46">
            <v>726.05821585017304</v>
          </cell>
          <cell r="AS46">
            <v>69.900349770243452</v>
          </cell>
          <cell r="AY46">
            <v>15.180686754547812</v>
          </cell>
          <cell r="AZ46">
            <v>18</v>
          </cell>
          <cell r="BA46">
            <v>35</v>
          </cell>
        </row>
        <row r="47">
          <cell r="A47" t="str">
            <v>8160-01-147</v>
          </cell>
          <cell r="B47" t="str">
            <v>Ilan Raviv</v>
          </cell>
          <cell r="C47" t="str">
            <v>068493931</v>
          </cell>
          <cell r="D47">
            <v>512065202</v>
          </cell>
          <cell r="F47" t="str">
            <v>אילן רביב</v>
          </cell>
          <cell r="G47" t="str">
            <v>I</v>
          </cell>
          <cell r="H47" t="str">
            <v>Meitav</v>
          </cell>
          <cell r="I47">
            <v>320000</v>
          </cell>
          <cell r="J47">
            <v>4.3367886651848311E-3</v>
          </cell>
          <cell r="K47">
            <v>6.2375350415459791E-3</v>
          </cell>
          <cell r="M47">
            <v>6599.3120739556462</v>
          </cell>
          <cell r="N47">
            <v>773.98759487497546</v>
          </cell>
          <cell r="O47">
            <v>1879.6903529889971</v>
          </cell>
          <cell r="P47">
            <v>9252.9900218196181</v>
          </cell>
          <cell r="Q47">
            <v>492.67982259663222</v>
          </cell>
          <cell r="R47">
            <v>7091.9918965522784</v>
          </cell>
          <cell r="T47">
            <v>929.35451628822136</v>
          </cell>
          <cell r="V47">
            <v>0</v>
          </cell>
          <cell r="X47">
            <v>929.35451628822136</v>
          </cell>
          <cell r="Y47">
            <v>929.35451628822136</v>
          </cell>
          <cell r="AA47">
            <v>89.47244770591162</v>
          </cell>
          <cell r="AC47">
            <v>0</v>
          </cell>
          <cell r="AE47">
            <v>89.47244770591162</v>
          </cell>
          <cell r="AF47">
            <v>89.47244770591162</v>
          </cell>
          <cell r="AG47">
            <v>9252.9900218196181</v>
          </cell>
          <cell r="AH47">
            <v>106666.66623999999</v>
          </cell>
          <cell r="AI47">
            <v>61312.32</v>
          </cell>
          <cell r="AJ47">
            <v>13600</v>
          </cell>
          <cell r="AK47">
            <v>0</v>
          </cell>
          <cell r="AL47">
            <v>42436</v>
          </cell>
          <cell r="AM47">
            <v>4.1275614277251113E-2</v>
          </cell>
          <cell r="AO47">
            <v>9252.9900218196181</v>
          </cell>
          <cell r="AP47">
            <v>0</v>
          </cell>
          <cell r="AQ47">
            <v>9252.9900218196181</v>
          </cell>
          <cell r="AR47">
            <v>929.35451628822136</v>
          </cell>
          <cell r="AS47">
            <v>89.47244770591162</v>
          </cell>
          <cell r="AY47">
            <v>19.431279045821196</v>
          </cell>
          <cell r="AZ47">
            <v>19.431279045821196</v>
          </cell>
          <cell r="BA47">
            <v>35</v>
          </cell>
        </row>
        <row r="48">
          <cell r="A48" t="str">
            <v>8160-01-148</v>
          </cell>
          <cell r="B48" t="str">
            <v>Natan Bigon</v>
          </cell>
          <cell r="C48" t="str">
            <v>065042640</v>
          </cell>
          <cell r="D48">
            <v>512065202</v>
          </cell>
          <cell r="F48" t="str">
            <v>נתן ביגון</v>
          </cell>
          <cell r="G48" t="str">
            <v>I</v>
          </cell>
          <cell r="H48" t="str">
            <v>Meitav</v>
          </cell>
          <cell r="I48">
            <v>250000</v>
          </cell>
          <cell r="J48">
            <v>3.3881161446756495E-3</v>
          </cell>
          <cell r="K48">
            <v>4.8730742512077966E-3</v>
          </cell>
          <cell r="M48">
            <v>5155.7125577778488</v>
          </cell>
          <cell r="N48">
            <v>604.6778084960747</v>
          </cell>
          <cell r="O48">
            <v>1468.5080882726543</v>
          </cell>
          <cell r="P48">
            <v>7228.8984545465773</v>
          </cell>
          <cell r="Q48">
            <v>384.90611140361898</v>
          </cell>
          <cell r="R48">
            <v>5540.6186691814673</v>
          </cell>
          <cell r="T48">
            <v>726.05821585017304</v>
          </cell>
          <cell r="V48">
            <v>0</v>
          </cell>
          <cell r="X48">
            <v>726.05821585017304</v>
          </cell>
          <cell r="Y48">
            <v>726.05821585017304</v>
          </cell>
          <cell r="AA48">
            <v>69.900349770243452</v>
          </cell>
          <cell r="AC48">
            <v>0</v>
          </cell>
          <cell r="AE48">
            <v>69.900349770243452</v>
          </cell>
          <cell r="AF48">
            <v>69.900349770243452</v>
          </cell>
          <cell r="AG48">
            <v>7228.8984545465773</v>
          </cell>
          <cell r="AH48">
            <v>83333.332999999999</v>
          </cell>
          <cell r="AI48">
            <v>47900.25</v>
          </cell>
          <cell r="AJ48">
            <v>10625</v>
          </cell>
          <cell r="AK48">
            <v>0</v>
          </cell>
          <cell r="AL48">
            <v>33153</v>
          </cell>
          <cell r="AM48">
            <v>4.1275618124891722E-2</v>
          </cell>
          <cell r="AO48">
            <v>7228.8984545465773</v>
          </cell>
          <cell r="AP48">
            <v>0</v>
          </cell>
          <cell r="AQ48">
            <v>7228.8984545465773</v>
          </cell>
          <cell r="AR48">
            <v>726.05821585017304</v>
          </cell>
          <cell r="AS48">
            <v>69.900349770243452</v>
          </cell>
          <cell r="AY48">
            <v>15.180686754547812</v>
          </cell>
          <cell r="AZ48">
            <v>18</v>
          </cell>
          <cell r="BA48">
            <v>35</v>
          </cell>
        </row>
        <row r="49">
          <cell r="A49" t="str">
            <v>8160-01-149</v>
          </cell>
          <cell r="B49" t="str">
            <v>Shlomo Binyamin</v>
          </cell>
          <cell r="C49" t="str">
            <v>015125008</v>
          </cell>
          <cell r="D49">
            <v>512065202</v>
          </cell>
          <cell r="F49" t="str">
            <v>סילביה בנימין</v>
          </cell>
          <cell r="G49" t="str">
            <v>I</v>
          </cell>
          <cell r="H49" t="str">
            <v>Meitav</v>
          </cell>
          <cell r="I49">
            <v>250000</v>
          </cell>
          <cell r="J49">
            <v>3.3881161446756495E-3</v>
          </cell>
          <cell r="K49">
            <v>4.8730742512077966E-3</v>
          </cell>
          <cell r="M49">
            <v>5155.7125577778488</v>
          </cell>
          <cell r="N49">
            <v>604.6778084960747</v>
          </cell>
          <cell r="O49">
            <v>1468.5080882726543</v>
          </cell>
          <cell r="P49">
            <v>7228.8984545465773</v>
          </cell>
          <cell r="Q49">
            <v>384.90611140361898</v>
          </cell>
          <cell r="R49">
            <v>5540.6186691814673</v>
          </cell>
          <cell r="T49">
            <v>726.05821585017304</v>
          </cell>
          <cell r="V49">
            <v>0</v>
          </cell>
          <cell r="X49">
            <v>726.05821585017304</v>
          </cell>
          <cell r="Y49">
            <v>726.05821585017304</v>
          </cell>
          <cell r="AA49">
            <v>69.900349770243452</v>
          </cell>
          <cell r="AC49">
            <v>0</v>
          </cell>
          <cell r="AE49">
            <v>69.900349770243452</v>
          </cell>
          <cell r="AF49">
            <v>69.900349770243452</v>
          </cell>
          <cell r="AG49">
            <v>7228.8984545465773</v>
          </cell>
          <cell r="AH49">
            <v>83333.332999999999</v>
          </cell>
          <cell r="AI49">
            <v>47900</v>
          </cell>
          <cell r="AJ49">
            <v>10625</v>
          </cell>
          <cell r="AK49">
            <v>0</v>
          </cell>
          <cell r="AL49">
            <v>33153</v>
          </cell>
          <cell r="AM49">
            <v>4.1275673576262571E-2</v>
          </cell>
          <cell r="AO49">
            <v>7228.8984545465773</v>
          </cell>
          <cell r="AP49">
            <v>0</v>
          </cell>
          <cell r="AQ49">
            <v>7228.8984545465773</v>
          </cell>
          <cell r="AR49">
            <v>726.05821585017304</v>
          </cell>
          <cell r="AS49">
            <v>69.900349770243452</v>
          </cell>
          <cell r="AY49">
            <v>15.180686754547812</v>
          </cell>
          <cell r="AZ49">
            <v>18</v>
          </cell>
          <cell r="BA49">
            <v>35</v>
          </cell>
        </row>
        <row r="50">
          <cell r="A50" t="str">
            <v>8160-01-150</v>
          </cell>
          <cell r="B50" t="str">
            <v>Aharon Shamir</v>
          </cell>
          <cell r="C50" t="str">
            <v>051292720</v>
          </cell>
          <cell r="D50">
            <v>512065202</v>
          </cell>
          <cell r="F50" t="str">
            <v>אהרון שמיר</v>
          </cell>
          <cell r="G50" t="str">
            <v>I</v>
          </cell>
          <cell r="H50" t="str">
            <v>Meitav</v>
          </cell>
          <cell r="I50">
            <v>250000</v>
          </cell>
          <cell r="J50">
            <v>3.3881161446756495E-3</v>
          </cell>
          <cell r="K50">
            <v>4.8730742512077966E-3</v>
          </cell>
          <cell r="M50">
            <v>5155.7125577778488</v>
          </cell>
          <cell r="N50">
            <v>604.6778084960747</v>
          </cell>
          <cell r="O50">
            <v>1468.5080882726543</v>
          </cell>
          <cell r="P50">
            <v>7228.8984545465773</v>
          </cell>
          <cell r="Q50">
            <v>384.90611140361898</v>
          </cell>
          <cell r="R50">
            <v>5540.6186691814673</v>
          </cell>
          <cell r="T50">
            <v>726.05821585017304</v>
          </cell>
          <cell r="V50">
            <v>0</v>
          </cell>
          <cell r="X50">
            <v>726.05821585017304</v>
          </cell>
          <cell r="Y50">
            <v>726.05821585017304</v>
          </cell>
          <cell r="AA50">
            <v>69.900349770243452</v>
          </cell>
          <cell r="AC50">
            <v>0</v>
          </cell>
          <cell r="AE50">
            <v>69.900349770243452</v>
          </cell>
          <cell r="AF50">
            <v>69.900349770243452</v>
          </cell>
          <cell r="AG50">
            <v>7228.8984545465773</v>
          </cell>
          <cell r="AH50">
            <v>83333.332999999999</v>
          </cell>
          <cell r="AI50">
            <v>47900.25</v>
          </cell>
          <cell r="AJ50">
            <v>10625</v>
          </cell>
          <cell r="AK50">
            <v>0</v>
          </cell>
          <cell r="AL50">
            <v>33153</v>
          </cell>
          <cell r="AM50">
            <v>4.1275618124891722E-2</v>
          </cell>
          <cell r="AO50">
            <v>7228.8984545465773</v>
          </cell>
          <cell r="AP50">
            <v>0</v>
          </cell>
          <cell r="AQ50">
            <v>7228.8984545465773</v>
          </cell>
          <cell r="AR50">
            <v>726.05821585017304</v>
          </cell>
          <cell r="AS50">
            <v>69.900349770243452</v>
          </cell>
          <cell r="AY50">
            <v>15.180686754547812</v>
          </cell>
          <cell r="AZ50">
            <v>18</v>
          </cell>
          <cell r="BA50">
            <v>35</v>
          </cell>
        </row>
        <row r="51">
          <cell r="A51" t="str">
            <v>8160-01-151</v>
          </cell>
          <cell r="B51" t="str">
            <v>Amiram (Michaela) Vardi</v>
          </cell>
          <cell r="C51" t="str">
            <v>057184038</v>
          </cell>
          <cell r="D51">
            <v>512065202</v>
          </cell>
          <cell r="F51" t="str">
            <v>ורדי מיכאלה</v>
          </cell>
          <cell r="G51" t="str">
            <v>I</v>
          </cell>
          <cell r="H51" t="str">
            <v>Meitav</v>
          </cell>
          <cell r="I51">
            <v>250000</v>
          </cell>
          <cell r="J51">
            <v>3.3881161446756495E-3</v>
          </cell>
          <cell r="K51">
            <v>4.8730742512077966E-3</v>
          </cell>
          <cell r="M51">
            <v>5155.7125577778488</v>
          </cell>
          <cell r="N51">
            <v>604.6778084960747</v>
          </cell>
          <cell r="O51">
            <v>1468.5080882726543</v>
          </cell>
          <cell r="P51">
            <v>7228.8984545465773</v>
          </cell>
          <cell r="Q51">
            <v>384.90611140361898</v>
          </cell>
          <cell r="R51">
            <v>5540.6186691814673</v>
          </cell>
          <cell r="T51">
            <v>726.05821585017304</v>
          </cell>
          <cell r="V51">
            <v>0</v>
          </cell>
          <cell r="X51">
            <v>726.05821585017304</v>
          </cell>
          <cell r="Y51">
            <v>726.05821585017304</v>
          </cell>
          <cell r="AA51">
            <v>69.900349770243452</v>
          </cell>
          <cell r="AC51">
            <v>0</v>
          </cell>
          <cell r="AE51">
            <v>69.900349770243452</v>
          </cell>
          <cell r="AF51">
            <v>69.900349770243452</v>
          </cell>
          <cell r="AG51">
            <v>7228.8984545465773</v>
          </cell>
          <cell r="AH51">
            <v>83333.332999999999</v>
          </cell>
          <cell r="AI51">
            <v>47900.25</v>
          </cell>
          <cell r="AJ51">
            <v>10625</v>
          </cell>
          <cell r="AK51">
            <v>0</v>
          </cell>
          <cell r="AL51">
            <v>33153</v>
          </cell>
          <cell r="AM51">
            <v>4.1275618124891722E-2</v>
          </cell>
          <cell r="AO51">
            <v>7228.8984545465773</v>
          </cell>
          <cell r="AP51">
            <v>0</v>
          </cell>
          <cell r="AQ51">
            <v>7228.8984545465773</v>
          </cell>
          <cell r="AR51">
            <v>726.05821585017304</v>
          </cell>
          <cell r="AS51">
            <v>69.900349770243452</v>
          </cell>
          <cell r="AY51">
            <v>15.180686754547812</v>
          </cell>
          <cell r="AZ51">
            <v>18</v>
          </cell>
          <cell r="BA51">
            <v>35</v>
          </cell>
        </row>
        <row r="52">
          <cell r="A52" t="str">
            <v>8160-01-152</v>
          </cell>
          <cell r="B52" t="str">
            <v>Eli Heiselbach</v>
          </cell>
          <cell r="C52" t="str">
            <v>057070971</v>
          </cell>
          <cell r="D52">
            <v>512065202</v>
          </cell>
          <cell r="F52" t="str">
            <v>אליעזר היזלבק</v>
          </cell>
          <cell r="G52" t="str">
            <v>I</v>
          </cell>
          <cell r="H52" t="str">
            <v>Meitav</v>
          </cell>
          <cell r="I52">
            <v>350000</v>
          </cell>
          <cell r="J52">
            <v>4.7433626025459091E-3</v>
          </cell>
          <cell r="K52">
            <v>6.8223039516909145E-3</v>
          </cell>
          <cell r="M52">
            <v>7217.9975808889876</v>
          </cell>
          <cell r="N52">
            <v>846.54893189450445</v>
          </cell>
          <cell r="O52">
            <v>2055.9113235817158</v>
          </cell>
          <cell r="P52">
            <v>10120.457836365207</v>
          </cell>
          <cell r="Q52">
            <v>538.86855596506655</v>
          </cell>
          <cell r="R52">
            <v>7756.8661368540543</v>
          </cell>
          <cell r="T52">
            <v>1016.4815021902422</v>
          </cell>
          <cell r="V52">
            <v>0</v>
          </cell>
          <cell r="X52">
            <v>1016.4815021902422</v>
          </cell>
          <cell r="Y52">
            <v>1016.4815021902422</v>
          </cell>
          <cell r="AA52">
            <v>97.860489678340826</v>
          </cell>
          <cell r="AC52">
            <v>0</v>
          </cell>
          <cell r="AE52">
            <v>97.860489678340826</v>
          </cell>
          <cell r="AF52">
            <v>97.860489678340826</v>
          </cell>
          <cell r="AG52">
            <v>10120.457836365207</v>
          </cell>
          <cell r="AH52">
            <v>116666.66619999999</v>
          </cell>
          <cell r="AI52">
            <v>67060.349999999991</v>
          </cell>
          <cell r="AJ52">
            <v>14875</v>
          </cell>
          <cell r="AK52">
            <v>0</v>
          </cell>
          <cell r="AL52">
            <v>46414</v>
          </cell>
          <cell r="AM52">
            <v>4.1275622522196152E-2</v>
          </cell>
          <cell r="AO52">
            <v>10120.457836365207</v>
          </cell>
          <cell r="AP52">
            <v>0</v>
          </cell>
          <cell r="AQ52">
            <v>10120.457836365207</v>
          </cell>
          <cell r="AR52">
            <v>1016.4815021902422</v>
          </cell>
          <cell r="AS52">
            <v>97.860489678340826</v>
          </cell>
          <cell r="AY52">
            <v>21.252961456366933</v>
          </cell>
          <cell r="AZ52">
            <v>21.252961456366933</v>
          </cell>
          <cell r="BA52">
            <v>35</v>
          </cell>
        </row>
        <row r="53">
          <cell r="A53" t="str">
            <v>8160-01-153</v>
          </cell>
          <cell r="B53" t="str">
            <v>Gal Toren</v>
          </cell>
          <cell r="C53" t="str">
            <v>053410270</v>
          </cell>
          <cell r="D53">
            <v>512065202</v>
          </cell>
          <cell r="F53" t="str">
            <v>גל יוסף תורן</v>
          </cell>
          <cell r="G53" t="str">
            <v>I</v>
          </cell>
          <cell r="H53" t="str">
            <v>Meitav</v>
          </cell>
          <cell r="I53">
            <v>270000</v>
          </cell>
          <cell r="J53">
            <v>3.6591654362497011E-3</v>
          </cell>
          <cell r="K53">
            <v>5.2629201913044201E-3</v>
          </cell>
          <cell r="M53">
            <v>5568.1695624000768</v>
          </cell>
          <cell r="N53">
            <v>653.05203317576058</v>
          </cell>
          <cell r="O53">
            <v>1585.9887353344666</v>
          </cell>
          <cell r="P53">
            <v>7807.210330910304</v>
          </cell>
          <cell r="Q53">
            <v>415.69860031590849</v>
          </cell>
          <cell r="R53">
            <v>5983.8681627159849</v>
          </cell>
          <cell r="T53">
            <v>784.14287311818691</v>
          </cell>
          <cell r="V53">
            <v>0</v>
          </cell>
          <cell r="X53">
            <v>784.14287311818691</v>
          </cell>
          <cell r="Y53">
            <v>784.14287311818691</v>
          </cell>
          <cell r="AA53">
            <v>75.492377751862932</v>
          </cell>
          <cell r="AC53">
            <v>0</v>
          </cell>
          <cell r="AE53">
            <v>75.492377751862932</v>
          </cell>
          <cell r="AF53">
            <v>75.492377751862932</v>
          </cell>
          <cell r="AG53">
            <v>7807.210330910304</v>
          </cell>
          <cell r="AH53">
            <v>89999.999639999995</v>
          </cell>
          <cell r="AI53">
            <v>51732.27</v>
          </cell>
          <cell r="AJ53">
            <v>11475</v>
          </cell>
          <cell r="AK53">
            <v>0</v>
          </cell>
          <cell r="AL53">
            <v>35805</v>
          </cell>
          <cell r="AM53">
            <v>4.1275624965143469E-2</v>
          </cell>
          <cell r="AO53">
            <v>7807.210330910304</v>
          </cell>
          <cell r="AP53">
            <v>0</v>
          </cell>
          <cell r="AQ53">
            <v>7807.210330910304</v>
          </cell>
          <cell r="AR53">
            <v>784.14287311818691</v>
          </cell>
          <cell r="AS53">
            <v>75.492377751862932</v>
          </cell>
          <cell r="AY53">
            <v>16.395141694911636</v>
          </cell>
          <cell r="AZ53">
            <v>18</v>
          </cell>
          <cell r="BA53">
            <v>35</v>
          </cell>
        </row>
        <row r="54">
          <cell r="A54" t="str">
            <v>8160-01-154</v>
          </cell>
          <cell r="B54" t="str">
            <v>Oren Hadar</v>
          </cell>
          <cell r="C54" t="str">
            <v>029495389</v>
          </cell>
          <cell r="D54">
            <v>512065202</v>
          </cell>
          <cell r="F54" t="str">
            <v>אורן יהונדב הדר</v>
          </cell>
          <cell r="G54" t="str">
            <v>I</v>
          </cell>
          <cell r="H54" t="str">
            <v>Meitav</v>
          </cell>
          <cell r="I54">
            <v>330000</v>
          </cell>
          <cell r="J54">
            <v>4.4723133109718571E-3</v>
          </cell>
          <cell r="K54">
            <v>6.4324580115942909E-3</v>
          </cell>
          <cell r="M54">
            <v>6805.5405762667597</v>
          </cell>
          <cell r="N54">
            <v>798.17470721481845</v>
          </cell>
          <cell r="O54">
            <v>1938.4306765199033</v>
          </cell>
          <cell r="P54">
            <v>9542.1459600014805</v>
          </cell>
          <cell r="Q54">
            <v>508.07606705277698</v>
          </cell>
          <cell r="R54">
            <v>7313.6166433195367</v>
          </cell>
          <cell r="T54">
            <v>958.3968449222283</v>
          </cell>
          <cell r="V54">
            <v>0</v>
          </cell>
          <cell r="X54">
            <v>958.3968449222283</v>
          </cell>
          <cell r="Y54">
            <v>958.3968449222283</v>
          </cell>
          <cell r="AA54">
            <v>92.26846169672136</v>
          </cell>
          <cell r="AC54">
            <v>0</v>
          </cell>
          <cell r="AE54">
            <v>92.26846169672136</v>
          </cell>
          <cell r="AF54">
            <v>92.26846169672136</v>
          </cell>
          <cell r="AG54">
            <v>9542.1459600014805</v>
          </cell>
          <cell r="AH54">
            <v>109999.99956</v>
          </cell>
          <cell r="AI54">
            <v>63228.329999999994</v>
          </cell>
          <cell r="AJ54">
            <v>14025</v>
          </cell>
          <cell r="AK54">
            <v>0</v>
          </cell>
          <cell r="AL54">
            <v>43762</v>
          </cell>
          <cell r="AM54">
            <v>4.1275617192130298E-2</v>
          </cell>
          <cell r="AO54">
            <v>9542.1459600014805</v>
          </cell>
          <cell r="AP54">
            <v>0</v>
          </cell>
          <cell r="AQ54">
            <v>9542.1459600014805</v>
          </cell>
          <cell r="AR54">
            <v>958.3968449222283</v>
          </cell>
          <cell r="AS54">
            <v>92.26846169672136</v>
          </cell>
          <cell r="AY54">
            <v>20.038506516003107</v>
          </cell>
          <cell r="AZ54">
            <v>20.038506516003107</v>
          </cell>
          <cell r="BA54">
            <v>35</v>
          </cell>
        </row>
        <row r="55">
          <cell r="A55" t="str">
            <v>8160-01-155</v>
          </cell>
          <cell r="B55" t="str">
            <v>Shmuel Heiselbach</v>
          </cell>
          <cell r="C55" t="str">
            <v>022801732</v>
          </cell>
          <cell r="D55">
            <v>512065202</v>
          </cell>
          <cell r="F55" t="str">
            <v>שמואל היזלבק</v>
          </cell>
          <cell r="G55" t="str">
            <v>I</v>
          </cell>
          <cell r="H55" t="str">
            <v>Meitav</v>
          </cell>
          <cell r="I55">
            <v>350000</v>
          </cell>
          <cell r="J55">
            <v>4.7433626025459091E-3</v>
          </cell>
          <cell r="K55">
            <v>6.8223039516909145E-3</v>
          </cell>
          <cell r="M55">
            <v>7217.9975808889876</v>
          </cell>
          <cell r="N55">
            <v>846.54893189450445</v>
          </cell>
          <cell r="O55">
            <v>2055.9113235817158</v>
          </cell>
          <cell r="P55">
            <v>10120.457836365207</v>
          </cell>
          <cell r="Q55">
            <v>538.86855596506655</v>
          </cell>
          <cell r="R55">
            <v>7756.8661368540543</v>
          </cell>
          <cell r="T55">
            <v>1016.4815021902422</v>
          </cell>
          <cell r="V55">
            <v>0</v>
          </cell>
          <cell r="X55">
            <v>1016.4815021902422</v>
          </cell>
          <cell r="Y55">
            <v>1016.4815021902422</v>
          </cell>
          <cell r="AA55">
            <v>97.860489678340826</v>
          </cell>
          <cell r="AC55">
            <v>0</v>
          </cell>
          <cell r="AE55">
            <v>97.860489678340826</v>
          </cell>
          <cell r="AF55">
            <v>97.860489678340826</v>
          </cell>
          <cell r="AG55">
            <v>10120.457836365207</v>
          </cell>
          <cell r="AH55">
            <v>116666.66619999999</v>
          </cell>
          <cell r="AI55">
            <v>67060</v>
          </cell>
          <cell r="AJ55">
            <v>14875</v>
          </cell>
          <cell r="AK55">
            <v>0</v>
          </cell>
          <cell r="AL55">
            <v>46414</v>
          </cell>
          <cell r="AM55">
            <v>4.1275677973578818E-2</v>
          </cell>
          <cell r="AO55">
            <v>10120.457836365207</v>
          </cell>
          <cell r="AP55">
            <v>0</v>
          </cell>
          <cell r="AQ55">
            <v>10120.457836365207</v>
          </cell>
          <cell r="AR55">
            <v>1016.4815021902422</v>
          </cell>
          <cell r="AS55">
            <v>97.860489678340826</v>
          </cell>
          <cell r="AY55">
            <v>21.252961456366933</v>
          </cell>
          <cell r="AZ55">
            <v>21.252961456366933</v>
          </cell>
          <cell r="BA55">
            <v>35</v>
          </cell>
        </row>
        <row r="56">
          <cell r="A56" t="str">
            <v>8160-01-157</v>
          </cell>
          <cell r="B56" t="str">
            <v>Gili Yohanany</v>
          </cell>
          <cell r="C56" t="str">
            <v>054175021</v>
          </cell>
          <cell r="D56">
            <v>512065202</v>
          </cell>
          <cell r="F56" t="str">
            <v>גילי יוחנני</v>
          </cell>
          <cell r="G56" t="str">
            <v>I</v>
          </cell>
          <cell r="H56" t="str">
            <v>Meitav</v>
          </cell>
          <cell r="I56">
            <v>200000</v>
          </cell>
          <cell r="J56">
            <v>2.7104929157405195E-3</v>
          </cell>
          <cell r="K56">
            <v>3.8984594009662372E-3</v>
          </cell>
          <cell r="M56">
            <v>4124.5700462222785</v>
          </cell>
          <cell r="N56">
            <v>483.74224679685972</v>
          </cell>
          <cell r="O56">
            <v>1174.8064706181233</v>
          </cell>
          <cell r="P56">
            <v>5783.1187636372615</v>
          </cell>
          <cell r="Q56">
            <v>307.92488912289514</v>
          </cell>
          <cell r="R56">
            <v>4432.4949353451739</v>
          </cell>
          <cell r="T56">
            <v>580.84657268013837</v>
          </cell>
          <cell r="V56">
            <v>0</v>
          </cell>
          <cell r="X56">
            <v>580.84657268013837</v>
          </cell>
          <cell r="Y56">
            <v>580.84657268013837</v>
          </cell>
          <cell r="AA56">
            <v>55.920279816194764</v>
          </cell>
          <cell r="AC56">
            <v>0</v>
          </cell>
          <cell r="AE56">
            <v>55.920279816194764</v>
          </cell>
          <cell r="AF56">
            <v>55.920279816194764</v>
          </cell>
          <cell r="AG56">
            <v>5783.1187636372615</v>
          </cell>
          <cell r="AH56">
            <v>66666.666400000002</v>
          </cell>
          <cell r="AI56">
            <v>38320.199999999997</v>
          </cell>
          <cell r="AJ56">
            <v>8497.5</v>
          </cell>
          <cell r="AK56">
            <v>0</v>
          </cell>
          <cell r="AL56">
            <v>26525</v>
          </cell>
          <cell r="AM56">
            <v>4.1275801001814022E-2</v>
          </cell>
          <cell r="AO56">
            <v>5783.1187636372615</v>
          </cell>
          <cell r="AP56">
            <v>0</v>
          </cell>
          <cell r="AQ56">
            <v>5783.1187636372615</v>
          </cell>
          <cell r="AR56">
            <v>580.84657268013837</v>
          </cell>
          <cell r="AS56">
            <v>55.920279816194764</v>
          </cell>
          <cell r="AY56">
            <v>12.144549403638248</v>
          </cell>
          <cell r="AZ56">
            <v>18</v>
          </cell>
          <cell r="BA56">
            <v>35</v>
          </cell>
        </row>
        <row r="57">
          <cell r="A57" t="str">
            <v>8160-01-158</v>
          </cell>
          <cell r="B57" t="str">
            <v>Alon Reshef</v>
          </cell>
          <cell r="C57" t="str">
            <v>057069510</v>
          </cell>
          <cell r="D57">
            <v>512065202</v>
          </cell>
          <cell r="F57" t="str">
            <v>אלון רשף</v>
          </cell>
          <cell r="G57" t="str">
            <v>I</v>
          </cell>
          <cell r="H57" t="str">
            <v>Meitav</v>
          </cell>
          <cell r="I57">
            <v>300000</v>
          </cell>
          <cell r="J57">
            <v>4.0657393736107791E-3</v>
          </cell>
          <cell r="K57">
            <v>5.8476891014493555E-3</v>
          </cell>
          <cell r="M57">
            <v>6186.8550693334182</v>
          </cell>
          <cell r="N57">
            <v>725.61337019528958</v>
          </cell>
          <cell r="O57">
            <v>1762.2097059271848</v>
          </cell>
          <cell r="P57">
            <v>8674.6781454558932</v>
          </cell>
          <cell r="Q57">
            <v>461.88733368434271</v>
          </cell>
          <cell r="R57">
            <v>6648.7424030177608</v>
          </cell>
          <cell r="T57">
            <v>871.2698590202076</v>
          </cell>
          <cell r="V57">
            <v>0</v>
          </cell>
          <cell r="X57">
            <v>871.2698590202076</v>
          </cell>
          <cell r="Y57">
            <v>871.2698590202076</v>
          </cell>
          <cell r="AA57">
            <v>83.880419724292139</v>
          </cell>
          <cell r="AC57">
            <v>0</v>
          </cell>
          <cell r="AE57">
            <v>83.880419724292139</v>
          </cell>
          <cell r="AF57">
            <v>83.880419724292139</v>
          </cell>
          <cell r="AG57">
            <v>8674.6781454558932</v>
          </cell>
          <cell r="AH57">
            <v>99999.999599999996</v>
          </cell>
          <cell r="AI57">
            <v>57480.299999999996</v>
          </cell>
          <cell r="AJ57">
            <v>12750</v>
          </cell>
          <cell r="AK57">
            <v>0</v>
          </cell>
          <cell r="AL57">
            <v>39784</v>
          </cell>
          <cell r="AM57">
            <v>4.1275607864518345E-2</v>
          </cell>
          <cell r="AO57">
            <v>8674.6781454558932</v>
          </cell>
          <cell r="AP57">
            <v>0</v>
          </cell>
          <cell r="AQ57">
            <v>8674.6781454558932</v>
          </cell>
          <cell r="AR57">
            <v>871.2698590202076</v>
          </cell>
          <cell r="AS57">
            <v>83.880419724292139</v>
          </cell>
          <cell r="AY57">
            <v>18.216824105457373</v>
          </cell>
          <cell r="AZ57">
            <v>18.216824105457373</v>
          </cell>
          <cell r="BA57">
            <v>35</v>
          </cell>
        </row>
        <row r="58">
          <cell r="A58" t="str">
            <v>8160-01-159</v>
          </cell>
          <cell r="B58" t="str">
            <v>Dan Kampel</v>
          </cell>
          <cell r="C58" t="str">
            <v>050596741</v>
          </cell>
          <cell r="D58">
            <v>512065202</v>
          </cell>
          <cell r="F58" t="str">
            <v>דן שמואל קמפל</v>
          </cell>
          <cell r="G58" t="str">
            <v>I</v>
          </cell>
          <cell r="H58" t="str">
            <v>Meitav</v>
          </cell>
          <cell r="I58">
            <v>250000</v>
          </cell>
          <cell r="J58">
            <v>3.3881161446756495E-3</v>
          </cell>
          <cell r="K58">
            <v>4.8730742512077966E-3</v>
          </cell>
          <cell r="M58">
            <v>5155.7125577778488</v>
          </cell>
          <cell r="N58">
            <v>604.6778084960747</v>
          </cell>
          <cell r="O58">
            <v>1468.5080882726543</v>
          </cell>
          <cell r="P58">
            <v>7228.8984545465773</v>
          </cell>
          <cell r="Q58">
            <v>384.90611140361898</v>
          </cell>
          <cell r="R58">
            <v>5540.6186691814673</v>
          </cell>
          <cell r="T58">
            <v>726.05821585017304</v>
          </cell>
          <cell r="V58">
            <v>0</v>
          </cell>
          <cell r="X58">
            <v>726.05821585017304</v>
          </cell>
          <cell r="Y58">
            <v>726.05821585017304</v>
          </cell>
          <cell r="AA58">
            <v>69.900349770243452</v>
          </cell>
          <cell r="AC58">
            <v>0</v>
          </cell>
          <cell r="AE58">
            <v>69.900349770243452</v>
          </cell>
          <cell r="AF58">
            <v>69.900349770243452</v>
          </cell>
          <cell r="AG58">
            <v>7228.8984545465773</v>
          </cell>
          <cell r="AH58">
            <v>83333.332999999999</v>
          </cell>
          <cell r="AI58">
            <v>47900.25</v>
          </cell>
          <cell r="AJ58">
            <v>10625</v>
          </cell>
          <cell r="AK58">
            <v>0</v>
          </cell>
          <cell r="AL58">
            <v>33153</v>
          </cell>
          <cell r="AM58">
            <v>4.1275618124891722E-2</v>
          </cell>
          <cell r="AO58">
            <v>7228.8984545465773</v>
          </cell>
          <cell r="AP58">
            <v>0</v>
          </cell>
          <cell r="AQ58">
            <v>7228.8984545465773</v>
          </cell>
          <cell r="AR58">
            <v>726.05821585017304</v>
          </cell>
          <cell r="AS58">
            <v>69.900349770243452</v>
          </cell>
          <cell r="AY58">
            <v>15.180686754547812</v>
          </cell>
          <cell r="AZ58">
            <v>18</v>
          </cell>
          <cell r="BA58">
            <v>35</v>
          </cell>
        </row>
        <row r="59">
          <cell r="A59" t="str">
            <v>8160-01-160</v>
          </cell>
          <cell r="B59" t="str">
            <v>Dr. Aharon Roni &amp; Haya Bernstein</v>
          </cell>
          <cell r="C59" t="str">
            <v>065049207</v>
          </cell>
          <cell r="D59">
            <v>512065202</v>
          </cell>
          <cell r="F59" t="str">
            <v>חיה בורנשטיין</v>
          </cell>
          <cell r="G59" t="str">
            <v>I</v>
          </cell>
          <cell r="H59" t="str">
            <v>Meitav</v>
          </cell>
          <cell r="I59">
            <v>250000</v>
          </cell>
          <cell r="J59">
            <v>3.3881161446756495E-3</v>
          </cell>
          <cell r="K59">
            <v>4.8730742512077966E-3</v>
          </cell>
          <cell r="M59">
            <v>5155.7125577778488</v>
          </cell>
          <cell r="N59">
            <v>604.6778084960747</v>
          </cell>
          <cell r="O59">
            <v>1468.5080882726543</v>
          </cell>
          <cell r="P59">
            <v>7228.8984545465773</v>
          </cell>
          <cell r="Q59">
            <v>384.90611140361898</v>
          </cell>
          <cell r="R59">
            <v>5540.6186691814673</v>
          </cell>
          <cell r="T59">
            <v>726.05821585017304</v>
          </cell>
          <cell r="V59">
            <v>0</v>
          </cell>
          <cell r="X59">
            <v>726.05821585017304</v>
          </cell>
          <cell r="Y59">
            <v>726.05821585017304</v>
          </cell>
          <cell r="AA59">
            <v>69.900349770243452</v>
          </cell>
          <cell r="AC59">
            <v>0</v>
          </cell>
          <cell r="AE59">
            <v>69.900349770243452</v>
          </cell>
          <cell r="AF59">
            <v>69.900349770243452</v>
          </cell>
          <cell r="AG59">
            <v>7228.8984545465773</v>
          </cell>
          <cell r="AH59">
            <v>83333.332999999999</v>
          </cell>
          <cell r="AI59">
            <v>47900.25</v>
          </cell>
          <cell r="AJ59">
            <v>10625</v>
          </cell>
          <cell r="AK59">
            <v>0</v>
          </cell>
          <cell r="AL59">
            <v>33153</v>
          </cell>
          <cell r="AM59">
            <v>4.1275618124891722E-2</v>
          </cell>
          <cell r="AO59">
            <v>7228.8984545465773</v>
          </cell>
          <cell r="AP59">
            <v>0</v>
          </cell>
          <cell r="AQ59">
            <v>7228.8984545465773</v>
          </cell>
          <cell r="AR59">
            <v>726.05821585017304</v>
          </cell>
          <cell r="AS59">
            <v>69.900349770243452</v>
          </cell>
          <cell r="AY59">
            <v>15.180686754547812</v>
          </cell>
          <cell r="AZ59">
            <v>18</v>
          </cell>
          <cell r="BA59">
            <v>35</v>
          </cell>
        </row>
        <row r="60">
          <cell r="A60" t="str">
            <v>8160-01-161</v>
          </cell>
          <cell r="B60" t="str">
            <v>Zvi Stepak</v>
          </cell>
          <cell r="C60" t="str">
            <v>07957319</v>
          </cell>
          <cell r="D60">
            <v>512065202</v>
          </cell>
          <cell r="F60" t="str">
            <v>צבי סטפק</v>
          </cell>
          <cell r="G60" t="str">
            <v>I</v>
          </cell>
          <cell r="H60" t="str">
            <v>Meitav</v>
          </cell>
          <cell r="I60">
            <v>250000</v>
          </cell>
          <cell r="J60">
            <v>3.3881161446756495E-3</v>
          </cell>
          <cell r="K60">
            <v>4.8730742512077966E-3</v>
          </cell>
          <cell r="M60">
            <v>5155.7125577778488</v>
          </cell>
          <cell r="N60">
            <v>604.6778084960747</v>
          </cell>
          <cell r="O60">
            <v>1468.5080882726543</v>
          </cell>
          <cell r="P60">
            <v>7228.8984545465773</v>
          </cell>
          <cell r="Q60">
            <v>384.90611140361898</v>
          </cell>
          <cell r="R60">
            <v>5540.6186691814673</v>
          </cell>
          <cell r="T60">
            <v>726.05821585017304</v>
          </cell>
          <cell r="V60">
            <v>0</v>
          </cell>
          <cell r="X60">
            <v>726.05821585017304</v>
          </cell>
          <cell r="Y60">
            <v>726.05821585017304</v>
          </cell>
          <cell r="AA60">
            <v>69.900349770243452</v>
          </cell>
          <cell r="AC60">
            <v>0</v>
          </cell>
          <cell r="AE60">
            <v>69.900349770243452</v>
          </cell>
          <cell r="AF60">
            <v>69.900349770243452</v>
          </cell>
          <cell r="AG60">
            <v>7228.8984545465773</v>
          </cell>
          <cell r="AH60">
            <v>83333.332999999999</v>
          </cell>
          <cell r="AI60">
            <v>47900</v>
          </cell>
          <cell r="AJ60">
            <v>10625</v>
          </cell>
          <cell r="AK60">
            <v>0</v>
          </cell>
          <cell r="AL60">
            <v>33153</v>
          </cell>
          <cell r="AM60">
            <v>4.1275673576262571E-2</v>
          </cell>
          <cell r="AO60">
            <v>7228.8984545465773</v>
          </cell>
          <cell r="AP60">
            <v>0</v>
          </cell>
          <cell r="AQ60">
            <v>7228.8984545465773</v>
          </cell>
          <cell r="AR60">
            <v>726.05821585017304</v>
          </cell>
          <cell r="AS60">
            <v>69.900349770243452</v>
          </cell>
          <cell r="AY60">
            <v>15.180686754547812</v>
          </cell>
          <cell r="AZ60">
            <v>18</v>
          </cell>
          <cell r="BA60">
            <v>35</v>
          </cell>
        </row>
        <row r="61">
          <cell r="A61" t="str">
            <v>8160-01-162</v>
          </cell>
          <cell r="B61" t="str">
            <v>Arie Huber</v>
          </cell>
          <cell r="C61" t="str">
            <v>051261535</v>
          </cell>
          <cell r="D61">
            <v>512065202</v>
          </cell>
          <cell r="F61" t="str">
            <v>אריה הובר</v>
          </cell>
          <cell r="G61" t="str">
            <v>I</v>
          </cell>
          <cell r="H61" t="str">
            <v>Meitav</v>
          </cell>
          <cell r="I61">
            <v>250000</v>
          </cell>
          <cell r="J61">
            <v>3.3881161446756495E-3</v>
          </cell>
          <cell r="K61">
            <v>4.8730742512077966E-3</v>
          </cell>
          <cell r="M61">
            <v>5155.7125577778488</v>
          </cell>
          <cell r="N61">
            <v>604.6778084960747</v>
          </cell>
          <cell r="O61">
            <v>1468.5080882726543</v>
          </cell>
          <cell r="P61">
            <v>7228.8984545465773</v>
          </cell>
          <cell r="Q61">
            <v>384.90611140361898</v>
          </cell>
          <cell r="R61">
            <v>5540.6186691814673</v>
          </cell>
          <cell r="T61">
            <v>726.05821585017304</v>
          </cell>
          <cell r="V61">
            <v>0</v>
          </cell>
          <cell r="X61">
            <v>726.05821585017304</v>
          </cell>
          <cell r="Y61">
            <v>726.05821585017304</v>
          </cell>
          <cell r="AA61">
            <v>69.900349770243452</v>
          </cell>
          <cell r="AC61">
            <v>0</v>
          </cell>
          <cell r="AE61">
            <v>69.900349770243452</v>
          </cell>
          <cell r="AF61">
            <v>69.900349770243452</v>
          </cell>
          <cell r="AG61">
            <v>7228.8984545465773</v>
          </cell>
          <cell r="AH61">
            <v>83333.332999999999</v>
          </cell>
          <cell r="AI61">
            <v>47900.25</v>
          </cell>
          <cell r="AJ61">
            <v>10625</v>
          </cell>
          <cell r="AK61">
            <v>0</v>
          </cell>
          <cell r="AL61">
            <v>33153</v>
          </cell>
          <cell r="AM61">
            <v>4.1275618124891722E-2</v>
          </cell>
          <cell r="AO61">
            <v>7228.8984545465773</v>
          </cell>
          <cell r="AP61">
            <v>0</v>
          </cell>
          <cell r="AQ61">
            <v>7228.8984545465773</v>
          </cell>
          <cell r="AR61">
            <v>726.05821585017304</v>
          </cell>
          <cell r="AS61">
            <v>69.900349770243452</v>
          </cell>
          <cell r="AY61">
            <v>15.180686754547812</v>
          </cell>
          <cell r="AZ61">
            <v>18</v>
          </cell>
          <cell r="BA61">
            <v>35</v>
          </cell>
        </row>
        <row r="62">
          <cell r="A62" t="str">
            <v>8160-01-163</v>
          </cell>
          <cell r="B62" t="str">
            <v>Ron Rymon</v>
          </cell>
          <cell r="C62" t="str">
            <v>058491093</v>
          </cell>
          <cell r="D62">
            <v>520023185</v>
          </cell>
          <cell r="F62" t="str">
            <v>רון רימון</v>
          </cell>
          <cell r="G62" t="str">
            <v>I</v>
          </cell>
          <cell r="H62" t="str">
            <v>Phoenix</v>
          </cell>
          <cell r="I62">
            <v>250000</v>
          </cell>
          <cell r="J62">
            <v>3.3881161446756495E-3</v>
          </cell>
          <cell r="K62">
            <v>4.8730742512077966E-3</v>
          </cell>
          <cell r="M62">
            <v>5155.7125577778488</v>
          </cell>
          <cell r="N62">
            <v>604.6778084960747</v>
          </cell>
          <cell r="O62">
            <v>1468.5080882726543</v>
          </cell>
          <cell r="P62">
            <v>7228.8984545465773</v>
          </cell>
          <cell r="Q62">
            <v>384.90611140361898</v>
          </cell>
          <cell r="R62">
            <v>5540.6186691814673</v>
          </cell>
          <cell r="T62">
            <v>726.05821585017304</v>
          </cell>
          <cell r="V62">
            <v>0</v>
          </cell>
          <cell r="X62">
            <v>726.05821585017304</v>
          </cell>
          <cell r="Y62">
            <v>726.05821585017304</v>
          </cell>
          <cell r="AA62">
            <v>69.900349770243452</v>
          </cell>
          <cell r="AC62">
            <v>0</v>
          </cell>
          <cell r="AE62">
            <v>69.900349770243452</v>
          </cell>
          <cell r="AF62">
            <v>69.900349770243452</v>
          </cell>
          <cell r="AG62">
            <v>7228.8984545465773</v>
          </cell>
          <cell r="AH62">
            <v>83333.332999999999</v>
          </cell>
          <cell r="AI62">
            <v>47900.25</v>
          </cell>
          <cell r="AJ62">
            <v>10625</v>
          </cell>
          <cell r="AK62">
            <v>0</v>
          </cell>
          <cell r="AL62">
            <v>33153</v>
          </cell>
          <cell r="AM62">
            <v>4.1275618124891722E-2</v>
          </cell>
          <cell r="AO62">
            <v>7228.8984545465773</v>
          </cell>
          <cell r="AP62">
            <v>0</v>
          </cell>
          <cell r="AQ62">
            <v>7228.8984545465773</v>
          </cell>
          <cell r="AR62">
            <v>726.05821585017304</v>
          </cell>
          <cell r="AS62">
            <v>69.900349770243452</v>
          </cell>
          <cell r="AY62">
            <v>15.180686754547812</v>
          </cell>
          <cell r="AZ62">
            <v>18</v>
          </cell>
          <cell r="BA62">
            <v>35</v>
          </cell>
        </row>
        <row r="63">
          <cell r="A63" t="str">
            <v>8160-01-164</v>
          </cell>
          <cell r="B63" t="str">
            <v>Ophir Shevach</v>
          </cell>
          <cell r="C63" t="str">
            <v>003078854</v>
          </cell>
          <cell r="D63">
            <v>520023185</v>
          </cell>
          <cell r="F63" t="str">
            <v>אופיר שבח</v>
          </cell>
          <cell r="G63" t="str">
            <v>I</v>
          </cell>
          <cell r="H63" t="str">
            <v>Phoenix</v>
          </cell>
          <cell r="I63">
            <v>250000</v>
          </cell>
          <cell r="J63">
            <v>3.3881161446756495E-3</v>
          </cell>
          <cell r="K63">
            <v>4.8730742512077966E-3</v>
          </cell>
          <cell r="M63">
            <v>5155.7125577778488</v>
          </cell>
          <cell r="N63">
            <v>604.6778084960747</v>
          </cell>
          <cell r="O63">
            <v>1468.5080882726543</v>
          </cell>
          <cell r="P63">
            <v>7228.8984545465773</v>
          </cell>
          <cell r="Q63">
            <v>384.90611140361898</v>
          </cell>
          <cell r="R63">
            <v>5540.6186691814673</v>
          </cell>
          <cell r="T63">
            <v>726.05821585017304</v>
          </cell>
          <cell r="V63">
            <v>0</v>
          </cell>
          <cell r="X63">
            <v>726.05821585017304</v>
          </cell>
          <cell r="Y63">
            <v>726.05821585017304</v>
          </cell>
          <cell r="AA63">
            <v>69.900349770243452</v>
          </cell>
          <cell r="AC63">
            <v>0</v>
          </cell>
          <cell r="AE63">
            <v>69.900349770243452</v>
          </cell>
          <cell r="AF63">
            <v>69.900349770243452</v>
          </cell>
          <cell r="AG63">
            <v>7228.8984545465773</v>
          </cell>
          <cell r="AH63">
            <v>83333.332999999999</v>
          </cell>
          <cell r="AI63">
            <v>47900.25</v>
          </cell>
          <cell r="AJ63">
            <v>10625</v>
          </cell>
          <cell r="AK63">
            <v>0</v>
          </cell>
          <cell r="AL63">
            <v>33153</v>
          </cell>
          <cell r="AM63">
            <v>4.1275618124891722E-2</v>
          </cell>
          <cell r="AO63">
            <v>7228.8984545465773</v>
          </cell>
          <cell r="AP63">
            <v>0</v>
          </cell>
          <cell r="AQ63">
            <v>7228.8984545465773</v>
          </cell>
          <cell r="AR63">
            <v>726.05821585017304</v>
          </cell>
          <cell r="AS63">
            <v>69.900349770243452</v>
          </cell>
          <cell r="AY63">
            <v>15.180686754547812</v>
          </cell>
          <cell r="AZ63">
            <v>18</v>
          </cell>
          <cell r="BA63">
            <v>35</v>
          </cell>
        </row>
        <row r="64">
          <cell r="A64" t="str">
            <v>8160-01-165</v>
          </cell>
          <cell r="B64" t="str">
            <v>Guy Eliav</v>
          </cell>
          <cell r="C64" t="str">
            <v>024609025</v>
          </cell>
          <cell r="D64">
            <v>24609025</v>
          </cell>
          <cell r="F64" t="str">
            <v>גיא אלון אליאב</v>
          </cell>
          <cell r="G64" t="str">
            <v>I</v>
          </cell>
          <cell r="I64">
            <v>250000</v>
          </cell>
          <cell r="J64">
            <v>3.3881161446756495E-3</v>
          </cell>
          <cell r="K64">
            <v>4.8730742512077966E-3</v>
          </cell>
          <cell r="M64">
            <v>5155.7125577778488</v>
          </cell>
          <cell r="N64">
            <v>604.6778084960747</v>
          </cell>
          <cell r="O64">
            <v>1468.5080882726543</v>
          </cell>
          <cell r="P64">
            <v>7228.8984545465773</v>
          </cell>
          <cell r="Q64">
            <v>384.90611140361898</v>
          </cell>
          <cell r="R64">
            <v>5540.6186691814673</v>
          </cell>
          <cell r="S64">
            <v>1288.9281394444622</v>
          </cell>
          <cell r="T64">
            <v>726.05821585017304</v>
          </cell>
          <cell r="U64">
            <v>-726.05821585017304</v>
          </cell>
          <cell r="V64">
            <v>562.86992359428916</v>
          </cell>
          <cell r="W64" t="str">
            <v>ע"פ תקנות'</v>
          </cell>
          <cell r="Y64">
            <v>1288.9281394444622</v>
          </cell>
          <cell r="Z64">
            <v>151.16945212401868</v>
          </cell>
          <cell r="AA64">
            <v>69.900349770243452</v>
          </cell>
          <cell r="AB64">
            <v>-69.900349770243452</v>
          </cell>
          <cell r="AC64">
            <v>81.269102353775224</v>
          </cell>
          <cell r="AD64" t="str">
            <v>ע"פ תקנות'</v>
          </cell>
          <cell r="AF64">
            <v>151.16945212401868</v>
          </cell>
          <cell r="AG64">
            <v>6584.7594285985124</v>
          </cell>
          <cell r="AH64">
            <v>83333.332999999999</v>
          </cell>
          <cell r="AI64">
            <v>47900.25</v>
          </cell>
          <cell r="AJ64">
            <v>10626</v>
          </cell>
          <cell r="AK64">
            <v>0</v>
          </cell>
          <cell r="AL64">
            <v>33153</v>
          </cell>
          <cell r="AM64">
            <v>4.1275527592361555E-2</v>
          </cell>
          <cell r="AO64">
            <v>7228.8984545465773</v>
          </cell>
          <cell r="AP64">
            <v>644.13902594806439</v>
          </cell>
          <cell r="AQ64">
            <v>6584.7594285985124</v>
          </cell>
          <cell r="AR64">
            <v>1288.9281394444622</v>
          </cell>
          <cell r="AS64">
            <v>151.16945212401868</v>
          </cell>
          <cell r="AY64">
            <v>13.827994800056874</v>
          </cell>
          <cell r="AZ64">
            <v>18</v>
          </cell>
          <cell r="BA64">
            <v>35</v>
          </cell>
        </row>
        <row r="65">
          <cell r="A65" t="str">
            <v>8160-01-166</v>
          </cell>
          <cell r="B65" t="str">
            <v>Ester Beck (Louis)</v>
          </cell>
          <cell r="C65" t="str">
            <v>017161142</v>
          </cell>
          <cell r="D65">
            <v>17161142</v>
          </cell>
          <cell r="F65" t="str">
            <v>אסתר בורגר בק</v>
          </cell>
          <cell r="G65" t="str">
            <v>II</v>
          </cell>
          <cell r="I65">
            <v>250000</v>
          </cell>
          <cell r="J65">
            <v>3.3881161446756495E-3</v>
          </cell>
          <cell r="K65">
            <v>4.8730742512077966E-3</v>
          </cell>
          <cell r="M65">
            <v>5155.7125577778488</v>
          </cell>
          <cell r="N65">
            <v>604.6778084960747</v>
          </cell>
          <cell r="O65">
            <v>1468.5080882726543</v>
          </cell>
          <cell r="P65">
            <v>7228.8984545465773</v>
          </cell>
          <cell r="Q65">
            <v>384.90611140361898</v>
          </cell>
          <cell r="R65">
            <v>5540.6186691814673</v>
          </cell>
          <cell r="S65">
            <v>1288.9281394444622</v>
          </cell>
          <cell r="T65">
            <v>726.05821585017304</v>
          </cell>
          <cell r="U65">
            <v>-726.05821585017304</v>
          </cell>
          <cell r="V65">
            <v>562.86992359428916</v>
          </cell>
          <cell r="W65" t="str">
            <v>X</v>
          </cell>
          <cell r="Y65">
            <v>1288.9281394444622</v>
          </cell>
          <cell r="Z65">
            <v>151.16945212401868</v>
          </cell>
          <cell r="AA65">
            <v>69.900349770243452</v>
          </cell>
          <cell r="AB65">
            <v>-69.900349770243452</v>
          </cell>
          <cell r="AC65">
            <v>81.269102353775224</v>
          </cell>
          <cell r="AD65" t="str">
            <v>X</v>
          </cell>
          <cell r="AF65">
            <v>151.16945212401868</v>
          </cell>
          <cell r="AG65">
            <v>6584.7594285985124</v>
          </cell>
          <cell r="AH65">
            <v>0</v>
          </cell>
          <cell r="AI65">
            <v>131234</v>
          </cell>
          <cell r="AJ65">
            <v>10632</v>
          </cell>
          <cell r="AK65">
            <v>0</v>
          </cell>
          <cell r="AL65">
            <v>33153</v>
          </cell>
          <cell r="AM65">
            <v>5.479573039177299E-2</v>
          </cell>
          <cell r="AO65">
            <v>7228.8984545465773</v>
          </cell>
          <cell r="AP65">
            <v>644.13902594806439</v>
          </cell>
          <cell r="AQ65">
            <v>6584.7594285985124</v>
          </cell>
          <cell r="AR65">
            <v>1288.9281394444622</v>
          </cell>
          <cell r="AS65">
            <v>151.16945212401868</v>
          </cell>
          <cell r="AY65">
            <v>13.827994800056874</v>
          </cell>
          <cell r="AZ65">
            <v>18</v>
          </cell>
          <cell r="BA65">
            <v>35</v>
          </cell>
        </row>
        <row r="66">
          <cell r="A66" t="str">
            <v>8160-01-167</v>
          </cell>
          <cell r="B66" t="str">
            <v>Trico Fuchs Ltd.</v>
          </cell>
          <cell r="C66">
            <v>510621113</v>
          </cell>
          <cell r="D66">
            <v>510621113</v>
          </cell>
          <cell r="E66" t="str">
            <v>Trico Fuchs Ltd.</v>
          </cell>
          <cell r="F66" t="str">
            <v>טריקו - פוקס בע"מ</v>
          </cell>
          <cell r="G66" t="str">
            <v>II</v>
          </cell>
          <cell r="I66">
            <v>750000</v>
          </cell>
          <cell r="J66">
            <v>1.0164348434026948E-2</v>
          </cell>
          <cell r="K66">
            <v>1.4619222753623389E-2</v>
          </cell>
          <cell r="M66">
            <v>15467.137673333546</v>
          </cell>
          <cell r="N66">
            <v>1814.0334254882239</v>
          </cell>
          <cell r="O66">
            <v>4405.5242648179619</v>
          </cell>
          <cell r="P66">
            <v>21686.695363639734</v>
          </cell>
          <cell r="Q66">
            <v>1154.7183342108567</v>
          </cell>
          <cell r="R66">
            <v>16621.856007544404</v>
          </cell>
          <cell r="T66">
            <v>2178.1746475505188</v>
          </cell>
          <cell r="W66" t="str">
            <v>V</v>
          </cell>
          <cell r="X66">
            <v>2178.1746475505188</v>
          </cell>
          <cell r="Y66">
            <v>2178.1746475505188</v>
          </cell>
          <cell r="AA66">
            <v>209.70104931073035</v>
          </cell>
          <cell r="AD66" t="str">
            <v>V</v>
          </cell>
          <cell r="AE66">
            <v>209.70104931073035</v>
          </cell>
          <cell r="AF66">
            <v>209.70104931073035</v>
          </cell>
          <cell r="AG66">
            <v>21686.695363639734</v>
          </cell>
          <cell r="AH66" t="e">
            <v>#N/A</v>
          </cell>
          <cell r="AI66" t="e">
            <v>#N/A</v>
          </cell>
          <cell r="AJ66" t="e">
            <v>#N/A</v>
          </cell>
          <cell r="AK66" t="e">
            <v>#N/A</v>
          </cell>
          <cell r="AL66" t="e">
            <v>#N/A</v>
          </cell>
          <cell r="AM66" t="e">
            <v>#N/A</v>
          </cell>
          <cell r="AO66">
            <v>21686.695363639734</v>
          </cell>
          <cell r="AP66">
            <v>0</v>
          </cell>
          <cell r="AQ66">
            <v>21686.695363639734</v>
          </cell>
          <cell r="AR66">
            <v>2178.1746475505188</v>
          </cell>
          <cell r="AS66">
            <v>209.70104931073035</v>
          </cell>
          <cell r="AY66">
            <v>45.542060263643435</v>
          </cell>
          <cell r="AZ66">
            <v>45.542060263643435</v>
          </cell>
          <cell r="BA66">
            <v>35</v>
          </cell>
        </row>
        <row r="67">
          <cell r="A67" t="str">
            <v>8160-01-168</v>
          </cell>
          <cell r="B67" t="str">
            <v>Uzi Ziv</v>
          </cell>
          <cell r="C67" t="str">
            <v>057697351</v>
          </cell>
          <cell r="D67">
            <v>57697351</v>
          </cell>
          <cell r="F67" t="str">
            <v>עוזי עזרא זיו</v>
          </cell>
          <cell r="G67" t="str">
            <v>II</v>
          </cell>
          <cell r="I67">
            <v>250000</v>
          </cell>
          <cell r="J67">
            <v>3.3881161446756495E-3</v>
          </cell>
          <cell r="K67">
            <v>4.8730742512077966E-3</v>
          </cell>
          <cell r="M67">
            <v>5155.7125577778488</v>
          </cell>
          <cell r="N67">
            <v>604.6778084960747</v>
          </cell>
          <cell r="O67">
            <v>1468.5080882726543</v>
          </cell>
          <cell r="P67">
            <v>7228.8984545465773</v>
          </cell>
          <cell r="Q67">
            <v>384.90611140361898</v>
          </cell>
          <cell r="R67">
            <v>5540.6186691814673</v>
          </cell>
          <cell r="S67">
            <v>1288.9281394444622</v>
          </cell>
          <cell r="T67">
            <v>726.05821585017304</v>
          </cell>
          <cell r="U67">
            <v>-726.05821585017304</v>
          </cell>
          <cell r="V67">
            <v>562.86992359428916</v>
          </cell>
          <cell r="W67" t="str">
            <v>X</v>
          </cell>
          <cell r="Y67">
            <v>1288.9281394444622</v>
          </cell>
          <cell r="Z67">
            <v>151.16945212401868</v>
          </cell>
          <cell r="AA67">
            <v>69.900349770243452</v>
          </cell>
          <cell r="AB67">
            <v>-69.900349770243452</v>
          </cell>
          <cell r="AC67">
            <v>81.269102353775224</v>
          </cell>
          <cell r="AD67" t="str">
            <v>X</v>
          </cell>
          <cell r="AF67">
            <v>151.16945212401868</v>
          </cell>
          <cell r="AG67">
            <v>6584.7594285985124</v>
          </cell>
          <cell r="AH67">
            <v>0</v>
          </cell>
          <cell r="AI67">
            <v>131233.5</v>
          </cell>
          <cell r="AJ67">
            <v>10625</v>
          </cell>
          <cell r="AK67">
            <v>0</v>
          </cell>
          <cell r="AL67">
            <v>33153</v>
          </cell>
          <cell r="AM67">
            <v>5.4797042767494183E-2</v>
          </cell>
          <cell r="AO67">
            <v>7228.8984545465773</v>
          </cell>
          <cell r="AP67">
            <v>644.13902594806439</v>
          </cell>
          <cell r="AQ67">
            <v>6584.7594285985124</v>
          </cell>
          <cell r="AR67">
            <v>1288.9281394444622</v>
          </cell>
          <cell r="AS67">
            <v>151.16945212401868</v>
          </cell>
          <cell r="AY67">
            <v>13.827994800056874</v>
          </cell>
          <cell r="AZ67">
            <v>18</v>
          </cell>
          <cell r="BA67">
            <v>35</v>
          </cell>
        </row>
        <row r="68">
          <cell r="A68" t="str">
            <v>8160-01-169</v>
          </cell>
          <cell r="B68" t="str">
            <v>Michal (Yuval) Hatuka</v>
          </cell>
          <cell r="C68" t="str">
            <v>023749609</v>
          </cell>
          <cell r="D68">
            <v>23749609</v>
          </cell>
          <cell r="F68" t="str">
            <v>מיכל שטרית חתוק</v>
          </cell>
          <cell r="G68" t="str">
            <v>II</v>
          </cell>
          <cell r="I68">
            <v>250000</v>
          </cell>
          <cell r="J68">
            <v>3.3881161446756495E-3</v>
          </cell>
          <cell r="K68">
            <v>4.8730742512077966E-3</v>
          </cell>
          <cell r="M68">
            <v>5155.7125577778488</v>
          </cell>
          <cell r="N68">
            <v>604.6778084960747</v>
          </cell>
          <cell r="O68">
            <v>1468.5080882726543</v>
          </cell>
          <cell r="P68">
            <v>7228.8984545465773</v>
          </cell>
          <cell r="Q68">
            <v>384.90611140361898</v>
          </cell>
          <cell r="R68">
            <v>5540.6186691814673</v>
          </cell>
          <cell r="S68">
            <v>1288.9281394444622</v>
          </cell>
          <cell r="T68">
            <v>726.05821585017304</v>
          </cell>
          <cell r="U68">
            <v>-726.05821585017304</v>
          </cell>
          <cell r="V68">
            <v>562.86992359428916</v>
          </cell>
          <cell r="W68" t="str">
            <v>X</v>
          </cell>
          <cell r="Y68">
            <v>1288.9281394444622</v>
          </cell>
          <cell r="Z68">
            <v>151.16945212401868</v>
          </cell>
          <cell r="AA68">
            <v>69.900349770243452</v>
          </cell>
          <cell r="AB68">
            <v>-69.900349770243452</v>
          </cell>
          <cell r="AC68">
            <v>81.269102353775224</v>
          </cell>
          <cell r="AD68" t="str">
            <v>X</v>
          </cell>
          <cell r="AF68">
            <v>151.16945212401868</v>
          </cell>
          <cell r="AG68">
            <v>6584.7594285985124</v>
          </cell>
          <cell r="AH68">
            <v>0</v>
          </cell>
          <cell r="AI68">
            <v>131233.5</v>
          </cell>
          <cell r="AJ68">
            <v>10622.5</v>
          </cell>
          <cell r="AK68">
            <v>0</v>
          </cell>
          <cell r="AL68">
            <v>33153.5</v>
          </cell>
          <cell r="AM68">
            <v>5.4797414552225338E-2</v>
          </cell>
          <cell r="AO68">
            <v>7228.8984545465773</v>
          </cell>
          <cell r="AP68">
            <v>644.13902594806439</v>
          </cell>
          <cell r="AQ68">
            <v>6584.7594285985124</v>
          </cell>
          <cell r="AR68">
            <v>1288.9281394444622</v>
          </cell>
          <cell r="AS68">
            <v>151.16945212401868</v>
          </cell>
          <cell r="AY68">
            <v>13.827994800056874</v>
          </cell>
          <cell r="AZ68">
            <v>18</v>
          </cell>
          <cell r="BA68">
            <v>35</v>
          </cell>
        </row>
        <row r="69">
          <cell r="A69" t="str">
            <v>8160-01-170</v>
          </cell>
          <cell r="B69" t="str">
            <v>E Hasson LTD</v>
          </cell>
          <cell r="C69">
            <v>512041591</v>
          </cell>
          <cell r="D69">
            <v>512041591</v>
          </cell>
          <cell r="E69" t="str">
            <v>E Hasson LTD</v>
          </cell>
          <cell r="F69" t="str">
            <v>אליהו חסון בע"מ</v>
          </cell>
          <cell r="G69" t="str">
            <v>II</v>
          </cell>
          <cell r="I69">
            <v>1000000</v>
          </cell>
          <cell r="J69">
            <v>1.3552464578702598E-2</v>
          </cell>
          <cell r="K69">
            <v>1.9492297004831186E-2</v>
          </cell>
          <cell r="M69">
            <v>20622.850231111395</v>
          </cell>
          <cell r="N69">
            <v>2418.7112339842988</v>
          </cell>
          <cell r="O69">
            <v>5874.0323530906171</v>
          </cell>
          <cell r="P69">
            <v>28915.593818186309</v>
          </cell>
          <cell r="Q69">
            <v>1539.6244456144759</v>
          </cell>
          <cell r="R69">
            <v>22162.474676725869</v>
          </cell>
          <cell r="T69">
            <v>2904.2328634006922</v>
          </cell>
          <cell r="V69">
            <v>0</v>
          </cell>
          <cell r="W69" t="str">
            <v>V</v>
          </cell>
          <cell r="Y69">
            <v>2904.2328634006922</v>
          </cell>
          <cell r="AA69">
            <v>279.60139908097381</v>
          </cell>
          <cell r="AC69">
            <v>0</v>
          </cell>
          <cell r="AD69" t="str">
            <v>V</v>
          </cell>
          <cell r="AF69">
            <v>279.60139908097381</v>
          </cell>
          <cell r="AG69">
            <v>28915.593818186309</v>
          </cell>
          <cell r="AH69" t="e">
            <v>#N/A</v>
          </cell>
          <cell r="AI69" t="e">
            <v>#N/A</v>
          </cell>
          <cell r="AJ69" t="e">
            <v>#N/A</v>
          </cell>
          <cell r="AK69" t="e">
            <v>#N/A</v>
          </cell>
          <cell r="AL69" t="e">
            <v>#N/A</v>
          </cell>
          <cell r="AM69" t="e">
            <v>#N/A</v>
          </cell>
          <cell r="AN69" t="str">
            <v>הגדלה ב- Subscription</v>
          </cell>
          <cell r="AO69">
            <v>28915.593818186309</v>
          </cell>
          <cell r="AP69">
            <v>0</v>
          </cell>
          <cell r="AQ69">
            <v>28915.593818186309</v>
          </cell>
          <cell r="AR69">
            <v>2904.2328634006922</v>
          </cell>
          <cell r="AS69">
            <v>279.60139908097381</v>
          </cell>
          <cell r="AY69">
            <v>60.722747018191249</v>
          </cell>
          <cell r="AZ69">
            <v>60.722747018191249</v>
          </cell>
          <cell r="BA69">
            <v>35</v>
          </cell>
        </row>
        <row r="70">
          <cell r="A70" t="str">
            <v>8160-01-171</v>
          </cell>
          <cell r="B70" t="str">
            <v>Yishai Fuchs</v>
          </cell>
          <cell r="C70" t="str">
            <v>040785750</v>
          </cell>
          <cell r="D70">
            <v>40785750</v>
          </cell>
          <cell r="F70" t="str">
            <v>ישי פוקס</v>
          </cell>
          <cell r="G70" t="str">
            <v>II</v>
          </cell>
          <cell r="I70">
            <v>150000</v>
          </cell>
          <cell r="J70">
            <v>2.0328696868053896E-3</v>
          </cell>
          <cell r="K70">
            <v>2.9238445507246778E-3</v>
          </cell>
          <cell r="M70">
            <v>3093.4275346667091</v>
          </cell>
          <cell r="N70">
            <v>362.80668509764479</v>
          </cell>
          <cell r="O70">
            <v>881.10485296359241</v>
          </cell>
          <cell r="P70">
            <v>4337.3390727279466</v>
          </cell>
          <cell r="Q70">
            <v>230.94366684217135</v>
          </cell>
          <cell r="R70">
            <v>3324.3712015088804</v>
          </cell>
          <cell r="S70">
            <v>773.35688366667728</v>
          </cell>
          <cell r="T70">
            <v>435.6349295101038</v>
          </cell>
          <cell r="U70">
            <v>-435.6349295101038</v>
          </cell>
          <cell r="V70">
            <v>337.72195415657347</v>
          </cell>
          <cell r="W70" t="str">
            <v>X</v>
          </cell>
          <cell r="Y70">
            <v>773.35688366667728</v>
          </cell>
          <cell r="Z70">
            <v>90.701671274411197</v>
          </cell>
          <cell r="AA70">
            <v>41.940209862146069</v>
          </cell>
          <cell r="AB70">
            <v>-41.940209862146069</v>
          </cell>
          <cell r="AC70">
            <v>48.761461412265128</v>
          </cell>
          <cell r="AD70" t="str">
            <v>X</v>
          </cell>
          <cell r="AF70">
            <v>90.701671274411197</v>
          </cell>
          <cell r="AG70">
            <v>3950.855657159108</v>
          </cell>
          <cell r="AH70">
            <v>0</v>
          </cell>
          <cell r="AI70">
            <v>78740.100000000006</v>
          </cell>
          <cell r="AJ70">
            <v>6375</v>
          </cell>
          <cell r="AK70">
            <v>0</v>
          </cell>
          <cell r="AL70">
            <v>19892</v>
          </cell>
          <cell r="AM70">
            <v>5.4797024683673118E-2</v>
          </cell>
          <cell r="AO70">
            <v>4337.3390727279466</v>
          </cell>
          <cell r="AP70">
            <v>386.48341556883861</v>
          </cell>
          <cell r="AQ70">
            <v>3950.855657159108</v>
          </cell>
          <cell r="AR70">
            <v>773.35688366667728</v>
          </cell>
          <cell r="AS70">
            <v>90.701671274411197</v>
          </cell>
          <cell r="AY70">
            <v>8.2967968800341261</v>
          </cell>
          <cell r="AZ70">
            <v>18</v>
          </cell>
          <cell r="BA70">
            <v>35</v>
          </cell>
        </row>
        <row r="71">
          <cell r="A71" t="str">
            <v>8160-01-172</v>
          </cell>
          <cell r="B71" t="str">
            <v>Ofer Jacobson</v>
          </cell>
          <cell r="C71" t="str">
            <v>057750606</v>
          </cell>
          <cell r="D71">
            <v>57750606</v>
          </cell>
          <cell r="F71" t="str">
            <v>עופר יעקבזון</v>
          </cell>
          <cell r="G71" t="str">
            <v>II</v>
          </cell>
          <cell r="I71">
            <v>250000</v>
          </cell>
          <cell r="J71">
            <v>3.3881161446756495E-3</v>
          </cell>
          <cell r="K71">
            <v>4.8730742512077966E-3</v>
          </cell>
          <cell r="M71">
            <v>5155.7125577778488</v>
          </cell>
          <cell r="N71">
            <v>604.6778084960747</v>
          </cell>
          <cell r="O71">
            <v>1468.5080882726543</v>
          </cell>
          <cell r="P71">
            <v>7228.8984545465773</v>
          </cell>
          <cell r="Q71">
            <v>384.90611140361898</v>
          </cell>
          <cell r="R71">
            <v>5540.6186691814673</v>
          </cell>
          <cell r="S71">
            <v>1288.9281394444622</v>
          </cell>
          <cell r="T71">
            <v>726.05821585017304</v>
          </cell>
          <cell r="U71">
            <v>-726.05821585017304</v>
          </cell>
          <cell r="V71">
            <v>562.86992359428916</v>
          </cell>
          <cell r="W71" t="str">
            <v>ע"פ תקנות'</v>
          </cell>
          <cell r="Y71">
            <v>1288.9281394444622</v>
          </cell>
          <cell r="Z71">
            <v>151.16945212401868</v>
          </cell>
          <cell r="AA71">
            <v>69.900349770243452</v>
          </cell>
          <cell r="AB71">
            <v>-69.900349770243452</v>
          </cell>
          <cell r="AC71">
            <v>81.269102353775224</v>
          </cell>
          <cell r="AD71" t="str">
            <v>ע"פ תקנות'</v>
          </cell>
          <cell r="AF71">
            <v>151.16945212401868</v>
          </cell>
          <cell r="AG71">
            <v>6584.7594285985124</v>
          </cell>
          <cell r="AH71">
            <v>0</v>
          </cell>
          <cell r="AI71">
            <v>131233.5</v>
          </cell>
          <cell r="AJ71">
            <v>10624.5</v>
          </cell>
          <cell r="AK71">
            <v>0</v>
          </cell>
          <cell r="AL71">
            <v>33153</v>
          </cell>
          <cell r="AM71">
            <v>5.4797122549200189E-2</v>
          </cell>
          <cell r="AO71">
            <v>7228.8984545465773</v>
          </cell>
          <cell r="AP71">
            <v>644.13902594806439</v>
          </cell>
          <cell r="AQ71">
            <v>6584.7594285985124</v>
          </cell>
          <cell r="AR71">
            <v>1288.9281394444622</v>
          </cell>
          <cell r="AS71">
            <v>151.16945212401868</v>
          </cell>
          <cell r="AY71">
            <v>13.827994800056874</v>
          </cell>
          <cell r="AZ71">
            <v>18</v>
          </cell>
          <cell r="BA71">
            <v>35</v>
          </cell>
        </row>
        <row r="72">
          <cell r="A72" t="str">
            <v>8160-01-173</v>
          </cell>
          <cell r="B72" t="str">
            <v>Oded Fuchs</v>
          </cell>
          <cell r="C72" t="str">
            <v>039301825</v>
          </cell>
          <cell r="D72">
            <v>39301825</v>
          </cell>
          <cell r="F72" t="str">
            <v>עודד פוקס</v>
          </cell>
          <cell r="G72" t="str">
            <v>II</v>
          </cell>
          <cell r="I72">
            <v>150000</v>
          </cell>
          <cell r="J72">
            <v>2.0328696868053896E-3</v>
          </cell>
          <cell r="K72">
            <v>2.9238445507246778E-3</v>
          </cell>
          <cell r="M72">
            <v>3093.4275346667091</v>
          </cell>
          <cell r="N72">
            <v>362.80668509764479</v>
          </cell>
          <cell r="O72">
            <v>881.10485296359241</v>
          </cell>
          <cell r="P72">
            <v>4337.3390727279466</v>
          </cell>
          <cell r="Q72">
            <v>230.94366684217135</v>
          </cell>
          <cell r="R72">
            <v>3324.3712015088804</v>
          </cell>
          <cell r="S72">
            <v>773.35688366667728</v>
          </cell>
          <cell r="T72">
            <v>435.6349295101038</v>
          </cell>
          <cell r="U72">
            <v>-435.6349295101038</v>
          </cell>
          <cell r="V72">
            <v>337.72195415657347</v>
          </cell>
          <cell r="W72" t="str">
            <v>ע"פ תקנות'</v>
          </cell>
          <cell r="Y72">
            <v>773.35688366667728</v>
          </cell>
          <cell r="Z72">
            <v>90.701671274411197</v>
          </cell>
          <cell r="AA72">
            <v>41.940209862146069</v>
          </cell>
          <cell r="AB72">
            <v>-41.940209862146069</v>
          </cell>
          <cell r="AC72">
            <v>48.761461412265128</v>
          </cell>
          <cell r="AD72" t="str">
            <v>ע"פ תקנות'</v>
          </cell>
          <cell r="AF72">
            <v>90.701671274411197</v>
          </cell>
          <cell r="AG72">
            <v>3950.855657159108</v>
          </cell>
          <cell r="AH72">
            <v>0</v>
          </cell>
          <cell r="AI72">
            <v>78740.100000000006</v>
          </cell>
          <cell r="AJ72">
            <v>6375</v>
          </cell>
          <cell r="AK72">
            <v>0</v>
          </cell>
          <cell r="AL72">
            <v>19892</v>
          </cell>
          <cell r="AM72">
            <v>5.4797024683673118E-2</v>
          </cell>
          <cell r="AO72">
            <v>4337.3390727279466</v>
          </cell>
          <cell r="AP72">
            <v>386.48341556883861</v>
          </cell>
          <cell r="AQ72">
            <v>3950.855657159108</v>
          </cell>
          <cell r="AR72">
            <v>773.35688366667728</v>
          </cell>
          <cell r="AS72">
            <v>90.701671274411197</v>
          </cell>
          <cell r="AY72">
            <v>8.2967968800341261</v>
          </cell>
          <cell r="AZ72">
            <v>18</v>
          </cell>
          <cell r="BA72">
            <v>35</v>
          </cell>
        </row>
        <row r="73">
          <cell r="A73" t="str">
            <v>8160-01-174</v>
          </cell>
          <cell r="B73" t="str">
            <v>Moshe Strumlaufer</v>
          </cell>
          <cell r="C73" t="str">
            <v>055710610</v>
          </cell>
          <cell r="D73">
            <v>55710610</v>
          </cell>
          <cell r="F73" t="str">
            <v>משה שטורמלאופר</v>
          </cell>
          <cell r="G73" t="str">
            <v>II</v>
          </cell>
          <cell r="I73">
            <v>500000</v>
          </cell>
          <cell r="J73">
            <v>6.7762322893512991E-3</v>
          </cell>
          <cell r="K73">
            <v>9.7461485024155931E-3</v>
          </cell>
          <cell r="M73">
            <v>10311.425115555698</v>
          </cell>
          <cell r="N73">
            <v>1209.3556169921494</v>
          </cell>
          <cell r="O73">
            <v>2937.0161765453086</v>
          </cell>
          <cell r="P73">
            <v>14457.796909093155</v>
          </cell>
          <cell r="Q73">
            <v>769.81222280723796</v>
          </cell>
          <cell r="R73">
            <v>11081.237338362935</v>
          </cell>
          <cell r="S73">
            <v>2577.8562788889244</v>
          </cell>
          <cell r="T73">
            <v>1452.1164317003461</v>
          </cell>
          <cell r="U73">
            <v>-1452.1164317003461</v>
          </cell>
          <cell r="V73">
            <v>1125.7398471885783</v>
          </cell>
          <cell r="W73" t="str">
            <v>ע"פ תקנות'</v>
          </cell>
          <cell r="Y73">
            <v>2577.8562788889244</v>
          </cell>
          <cell r="Z73">
            <v>302.33890424803735</v>
          </cell>
          <cell r="AA73">
            <v>139.8006995404869</v>
          </cell>
          <cell r="AB73">
            <v>-139.8006995404869</v>
          </cell>
          <cell r="AC73">
            <v>162.53820470755045</v>
          </cell>
          <cell r="AD73" t="str">
            <v>ע"פ תקנות'</v>
          </cell>
          <cell r="AF73">
            <v>302.33890424803735</v>
          </cell>
          <cell r="AG73">
            <v>13169.518857197025</v>
          </cell>
          <cell r="AH73">
            <v>0</v>
          </cell>
          <cell r="AI73">
            <v>262467</v>
          </cell>
          <cell r="AJ73">
            <v>21250</v>
          </cell>
          <cell r="AK73">
            <v>0</v>
          </cell>
          <cell r="AL73">
            <v>66306</v>
          </cell>
          <cell r="AM73">
            <v>5.4797042767494183E-2</v>
          </cell>
          <cell r="AO73">
            <v>14457.796909093155</v>
          </cell>
          <cell r="AP73">
            <v>1288.2780518961288</v>
          </cell>
          <cell r="AQ73">
            <v>13169.518857197025</v>
          </cell>
          <cell r="AR73">
            <v>2577.8562788889244</v>
          </cell>
          <cell r="AS73">
            <v>302.33890424803735</v>
          </cell>
          <cell r="AY73">
            <v>27.655989600113749</v>
          </cell>
          <cell r="AZ73">
            <v>27.655989600113749</v>
          </cell>
          <cell r="BA73">
            <v>35</v>
          </cell>
        </row>
        <row r="74">
          <cell r="A74" t="str">
            <v>8160-01-175</v>
          </cell>
          <cell r="B74" t="str">
            <v>Vilnai Marketing Group LTD</v>
          </cell>
          <cell r="C74">
            <v>511973299</v>
          </cell>
          <cell r="D74">
            <v>511973299</v>
          </cell>
          <cell r="E74" t="str">
            <v>Vilnai Marketing Group LTD</v>
          </cell>
          <cell r="F74" t="str">
            <v>קבוצת וילנאי לשיווק בע"מ</v>
          </cell>
          <cell r="G74" t="str">
            <v>II</v>
          </cell>
          <cell r="I74">
            <v>250000</v>
          </cell>
          <cell r="J74">
            <v>3.3881161446756495E-3</v>
          </cell>
          <cell r="K74">
            <v>4.8730742512077966E-3</v>
          </cell>
          <cell r="M74">
            <v>5155.7125577778488</v>
          </cell>
          <cell r="N74">
            <v>604.6778084960747</v>
          </cell>
          <cell r="O74">
            <v>1468.5080882726543</v>
          </cell>
          <cell r="P74">
            <v>7228.8984545465773</v>
          </cell>
          <cell r="Q74">
            <v>384.90611140361898</v>
          </cell>
          <cell r="R74">
            <v>5540.6186691814673</v>
          </cell>
          <cell r="T74">
            <v>726.05821585017304</v>
          </cell>
          <cell r="W74" t="str">
            <v>V</v>
          </cell>
          <cell r="X74">
            <v>726.05821585017304</v>
          </cell>
          <cell r="Y74">
            <v>726.05821585017304</v>
          </cell>
          <cell r="AA74">
            <v>69.900349770243452</v>
          </cell>
          <cell r="AD74" t="str">
            <v>V</v>
          </cell>
          <cell r="AE74">
            <v>69.900349770243452</v>
          </cell>
          <cell r="AF74">
            <v>69.900349770243452</v>
          </cell>
          <cell r="AG74">
            <v>7228.8984545465773</v>
          </cell>
          <cell r="AH74" t="e">
            <v>#N/A</v>
          </cell>
          <cell r="AI74" t="e">
            <v>#N/A</v>
          </cell>
          <cell r="AJ74" t="e">
            <v>#N/A</v>
          </cell>
          <cell r="AK74" t="e">
            <v>#N/A</v>
          </cell>
          <cell r="AL74" t="e">
            <v>#N/A</v>
          </cell>
          <cell r="AM74" t="e">
            <v>#N/A</v>
          </cell>
          <cell r="AO74">
            <v>7228.8984545465773</v>
          </cell>
          <cell r="AP74">
            <v>0</v>
          </cell>
          <cell r="AQ74">
            <v>7228.8984545465773</v>
          </cell>
          <cell r="AR74">
            <v>726.05821585017304</v>
          </cell>
          <cell r="AS74">
            <v>69.900349770243452</v>
          </cell>
          <cell r="AY74">
            <v>15.180686754547812</v>
          </cell>
          <cell r="AZ74">
            <v>18</v>
          </cell>
          <cell r="BA74">
            <v>35</v>
          </cell>
        </row>
        <row r="75">
          <cell r="A75" t="str">
            <v>8160-01-176</v>
          </cell>
          <cell r="B75" t="str">
            <v>Atlas Multi Fund L.P</v>
          </cell>
          <cell r="C75" t="str">
            <v>OG-90358</v>
          </cell>
          <cell r="D75">
            <v>515589448</v>
          </cell>
          <cell r="E75" t="str">
            <v>Atlas Multi Fund L.P</v>
          </cell>
          <cell r="G75" t="str">
            <v>II</v>
          </cell>
          <cell r="I75">
            <v>3000000</v>
          </cell>
          <cell r="J75">
            <v>4.0657393736107793E-2</v>
          </cell>
          <cell r="K75">
            <v>5.8476891014493555E-2</v>
          </cell>
          <cell r="M75">
            <v>61868.550693334182</v>
          </cell>
          <cell r="N75">
            <v>7256.1337019528955</v>
          </cell>
          <cell r="O75">
            <v>17622.097059271848</v>
          </cell>
          <cell r="P75">
            <v>86746.781454558935</v>
          </cell>
          <cell r="Q75">
            <v>4618.8733368434268</v>
          </cell>
          <cell r="R75">
            <v>66487.424030177615</v>
          </cell>
          <cell r="T75">
            <v>8712.6985902020751</v>
          </cell>
          <cell r="V75">
            <v>0</v>
          </cell>
          <cell r="W75" t="str">
            <v>V</v>
          </cell>
          <cell r="Y75">
            <v>8712.6985902020751</v>
          </cell>
          <cell r="AA75">
            <v>838.80419724292142</v>
          </cell>
          <cell r="AC75">
            <v>0</v>
          </cell>
          <cell r="AD75" t="str">
            <v>V</v>
          </cell>
          <cell r="AF75">
            <v>838.80419724292142</v>
          </cell>
          <cell r="AG75">
            <v>86746.781454558935</v>
          </cell>
          <cell r="AH75" t="e">
            <v>#N/A</v>
          </cell>
          <cell r="AI75" t="e">
            <v>#N/A</v>
          </cell>
          <cell r="AJ75" t="e">
            <v>#N/A</v>
          </cell>
          <cell r="AK75" t="e">
            <v>#N/A</v>
          </cell>
          <cell r="AL75" t="e">
            <v>#N/A</v>
          </cell>
          <cell r="AM75" t="e">
            <v>#N/A</v>
          </cell>
          <cell r="AN75" t="str">
            <v>הגדלה ב- Subscription</v>
          </cell>
          <cell r="AO75">
            <v>86746.781454558935</v>
          </cell>
          <cell r="AP75">
            <v>0</v>
          </cell>
          <cell r="AQ75">
            <v>86746.781454558935</v>
          </cell>
          <cell r="AR75">
            <v>8712.6985902020751</v>
          </cell>
          <cell r="AS75">
            <v>838.80419724292142</v>
          </cell>
          <cell r="AY75">
            <v>182.16824105457374</v>
          </cell>
          <cell r="AZ75">
            <v>182.16824105457374</v>
          </cell>
          <cell r="BA75">
            <v>35</v>
          </cell>
        </row>
        <row r="76">
          <cell r="A76" t="str">
            <v>8160-01-177</v>
          </cell>
          <cell r="B76" t="str">
            <v>Aviad Avni</v>
          </cell>
          <cell r="C76" t="str">
            <v>054973680</v>
          </cell>
          <cell r="D76">
            <v>512065202</v>
          </cell>
          <cell r="F76" t="str">
            <v>אביעד יצחק אבני</v>
          </cell>
          <cell r="G76" t="str">
            <v>II</v>
          </cell>
          <cell r="H76" t="str">
            <v>Meitav</v>
          </cell>
          <cell r="I76">
            <v>250000</v>
          </cell>
          <cell r="J76">
            <v>3.3881161446756495E-3</v>
          </cell>
          <cell r="K76">
            <v>4.8730742512077966E-3</v>
          </cell>
          <cell r="M76">
            <v>5155.7125577778488</v>
          </cell>
          <cell r="N76">
            <v>604.6778084960747</v>
          </cell>
          <cell r="O76">
            <v>1468.5080882726543</v>
          </cell>
          <cell r="P76">
            <v>7228.8984545465773</v>
          </cell>
          <cell r="Q76">
            <v>384.90611140361898</v>
          </cell>
          <cell r="R76">
            <v>5540.6186691814673</v>
          </cell>
          <cell r="T76">
            <v>726.05821585017304</v>
          </cell>
          <cell r="V76">
            <v>0</v>
          </cell>
          <cell r="X76">
            <v>726.05821585017304</v>
          </cell>
          <cell r="Y76">
            <v>726.05821585017304</v>
          </cell>
          <cell r="AA76">
            <v>69.900349770243452</v>
          </cell>
          <cell r="AC76">
            <v>0</v>
          </cell>
          <cell r="AE76">
            <v>69.900349770243452</v>
          </cell>
          <cell r="AF76">
            <v>69.900349770243452</v>
          </cell>
          <cell r="AG76">
            <v>7228.8984545465773</v>
          </cell>
          <cell r="AH76">
            <v>0</v>
          </cell>
          <cell r="AI76">
            <v>131233.5</v>
          </cell>
          <cell r="AJ76">
            <v>10625</v>
          </cell>
          <cell r="AK76">
            <v>0</v>
          </cell>
          <cell r="AL76">
            <v>33153</v>
          </cell>
          <cell r="AM76">
            <v>5.4797042767494183E-2</v>
          </cell>
          <cell r="AO76">
            <v>7228.8984545465773</v>
          </cell>
          <cell r="AP76">
            <v>0</v>
          </cell>
          <cell r="AQ76">
            <v>7228.8984545465773</v>
          </cell>
          <cell r="AR76">
            <v>726.05821585017304</v>
          </cell>
          <cell r="AS76">
            <v>69.900349770243452</v>
          </cell>
          <cell r="AY76">
            <v>15.180686754547812</v>
          </cell>
          <cell r="AZ76">
            <v>18</v>
          </cell>
          <cell r="BA76">
            <v>35</v>
          </cell>
        </row>
        <row r="77">
          <cell r="A77" t="str">
            <v>8160-01-178</v>
          </cell>
          <cell r="B77" t="str">
            <v>Ehud Aloni</v>
          </cell>
          <cell r="C77" t="str">
            <v>001450287</v>
          </cell>
          <cell r="D77">
            <v>512065202</v>
          </cell>
          <cell r="F77" t="str">
            <v>אהוד אלוני</v>
          </cell>
          <cell r="G77" t="str">
            <v>II</v>
          </cell>
          <cell r="H77" t="str">
            <v>Meitav</v>
          </cell>
          <cell r="I77">
            <v>1250000</v>
          </cell>
          <cell r="J77">
            <v>1.6940580723378246E-2</v>
          </cell>
          <cell r="K77">
            <v>2.4365371256038982E-2</v>
          </cell>
          <cell r="M77">
            <v>25778.562788889241</v>
          </cell>
          <cell r="N77">
            <v>3023.3890424803731</v>
          </cell>
          <cell r="O77">
            <v>7342.5404413632705</v>
          </cell>
          <cell r="P77">
            <v>36144.492272732881</v>
          </cell>
          <cell r="Q77">
            <v>1924.5305570180947</v>
          </cell>
          <cell r="R77">
            <v>27703.093345907335</v>
          </cell>
          <cell r="T77">
            <v>3630.2910792508651</v>
          </cell>
          <cell r="V77">
            <v>0</v>
          </cell>
          <cell r="X77">
            <v>3630.2910792508651</v>
          </cell>
          <cell r="Y77">
            <v>3630.2910792508651</v>
          </cell>
          <cell r="AA77">
            <v>349.50174885121726</v>
          </cell>
          <cell r="AC77">
            <v>0</v>
          </cell>
          <cell r="AE77">
            <v>349.50174885121726</v>
          </cell>
          <cell r="AF77">
            <v>349.50174885121726</v>
          </cell>
          <cell r="AG77">
            <v>36144.492272732881</v>
          </cell>
          <cell r="AH77">
            <v>0</v>
          </cell>
          <cell r="AI77">
            <v>656167.5</v>
          </cell>
          <cell r="AJ77">
            <v>53124</v>
          </cell>
          <cell r="AK77">
            <v>0</v>
          </cell>
          <cell r="AL77">
            <v>165765</v>
          </cell>
          <cell r="AM77">
            <v>5.4797074680148702E-2</v>
          </cell>
          <cell r="AO77">
            <v>36144.492272732881</v>
          </cell>
          <cell r="AP77">
            <v>0</v>
          </cell>
          <cell r="AQ77">
            <v>36144.492272732881</v>
          </cell>
          <cell r="AR77">
            <v>3630.2910792508651</v>
          </cell>
          <cell r="AS77">
            <v>349.50174885121726</v>
          </cell>
          <cell r="AY77">
            <v>75.903433772739049</v>
          </cell>
          <cell r="AZ77">
            <v>75.903433772739049</v>
          </cell>
          <cell r="BA77">
            <v>35</v>
          </cell>
        </row>
        <row r="78">
          <cell r="A78" t="str">
            <v>8160-01-179</v>
          </cell>
          <cell r="B78" t="str">
            <v>Eyal Vardi</v>
          </cell>
          <cell r="C78" t="str">
            <v>055893275</v>
          </cell>
          <cell r="D78">
            <v>512065202</v>
          </cell>
          <cell r="F78" t="str">
            <v>אייל ורדי</v>
          </cell>
          <cell r="G78" t="str">
            <v>II</v>
          </cell>
          <cell r="H78" t="str">
            <v>Meitav</v>
          </cell>
          <cell r="I78">
            <v>198602</v>
          </cell>
          <cell r="J78">
            <v>2.6915465702594932E-3</v>
          </cell>
          <cell r="K78">
            <v>3.871209169753483E-3</v>
          </cell>
          <cell r="M78">
            <v>4095.7393015991852</v>
          </cell>
          <cell r="N78">
            <v>480.36088849174968</v>
          </cell>
          <cell r="O78">
            <v>1166.5945733885026</v>
          </cell>
          <cell r="P78">
            <v>5742.6947634794378</v>
          </cell>
          <cell r="Q78">
            <v>305.77249414792612</v>
          </cell>
          <cell r="R78">
            <v>4401.5117957471111</v>
          </cell>
          <cell r="T78">
            <v>576.78645513710421</v>
          </cell>
          <cell r="V78">
            <v>0</v>
          </cell>
          <cell r="X78">
            <v>576.78645513710421</v>
          </cell>
          <cell r="Y78">
            <v>576.78645513710421</v>
          </cell>
          <cell r="AA78">
            <v>55.529397060279557</v>
          </cell>
          <cell r="AC78">
            <v>0</v>
          </cell>
          <cell r="AE78">
            <v>55.529397060279557</v>
          </cell>
          <cell r="AF78">
            <v>55.529397060279557</v>
          </cell>
          <cell r="AG78">
            <v>5742.6947634794378</v>
          </cell>
          <cell r="AH78">
            <v>0</v>
          </cell>
          <cell r="AI78">
            <v>183726.9</v>
          </cell>
          <cell r="AJ78">
            <v>14875</v>
          </cell>
          <cell r="AK78">
            <v>0</v>
          </cell>
          <cell r="AL78">
            <v>0</v>
          </cell>
          <cell r="AM78">
            <v>3.214894325016588E-2</v>
          </cell>
          <cell r="AN78" t="str">
            <v>הפחתה ב- Subscription</v>
          </cell>
          <cell r="AO78">
            <v>5742.6947634794378</v>
          </cell>
          <cell r="AP78">
            <v>0</v>
          </cell>
          <cell r="AQ78">
            <v>5742.6947634794378</v>
          </cell>
          <cell r="AR78">
            <v>576.78645513710421</v>
          </cell>
          <cell r="AS78">
            <v>55.529397060279557</v>
          </cell>
          <cell r="AY78">
            <v>12.059659003306818</v>
          </cell>
          <cell r="AZ78">
            <v>18</v>
          </cell>
          <cell r="BA78">
            <v>35</v>
          </cell>
        </row>
        <row r="79">
          <cell r="A79" t="str">
            <v>8160-01-180</v>
          </cell>
          <cell r="B79" t="str">
            <v>Eli Katzav</v>
          </cell>
          <cell r="C79" t="str">
            <v>053370367</v>
          </cell>
          <cell r="D79">
            <v>512065202</v>
          </cell>
          <cell r="F79" t="str">
            <v>אלי קצב</v>
          </cell>
          <cell r="G79" t="str">
            <v>II</v>
          </cell>
          <cell r="H79" t="str">
            <v>Meitav</v>
          </cell>
          <cell r="I79">
            <v>250000</v>
          </cell>
          <cell r="J79">
            <v>3.3881161446756495E-3</v>
          </cell>
          <cell r="K79">
            <v>4.8730742512077966E-3</v>
          </cell>
          <cell r="M79">
            <v>5155.7125577778488</v>
          </cell>
          <cell r="N79">
            <v>604.6778084960747</v>
          </cell>
          <cell r="O79">
            <v>1468.5080882726543</v>
          </cell>
          <cell r="P79">
            <v>7228.8984545465773</v>
          </cell>
          <cell r="Q79">
            <v>384.90611140361898</v>
          </cell>
          <cell r="R79">
            <v>5540.6186691814673</v>
          </cell>
          <cell r="T79">
            <v>726.05821585017304</v>
          </cell>
          <cell r="V79">
            <v>0</v>
          </cell>
          <cell r="X79">
            <v>726.05821585017304</v>
          </cell>
          <cell r="Y79">
            <v>726.05821585017304</v>
          </cell>
          <cell r="AA79">
            <v>69.900349770243452</v>
          </cell>
          <cell r="AC79">
            <v>0</v>
          </cell>
          <cell r="AE79">
            <v>69.900349770243452</v>
          </cell>
          <cell r="AF79">
            <v>69.900349770243452</v>
          </cell>
          <cell r="AG79">
            <v>7228.8984545465773</v>
          </cell>
          <cell r="AH79">
            <v>0</v>
          </cell>
          <cell r="AI79">
            <v>131233.5</v>
          </cell>
          <cell r="AJ79">
            <v>10625</v>
          </cell>
          <cell r="AK79">
            <v>0</v>
          </cell>
          <cell r="AL79">
            <v>33152</v>
          </cell>
          <cell r="AM79">
            <v>5.479709701902899E-2</v>
          </cell>
          <cell r="AO79">
            <v>7228.8984545465773</v>
          </cell>
          <cell r="AP79">
            <v>0</v>
          </cell>
          <cell r="AQ79">
            <v>7228.8984545465773</v>
          </cell>
          <cell r="AR79">
            <v>726.05821585017304</v>
          </cell>
          <cell r="AS79">
            <v>69.900349770243452</v>
          </cell>
          <cell r="AY79">
            <v>15.180686754547812</v>
          </cell>
          <cell r="AZ79">
            <v>18</v>
          </cell>
          <cell r="BA79">
            <v>35</v>
          </cell>
        </row>
        <row r="80">
          <cell r="A80" t="str">
            <v>8160-01-181</v>
          </cell>
          <cell r="B80" t="str">
            <v>Liora (Nachman) Manor</v>
          </cell>
          <cell r="C80" t="str">
            <v>002239028</v>
          </cell>
          <cell r="D80">
            <v>512065202</v>
          </cell>
          <cell r="F80" t="str">
            <v>ליאורה מנור</v>
          </cell>
          <cell r="G80" t="str">
            <v>II</v>
          </cell>
          <cell r="H80" t="str">
            <v>Meitav</v>
          </cell>
          <cell r="I80">
            <v>250000</v>
          </cell>
          <cell r="J80">
            <v>3.3881161446756495E-3</v>
          </cell>
          <cell r="K80">
            <v>4.8730742512077966E-3</v>
          </cell>
          <cell r="M80">
            <v>5155.7125577778488</v>
          </cell>
          <cell r="N80">
            <v>604.6778084960747</v>
          </cell>
          <cell r="O80">
            <v>1468.5080882726543</v>
          </cell>
          <cell r="P80">
            <v>7228.8984545465773</v>
          </cell>
          <cell r="Q80">
            <v>384.90611140361898</v>
          </cell>
          <cell r="R80">
            <v>5540.6186691814673</v>
          </cell>
          <cell r="T80">
            <v>726.05821585017304</v>
          </cell>
          <cell r="V80">
            <v>0</v>
          </cell>
          <cell r="X80">
            <v>726.05821585017304</v>
          </cell>
          <cell r="Y80">
            <v>726.05821585017304</v>
          </cell>
          <cell r="AA80">
            <v>69.900349770243452</v>
          </cell>
          <cell r="AC80">
            <v>0</v>
          </cell>
          <cell r="AE80">
            <v>69.900349770243452</v>
          </cell>
          <cell r="AF80">
            <v>69.900349770243452</v>
          </cell>
          <cell r="AG80">
            <v>7228.8984545465773</v>
          </cell>
          <cell r="AH80">
            <v>0</v>
          </cell>
          <cell r="AI80">
            <v>131233.5</v>
          </cell>
          <cell r="AJ80">
            <v>10625</v>
          </cell>
          <cell r="AK80">
            <v>0</v>
          </cell>
          <cell r="AL80">
            <v>33153</v>
          </cell>
          <cell r="AM80">
            <v>5.4797042767494183E-2</v>
          </cell>
          <cell r="AO80">
            <v>7228.8984545465773</v>
          </cell>
          <cell r="AP80">
            <v>0</v>
          </cell>
          <cell r="AQ80">
            <v>7228.8984545465773</v>
          </cell>
          <cell r="AR80">
            <v>726.05821585017304</v>
          </cell>
          <cell r="AS80">
            <v>69.900349770243452</v>
          </cell>
          <cell r="AY80">
            <v>15.180686754547812</v>
          </cell>
          <cell r="AZ80">
            <v>18</v>
          </cell>
          <cell r="BA80">
            <v>35</v>
          </cell>
        </row>
        <row r="81">
          <cell r="A81" t="str">
            <v>8160-01-182</v>
          </cell>
          <cell r="B81" t="str">
            <v>Amos Nahir</v>
          </cell>
          <cell r="C81" t="str">
            <v>051388411</v>
          </cell>
          <cell r="D81">
            <v>512065202</v>
          </cell>
          <cell r="F81" t="str">
            <v>עמוס נהיר</v>
          </cell>
          <cell r="G81" t="str">
            <v>II</v>
          </cell>
          <cell r="H81" t="str">
            <v>Meitav</v>
          </cell>
          <cell r="I81">
            <v>200000</v>
          </cell>
          <cell r="J81">
            <v>2.7104929157405195E-3</v>
          </cell>
          <cell r="K81">
            <v>3.8984594009662372E-3</v>
          </cell>
          <cell r="M81">
            <v>4124.5700462222785</v>
          </cell>
          <cell r="N81">
            <v>483.74224679685972</v>
          </cell>
          <cell r="O81">
            <v>1174.8064706181233</v>
          </cell>
          <cell r="P81">
            <v>5783.1187636372615</v>
          </cell>
          <cell r="Q81">
            <v>307.92488912289514</v>
          </cell>
          <cell r="R81">
            <v>4432.4949353451739</v>
          </cell>
          <cell r="T81">
            <v>580.84657268013837</v>
          </cell>
          <cell r="V81">
            <v>0</v>
          </cell>
          <cell r="X81">
            <v>580.84657268013837</v>
          </cell>
          <cell r="Y81">
            <v>580.84657268013837</v>
          </cell>
          <cell r="AA81">
            <v>55.920279816194764</v>
          </cell>
          <cell r="AC81">
            <v>0</v>
          </cell>
          <cell r="AE81">
            <v>55.920279816194764</v>
          </cell>
          <cell r="AF81">
            <v>55.920279816194764</v>
          </cell>
          <cell r="AG81">
            <v>5783.1187636372615</v>
          </cell>
          <cell r="AH81">
            <v>0</v>
          </cell>
          <cell r="AI81">
            <v>104986.8</v>
          </cell>
          <cell r="AJ81">
            <v>8500</v>
          </cell>
          <cell r="AK81">
            <v>0</v>
          </cell>
          <cell r="AL81">
            <v>26522</v>
          </cell>
          <cell r="AM81">
            <v>5.4797069893248139E-2</v>
          </cell>
          <cell r="AO81">
            <v>5783.1187636372615</v>
          </cell>
          <cell r="AP81">
            <v>0</v>
          </cell>
          <cell r="AQ81">
            <v>5783.1187636372615</v>
          </cell>
          <cell r="AR81">
            <v>580.84657268013837</v>
          </cell>
          <cell r="AS81">
            <v>55.920279816194764</v>
          </cell>
          <cell r="AY81">
            <v>12.144549403638248</v>
          </cell>
          <cell r="AZ81">
            <v>18</v>
          </cell>
          <cell r="BA81">
            <v>35</v>
          </cell>
        </row>
        <row r="82">
          <cell r="A82" t="str">
            <v>8160-01-183</v>
          </cell>
          <cell r="B82" t="str">
            <v>Ran Weldman</v>
          </cell>
          <cell r="C82" t="str">
            <v>055483424</v>
          </cell>
          <cell r="D82">
            <v>512065202</v>
          </cell>
          <cell r="F82" t="str">
            <v>רן ולדמן</v>
          </cell>
          <cell r="G82" t="str">
            <v>II</v>
          </cell>
          <cell r="H82" t="str">
            <v>Meitav</v>
          </cell>
          <cell r="I82">
            <v>500000</v>
          </cell>
          <cell r="J82">
            <v>6.7762322893512991E-3</v>
          </cell>
          <cell r="K82">
            <v>9.7461485024155931E-3</v>
          </cell>
          <cell r="M82">
            <v>10311.425115555698</v>
          </cell>
          <cell r="N82">
            <v>1209.3556169921494</v>
          </cell>
          <cell r="O82">
            <v>2937.0161765453086</v>
          </cell>
          <cell r="P82">
            <v>14457.796909093155</v>
          </cell>
          <cell r="Q82">
            <v>769.81222280723796</v>
          </cell>
          <cell r="R82">
            <v>11081.237338362935</v>
          </cell>
          <cell r="T82">
            <v>1452.1164317003461</v>
          </cell>
          <cell r="V82">
            <v>0</v>
          </cell>
          <cell r="X82">
            <v>1452.1164317003461</v>
          </cell>
          <cell r="Y82">
            <v>1452.1164317003461</v>
          </cell>
          <cell r="AA82">
            <v>139.8006995404869</v>
          </cell>
          <cell r="AC82">
            <v>0</v>
          </cell>
          <cell r="AE82">
            <v>139.8006995404869</v>
          </cell>
          <cell r="AF82">
            <v>139.8006995404869</v>
          </cell>
          <cell r="AG82">
            <v>14457.796909093155</v>
          </cell>
          <cell r="AH82">
            <v>0</v>
          </cell>
          <cell r="AI82">
            <v>262467</v>
          </cell>
          <cell r="AJ82">
            <v>21250</v>
          </cell>
          <cell r="AK82">
            <v>0</v>
          </cell>
          <cell r="AL82">
            <v>66306</v>
          </cell>
          <cell r="AM82">
            <v>5.4797042767494183E-2</v>
          </cell>
          <cell r="AO82">
            <v>14457.796909093155</v>
          </cell>
          <cell r="AP82">
            <v>0</v>
          </cell>
          <cell r="AQ82">
            <v>14457.796909093155</v>
          </cell>
          <cell r="AR82">
            <v>1452.1164317003461</v>
          </cell>
          <cell r="AS82">
            <v>139.8006995404869</v>
          </cell>
          <cell r="AY82">
            <v>30.361373509095625</v>
          </cell>
          <cell r="AZ82">
            <v>30.361373509095625</v>
          </cell>
          <cell r="BA82">
            <v>35</v>
          </cell>
        </row>
        <row r="83">
          <cell r="A83" t="str">
            <v>8160-01-184</v>
          </cell>
          <cell r="B83" t="str">
            <v>Shlomo Helinger</v>
          </cell>
          <cell r="C83" t="str">
            <v>056394026</v>
          </cell>
          <cell r="D83">
            <v>512065202</v>
          </cell>
          <cell r="F83" t="str">
            <v>שלמה הלינגר</v>
          </cell>
          <cell r="G83" t="str">
            <v>II</v>
          </cell>
          <cell r="H83" t="str">
            <v>Meitav</v>
          </cell>
          <cell r="I83">
            <v>250000</v>
          </cell>
          <cell r="J83">
            <v>3.3881161446756495E-3</v>
          </cell>
          <cell r="K83">
            <v>4.8730742512077966E-3</v>
          </cell>
          <cell r="M83">
            <v>5155.7125577778488</v>
          </cell>
          <cell r="N83">
            <v>604.6778084960747</v>
          </cell>
          <cell r="O83">
            <v>1468.5080882726543</v>
          </cell>
          <cell r="P83">
            <v>7228.8984545465773</v>
          </cell>
          <cell r="Q83">
            <v>384.90611140361898</v>
          </cell>
          <cell r="R83">
            <v>5540.6186691814673</v>
          </cell>
          <cell r="T83">
            <v>726.05821585017304</v>
          </cell>
          <cell r="V83">
            <v>0</v>
          </cell>
          <cell r="X83">
            <v>726.05821585017304</v>
          </cell>
          <cell r="Y83">
            <v>726.05821585017304</v>
          </cell>
          <cell r="AA83">
            <v>69.900349770243452</v>
          </cell>
          <cell r="AC83">
            <v>0</v>
          </cell>
          <cell r="AE83">
            <v>69.900349770243452</v>
          </cell>
          <cell r="AF83">
            <v>69.900349770243452</v>
          </cell>
          <cell r="AG83">
            <v>7228.8984545465773</v>
          </cell>
          <cell r="AH83">
            <v>0</v>
          </cell>
          <cell r="AI83">
            <v>131233.5</v>
          </cell>
          <cell r="AJ83">
            <v>10625</v>
          </cell>
          <cell r="AK83">
            <v>0</v>
          </cell>
          <cell r="AL83">
            <v>33153</v>
          </cell>
          <cell r="AM83">
            <v>5.4797042767494183E-2</v>
          </cell>
          <cell r="AO83">
            <v>7228.8984545465773</v>
          </cell>
          <cell r="AP83">
            <v>0</v>
          </cell>
          <cell r="AQ83">
            <v>7228.8984545465773</v>
          </cell>
          <cell r="AR83">
            <v>726.05821585017304</v>
          </cell>
          <cell r="AS83">
            <v>69.900349770243452</v>
          </cell>
          <cell r="AY83">
            <v>15.180686754547812</v>
          </cell>
          <cell r="AZ83">
            <v>18</v>
          </cell>
          <cell r="BA83">
            <v>35</v>
          </cell>
        </row>
        <row r="84">
          <cell r="A84" t="str">
            <v>8160-01-185</v>
          </cell>
          <cell r="B84" t="str">
            <v>Ran Oz</v>
          </cell>
          <cell r="C84" t="str">
            <v>059855924</v>
          </cell>
          <cell r="D84">
            <v>512065202</v>
          </cell>
          <cell r="F84" t="str">
            <v>רן מנחם עוז</v>
          </cell>
          <cell r="G84" t="str">
            <v>I</v>
          </cell>
          <cell r="H84" t="str">
            <v>Meitav</v>
          </cell>
          <cell r="I84">
            <v>250000</v>
          </cell>
          <cell r="J84">
            <v>3.3881161446756495E-3</v>
          </cell>
          <cell r="K84">
            <v>4.8730742512077966E-3</v>
          </cell>
          <cell r="M84">
            <v>5155.7125577778488</v>
          </cell>
          <cell r="N84">
            <v>604.6778084960747</v>
          </cell>
          <cell r="O84">
            <v>1468.5080882726543</v>
          </cell>
          <cell r="P84">
            <v>7228.8984545465773</v>
          </cell>
          <cell r="Q84">
            <v>384.90611140361898</v>
          </cell>
          <cell r="R84">
            <v>5540.6186691814673</v>
          </cell>
          <cell r="T84">
            <v>726.05821585017304</v>
          </cell>
          <cell r="V84">
            <v>0</v>
          </cell>
          <cell r="X84">
            <v>726.05821585017304</v>
          </cell>
          <cell r="Y84">
            <v>726.05821585017304</v>
          </cell>
          <cell r="AA84">
            <v>69.900349770243452</v>
          </cell>
          <cell r="AC84">
            <v>0</v>
          </cell>
          <cell r="AE84">
            <v>69.900349770243452</v>
          </cell>
          <cell r="AF84">
            <v>69.900349770243452</v>
          </cell>
          <cell r="AG84">
            <v>7228.8984545465773</v>
          </cell>
          <cell r="AH84">
            <v>83333.332999999999</v>
          </cell>
          <cell r="AI84">
            <v>47900.25</v>
          </cell>
          <cell r="AJ84">
            <v>10625</v>
          </cell>
          <cell r="AK84">
            <v>0</v>
          </cell>
          <cell r="AL84">
            <v>0</v>
          </cell>
          <cell r="AM84">
            <v>4.2321974677918407E-2</v>
          </cell>
          <cell r="AO84">
            <v>7228.8984545465773</v>
          </cell>
          <cell r="AP84">
            <v>0</v>
          </cell>
          <cell r="AQ84">
            <v>7228.8984545465773</v>
          </cell>
          <cell r="AR84">
            <v>726.05821585017304</v>
          </cell>
          <cell r="AS84">
            <v>69.900349770243452</v>
          </cell>
          <cell r="AY84">
            <v>15.180686754547812</v>
          </cell>
          <cell r="AZ84">
            <v>18</v>
          </cell>
          <cell r="BA84">
            <v>35</v>
          </cell>
        </row>
        <row r="85">
          <cell r="A85" t="str">
            <v>8160-01-186</v>
          </cell>
          <cell r="B85" t="str">
            <v>Amotz Yarden</v>
          </cell>
          <cell r="C85">
            <v>53930681</v>
          </cell>
          <cell r="D85">
            <v>53930681</v>
          </cell>
          <cell r="F85" t="str">
            <v>אמוץ ירדן</v>
          </cell>
          <cell r="G85" t="str">
            <v>III</v>
          </cell>
          <cell r="I85">
            <v>555000</v>
          </cell>
          <cell r="J85">
            <v>7.5216178411799412E-3</v>
          </cell>
          <cell r="K85">
            <v>1.0818224837681308E-2</v>
          </cell>
          <cell r="M85">
            <v>11445.681878266823</v>
          </cell>
          <cell r="N85">
            <v>1342.3847348612856</v>
          </cell>
          <cell r="O85">
            <v>3260.0879559652922</v>
          </cell>
          <cell r="P85">
            <v>16048.1545690934</v>
          </cell>
          <cell r="Q85">
            <v>854.49156731603409</v>
          </cell>
          <cell r="R85">
            <v>12300.173445582857</v>
          </cell>
          <cell r="S85">
            <v>2861.4204695667058</v>
          </cell>
          <cell r="T85">
            <v>1611.849239187384</v>
          </cell>
          <cell r="U85">
            <v>-1611.849239187384</v>
          </cell>
          <cell r="V85">
            <v>1249.5712303793218</v>
          </cell>
          <cell r="W85" t="str">
            <v>ע"פ תקנות'</v>
          </cell>
          <cell r="Y85">
            <v>2861.4204695667058</v>
          </cell>
          <cell r="Z85">
            <v>335.59618371532139</v>
          </cell>
          <cell r="AA85">
            <v>155.17877648994045</v>
          </cell>
          <cell r="AB85">
            <v>-155.17877648994045</v>
          </cell>
          <cell r="AC85">
            <v>180.41740722538094</v>
          </cell>
          <cell r="AD85" t="str">
            <v>ע"פ תקנות'</v>
          </cell>
          <cell r="AF85">
            <v>335.59618371532139</v>
          </cell>
          <cell r="AG85">
            <v>14618.165931488697</v>
          </cell>
          <cell r="AH85">
            <v>0</v>
          </cell>
          <cell r="AI85">
            <v>0</v>
          </cell>
          <cell r="AJ85">
            <v>314926</v>
          </cell>
          <cell r="AK85">
            <v>0</v>
          </cell>
          <cell r="AL85">
            <v>73600</v>
          </cell>
          <cell r="AM85" t="str">
            <v>Zero investment in 2019</v>
          </cell>
          <cell r="AO85">
            <v>16048.1545690934</v>
          </cell>
          <cell r="AP85">
            <v>1429.9886376047027</v>
          </cell>
          <cell r="AQ85">
            <v>14618.165931488697</v>
          </cell>
          <cell r="AR85">
            <v>2861.4204695667058</v>
          </cell>
          <cell r="AS85">
            <v>335.59618371532139</v>
          </cell>
          <cell r="AY85">
            <v>30.698148456126262</v>
          </cell>
          <cell r="AZ85">
            <v>30.698148456126262</v>
          </cell>
          <cell r="BA85">
            <v>35</v>
          </cell>
        </row>
        <row r="86">
          <cell r="A86" t="str">
            <v>8160-01-187</v>
          </cell>
          <cell r="B86" t="str">
            <v>Eli Amit</v>
          </cell>
          <cell r="C86" t="str">
            <v>525944900</v>
          </cell>
          <cell r="D86">
            <v>525944900</v>
          </cell>
          <cell r="F86" t="str">
            <v>אלי עמית</v>
          </cell>
          <cell r="G86" t="str">
            <v>III</v>
          </cell>
          <cell r="H86" t="str">
            <v>Kal-Gemel</v>
          </cell>
          <cell r="I86">
            <v>290000</v>
          </cell>
          <cell r="J86">
            <v>3.9302147278237531E-3</v>
          </cell>
          <cell r="K86">
            <v>5.6527661314010437E-3</v>
          </cell>
          <cell r="M86">
            <v>5980.6265670223047</v>
          </cell>
          <cell r="N86">
            <v>701.42625785544658</v>
          </cell>
          <cell r="O86">
            <v>1703.4693823962787</v>
          </cell>
          <cell r="P86">
            <v>8385.5222072740289</v>
          </cell>
          <cell r="Q86">
            <v>446.49108922819795</v>
          </cell>
          <cell r="R86">
            <v>6427.1176562505025</v>
          </cell>
          <cell r="T86">
            <v>842.22753038620067</v>
          </cell>
          <cell r="V86">
            <v>0</v>
          </cell>
          <cell r="X86">
            <v>842.22753038620067</v>
          </cell>
          <cell r="Y86">
            <v>842.22753038620067</v>
          </cell>
          <cell r="AA86">
            <v>81.084405733482399</v>
          </cell>
          <cell r="AC86">
            <v>0</v>
          </cell>
          <cell r="AE86">
            <v>81.084405733482399</v>
          </cell>
          <cell r="AF86">
            <v>81.084405733482399</v>
          </cell>
          <cell r="AG86">
            <v>8385.5222072740289</v>
          </cell>
          <cell r="AH86">
            <v>0</v>
          </cell>
          <cell r="AI86">
            <v>0</v>
          </cell>
          <cell r="AJ86">
            <v>164556</v>
          </cell>
          <cell r="AK86">
            <v>0</v>
          </cell>
          <cell r="AL86">
            <v>38458</v>
          </cell>
          <cell r="AM86" t="str">
            <v>Zero investment in 2019</v>
          </cell>
          <cell r="AO86">
            <v>8385.5222072740289</v>
          </cell>
          <cell r="AP86">
            <v>0</v>
          </cell>
          <cell r="AQ86">
            <v>8385.5222072740289</v>
          </cell>
          <cell r="AR86">
            <v>842.22753038620067</v>
          </cell>
          <cell r="AS86">
            <v>81.084405733482399</v>
          </cell>
          <cell r="AY86">
            <v>17.609596635275459</v>
          </cell>
          <cell r="AZ86">
            <v>18</v>
          </cell>
          <cell r="BA86">
            <v>35</v>
          </cell>
        </row>
        <row r="87">
          <cell r="A87" t="str">
            <v>8160-01-188</v>
          </cell>
          <cell r="B87" t="str">
            <v>Yoram &amp; Smadar Gurwich</v>
          </cell>
          <cell r="C87" t="str">
            <v>Yoram- 064445661
Smadar - 054119714</v>
          </cell>
          <cell r="D87" t="str">
            <v>Yoram- 064445661
Smadar - 054119714</v>
          </cell>
          <cell r="F87" t="str">
            <v>יורם גורביץ וסמדר גורביץ</v>
          </cell>
          <cell r="G87" t="str">
            <v>III</v>
          </cell>
          <cell r="I87">
            <v>250000</v>
          </cell>
          <cell r="J87">
            <v>3.3881161446756495E-3</v>
          </cell>
          <cell r="K87">
            <v>4.8730742512077966E-3</v>
          </cell>
          <cell r="M87">
            <v>5155.7125577778488</v>
          </cell>
          <cell r="N87">
            <v>604.6778084960747</v>
          </cell>
          <cell r="O87">
            <v>1468.5080882726543</v>
          </cell>
          <cell r="P87">
            <v>7228.8984545465773</v>
          </cell>
          <cell r="Q87">
            <v>384.90611140361898</v>
          </cell>
          <cell r="R87">
            <v>5540.6186691814673</v>
          </cell>
          <cell r="S87">
            <v>1288.9281394444622</v>
          </cell>
          <cell r="T87">
            <v>726.05821585017304</v>
          </cell>
          <cell r="U87">
            <v>-726.05821585017304</v>
          </cell>
          <cell r="V87">
            <v>562.86992359428916</v>
          </cell>
          <cell r="W87" t="str">
            <v>X</v>
          </cell>
          <cell r="Y87">
            <v>1288.9281394444622</v>
          </cell>
          <cell r="Z87">
            <v>151.16945212401868</v>
          </cell>
          <cell r="AA87">
            <v>69.900349770243452</v>
          </cell>
          <cell r="AB87">
            <v>-69.900349770243452</v>
          </cell>
          <cell r="AC87">
            <v>81.269102353775224</v>
          </cell>
          <cell r="AD87" t="str">
            <v>X</v>
          </cell>
          <cell r="AF87">
            <v>151.16945212401868</v>
          </cell>
          <cell r="AG87">
            <v>6584.7594285985124</v>
          </cell>
          <cell r="AH87">
            <v>0</v>
          </cell>
          <cell r="AI87">
            <v>0</v>
          </cell>
          <cell r="AJ87">
            <v>141858</v>
          </cell>
          <cell r="AK87">
            <v>0</v>
          </cell>
          <cell r="AL87">
            <v>33153</v>
          </cell>
          <cell r="AM87" t="str">
            <v>Zero investment in 2019</v>
          </cell>
          <cell r="AO87">
            <v>7228.8984545465773</v>
          </cell>
          <cell r="AP87">
            <v>644.13902594806439</v>
          </cell>
          <cell r="AQ87">
            <v>6584.7594285985124</v>
          </cell>
          <cell r="AR87">
            <v>1288.9281394444622</v>
          </cell>
          <cell r="AS87">
            <v>151.16945212401868</v>
          </cell>
          <cell r="AY87">
            <v>13.827994800056874</v>
          </cell>
          <cell r="AZ87">
            <v>18</v>
          </cell>
          <cell r="BA87">
            <v>35</v>
          </cell>
        </row>
        <row r="88">
          <cell r="A88" t="str">
            <v>8160-01-189</v>
          </cell>
          <cell r="B88" t="str">
            <v>Channa Sharef</v>
          </cell>
          <cell r="C88" t="str">
            <v>001075324</v>
          </cell>
          <cell r="D88">
            <v>512065202</v>
          </cell>
          <cell r="F88" t="str">
            <v>חנה שרף</v>
          </cell>
          <cell r="G88" t="str">
            <v>III</v>
          </cell>
          <cell r="H88" t="str">
            <v>Meitav</v>
          </cell>
          <cell r="I88">
            <v>250000</v>
          </cell>
          <cell r="J88">
            <v>3.3881161446756495E-3</v>
          </cell>
          <cell r="K88">
            <v>4.8730742512077966E-3</v>
          </cell>
          <cell r="M88">
            <v>5155.7125577778488</v>
          </cell>
          <cell r="N88">
            <v>604.6778084960747</v>
          </cell>
          <cell r="O88">
            <v>1468.5080882726543</v>
          </cell>
          <cell r="P88">
            <v>7228.8984545465773</v>
          </cell>
          <cell r="Q88">
            <v>384.90611140361898</v>
          </cell>
          <cell r="R88">
            <v>5540.6186691814673</v>
          </cell>
          <cell r="T88">
            <v>726.05821585017304</v>
          </cell>
          <cell r="V88">
            <v>0</v>
          </cell>
          <cell r="X88">
            <v>726.05821585017304</v>
          </cell>
          <cell r="Y88">
            <v>726.05821585017304</v>
          </cell>
          <cell r="AA88">
            <v>69.900349770243452</v>
          </cell>
          <cell r="AC88">
            <v>0</v>
          </cell>
          <cell r="AE88">
            <v>69.900349770243452</v>
          </cell>
          <cell r="AF88">
            <v>69.900349770243452</v>
          </cell>
          <cell r="AG88">
            <v>7228.8984545465773</v>
          </cell>
          <cell r="AH88">
            <v>0</v>
          </cell>
          <cell r="AI88">
            <v>0</v>
          </cell>
          <cell r="AJ88">
            <v>141858</v>
          </cell>
          <cell r="AK88">
            <v>0</v>
          </cell>
          <cell r="AL88">
            <v>33153</v>
          </cell>
          <cell r="AM88" t="str">
            <v>Zero investment in 2019</v>
          </cell>
          <cell r="AO88">
            <v>7228.8984545465773</v>
          </cell>
          <cell r="AP88">
            <v>0</v>
          </cell>
          <cell r="AQ88">
            <v>7228.8984545465773</v>
          </cell>
          <cell r="AR88">
            <v>726.05821585017304</v>
          </cell>
          <cell r="AS88">
            <v>69.900349770243452</v>
          </cell>
          <cell r="AY88">
            <v>15.180686754547812</v>
          </cell>
          <cell r="AZ88">
            <v>18</v>
          </cell>
          <cell r="BA88">
            <v>35</v>
          </cell>
        </row>
        <row r="89">
          <cell r="A89" t="str">
            <v>8160-01-190</v>
          </cell>
          <cell r="B89" t="str">
            <v>Yair Amit</v>
          </cell>
          <cell r="C89" t="str">
            <v>038757068</v>
          </cell>
          <cell r="D89">
            <v>38757068</v>
          </cell>
          <cell r="F89" t="str">
            <v>יאיר עמית</v>
          </cell>
          <cell r="G89" t="str">
            <v>III</v>
          </cell>
          <cell r="I89">
            <v>250000</v>
          </cell>
          <cell r="J89">
            <v>3.3881161446756495E-3</v>
          </cell>
          <cell r="K89">
            <v>4.8730742512077966E-3</v>
          </cell>
          <cell r="M89">
            <v>5155.7125577778488</v>
          </cell>
          <cell r="N89">
            <v>604.6778084960747</v>
          </cell>
          <cell r="O89">
            <v>1468.5080882726543</v>
          </cell>
          <cell r="P89">
            <v>7228.8984545465773</v>
          </cell>
          <cell r="Q89">
            <v>384.90611140361898</v>
          </cell>
          <cell r="R89">
            <v>5540.6186691814673</v>
          </cell>
          <cell r="S89">
            <v>1288.9281394444622</v>
          </cell>
          <cell r="T89">
            <v>726.05821585017304</v>
          </cell>
          <cell r="U89">
            <v>-726.05821585017304</v>
          </cell>
          <cell r="V89">
            <v>562.86992359428916</v>
          </cell>
          <cell r="W89" t="str">
            <v>ע"פ תקנות'</v>
          </cell>
          <cell r="Y89">
            <v>1288.9281394444622</v>
          </cell>
          <cell r="Z89">
            <v>151.16945212401868</v>
          </cell>
          <cell r="AA89">
            <v>69.900349770243452</v>
          </cell>
          <cell r="AB89">
            <v>-69.900349770243452</v>
          </cell>
          <cell r="AC89">
            <v>81.269102353775224</v>
          </cell>
          <cell r="AD89" t="str">
            <v>ע"פ תקנות'</v>
          </cell>
          <cell r="AF89">
            <v>151.16945212401868</v>
          </cell>
          <cell r="AG89">
            <v>6584.7594285985124</v>
          </cell>
          <cell r="AH89">
            <v>0</v>
          </cell>
          <cell r="AI89">
            <v>0</v>
          </cell>
          <cell r="AJ89">
            <v>141858</v>
          </cell>
          <cell r="AK89">
            <v>0</v>
          </cell>
          <cell r="AL89">
            <v>33153</v>
          </cell>
          <cell r="AM89" t="str">
            <v>Zero investment in 2019</v>
          </cell>
          <cell r="AO89">
            <v>7228.8984545465773</v>
          </cell>
          <cell r="AP89">
            <v>644.13902594806439</v>
          </cell>
          <cell r="AQ89">
            <v>6584.7594285985124</v>
          </cell>
          <cell r="AR89">
            <v>1288.9281394444622</v>
          </cell>
          <cell r="AS89">
            <v>151.16945212401868</v>
          </cell>
          <cell r="AY89">
            <v>13.827994800056874</v>
          </cell>
          <cell r="AZ89">
            <v>18</v>
          </cell>
          <cell r="BA89">
            <v>35</v>
          </cell>
        </row>
        <row r="90">
          <cell r="A90" t="str">
            <v>8160-01-191</v>
          </cell>
          <cell r="B90" t="str">
            <v>Ariel Cohen</v>
          </cell>
          <cell r="C90" t="str">
            <v>Ariel - 056164510
Nurit - 022583181</v>
          </cell>
          <cell r="D90" t="str">
            <v>Ariel - 056164510
Nurit - 022583181</v>
          </cell>
          <cell r="F90" t="str">
            <v>אריאל כהן ונורית כהן</v>
          </cell>
          <cell r="G90" t="str">
            <v>III</v>
          </cell>
          <cell r="I90">
            <v>300000</v>
          </cell>
          <cell r="J90">
            <v>4.0657393736107791E-3</v>
          </cell>
          <cell r="K90">
            <v>5.8476891014493555E-3</v>
          </cell>
          <cell r="M90">
            <v>6186.8550693334182</v>
          </cell>
          <cell r="N90">
            <v>725.61337019528958</v>
          </cell>
          <cell r="O90">
            <v>1762.2097059271848</v>
          </cell>
          <cell r="P90">
            <v>8674.6781454558932</v>
          </cell>
          <cell r="Q90">
            <v>461.88733368434271</v>
          </cell>
          <cell r="R90">
            <v>6648.7424030177608</v>
          </cell>
          <cell r="S90">
            <v>1546.7137673333546</v>
          </cell>
          <cell r="T90">
            <v>871.2698590202076</v>
          </cell>
          <cell r="U90">
            <v>-871.2698590202076</v>
          </cell>
          <cell r="V90">
            <v>675.44390831314695</v>
          </cell>
          <cell r="W90" t="str">
            <v>ע"פ תקנות'</v>
          </cell>
          <cell r="Y90">
            <v>1546.7137673333546</v>
          </cell>
          <cell r="Z90">
            <v>181.40334254882239</v>
          </cell>
          <cell r="AA90">
            <v>83.880419724292139</v>
          </cell>
          <cell r="AB90">
            <v>-83.880419724292139</v>
          </cell>
          <cell r="AC90">
            <v>97.522922824530255</v>
          </cell>
          <cell r="AD90" t="str">
            <v>ע"פ תקנות'</v>
          </cell>
          <cell r="AF90">
            <v>181.40334254882239</v>
          </cell>
          <cell r="AG90">
            <v>7901.711314318216</v>
          </cell>
          <cell r="AH90">
            <v>0</v>
          </cell>
          <cell r="AI90">
            <v>0</v>
          </cell>
          <cell r="AJ90">
            <v>170230</v>
          </cell>
          <cell r="AK90">
            <v>0</v>
          </cell>
          <cell r="AL90">
            <v>39784</v>
          </cell>
          <cell r="AM90" t="str">
            <v>Zero investment in 2019</v>
          </cell>
          <cell r="AO90">
            <v>8674.6781454558932</v>
          </cell>
          <cell r="AP90">
            <v>772.96683113767722</v>
          </cell>
          <cell r="AQ90">
            <v>7901.711314318216</v>
          </cell>
          <cell r="AR90">
            <v>1546.7137673333546</v>
          </cell>
          <cell r="AS90">
            <v>181.40334254882239</v>
          </cell>
          <cell r="AY90">
            <v>16.593593760068252</v>
          </cell>
          <cell r="AZ90">
            <v>18</v>
          </cell>
          <cell r="BA90">
            <v>35</v>
          </cell>
        </row>
        <row r="91">
          <cell r="A91" t="str">
            <v>8160-01-192</v>
          </cell>
          <cell r="B91" t="str">
            <v>Ranuman LTD</v>
          </cell>
          <cell r="C91">
            <v>514201912</v>
          </cell>
          <cell r="D91">
            <v>514201912</v>
          </cell>
          <cell r="E91" t="str">
            <v>Ranuman LTD</v>
          </cell>
          <cell r="F91" t="str">
            <v>רנאומן בע"מ</v>
          </cell>
          <cell r="G91" t="str">
            <v>III</v>
          </cell>
          <cell r="I91">
            <v>500000</v>
          </cell>
          <cell r="J91">
            <v>6.7762322893512991E-3</v>
          </cell>
          <cell r="K91">
            <v>9.7461485024155931E-3</v>
          </cell>
          <cell r="M91">
            <v>10311.425115555698</v>
          </cell>
          <cell r="N91">
            <v>1209.3556169921494</v>
          </cell>
          <cell r="O91">
            <v>2937.0161765453086</v>
          </cell>
          <cell r="P91">
            <v>14457.796909093155</v>
          </cell>
          <cell r="Q91">
            <v>769.81222280723796</v>
          </cell>
          <cell r="R91">
            <v>11081.237338362935</v>
          </cell>
          <cell r="T91">
            <v>1452.1164317003461</v>
          </cell>
          <cell r="W91" t="str">
            <v>V</v>
          </cell>
          <cell r="X91">
            <v>1452.1164317003461</v>
          </cell>
          <cell r="Y91">
            <v>1452.1164317003461</v>
          </cell>
          <cell r="AA91">
            <v>139.8006995404869</v>
          </cell>
          <cell r="AD91" t="str">
            <v>V</v>
          </cell>
          <cell r="AE91">
            <v>139.8006995404869</v>
          </cell>
          <cell r="AF91">
            <v>139.8006995404869</v>
          </cell>
          <cell r="AG91">
            <v>14457.796909093155</v>
          </cell>
          <cell r="AH91" t="e">
            <v>#N/A</v>
          </cell>
          <cell r="AI91" t="e">
            <v>#N/A</v>
          </cell>
          <cell r="AJ91" t="e">
            <v>#N/A</v>
          </cell>
          <cell r="AK91" t="e">
            <v>#N/A</v>
          </cell>
          <cell r="AL91" t="e">
            <v>#N/A</v>
          </cell>
          <cell r="AM91" t="str">
            <v>Zero investment in 2019</v>
          </cell>
          <cell r="AO91">
            <v>14457.796909093155</v>
          </cell>
          <cell r="AP91">
            <v>0</v>
          </cell>
          <cell r="AQ91">
            <v>14457.796909093155</v>
          </cell>
          <cell r="AR91">
            <v>1452.1164317003461</v>
          </cell>
          <cell r="AS91">
            <v>139.8006995404869</v>
          </cell>
          <cell r="AY91">
            <v>30.361373509095625</v>
          </cell>
          <cell r="AZ91">
            <v>30.361373509095625</v>
          </cell>
          <cell r="BA91">
            <v>35</v>
          </cell>
        </row>
        <row r="92">
          <cell r="A92" t="str">
            <v>8160-01-193</v>
          </cell>
          <cell r="B92" t="str">
            <v>Gabriela Avron</v>
          </cell>
          <cell r="C92" t="str">
            <v>026127795</v>
          </cell>
          <cell r="D92">
            <v>26127795</v>
          </cell>
          <cell r="F92" t="str">
            <v>גבריאלה אברון</v>
          </cell>
          <cell r="G92" t="str">
            <v>III</v>
          </cell>
          <cell r="I92">
            <v>150000</v>
          </cell>
          <cell r="J92">
            <v>2.0328696868053896E-3</v>
          </cell>
          <cell r="K92">
            <v>2.9238445507246778E-3</v>
          </cell>
          <cell r="M92">
            <v>3093.4275346667091</v>
          </cell>
          <cell r="N92">
            <v>362.80668509764479</v>
          </cell>
          <cell r="O92">
            <v>881.10485296359241</v>
          </cell>
          <cell r="P92">
            <v>4337.3390727279466</v>
          </cell>
          <cell r="Q92">
            <v>230.94366684217135</v>
          </cell>
          <cell r="R92">
            <v>3324.3712015088804</v>
          </cell>
          <cell r="S92">
            <v>773.35688366667728</v>
          </cell>
          <cell r="T92">
            <v>435.6349295101038</v>
          </cell>
          <cell r="U92">
            <v>-435.6349295101038</v>
          </cell>
          <cell r="V92">
            <v>337.72195415657347</v>
          </cell>
          <cell r="W92" t="str">
            <v>X</v>
          </cell>
          <cell r="Y92">
            <v>773.35688366667728</v>
          </cell>
          <cell r="Z92">
            <v>90.701671274411197</v>
          </cell>
          <cell r="AA92">
            <v>41.940209862146069</v>
          </cell>
          <cell r="AB92">
            <v>-41.940209862146069</v>
          </cell>
          <cell r="AC92">
            <v>48.761461412265128</v>
          </cell>
          <cell r="AD92" t="str">
            <v>X</v>
          </cell>
          <cell r="AF92">
            <v>90.701671274411197</v>
          </cell>
          <cell r="AG92">
            <v>3950.855657159108</v>
          </cell>
          <cell r="AH92">
            <v>0</v>
          </cell>
          <cell r="AI92">
            <v>0</v>
          </cell>
          <cell r="AJ92">
            <v>85112.5</v>
          </cell>
          <cell r="AK92">
            <v>0</v>
          </cell>
          <cell r="AL92">
            <v>19891.5</v>
          </cell>
          <cell r="AM92" t="str">
            <v>Zero investment in 2019</v>
          </cell>
          <cell r="AO92">
            <v>4337.3390727279466</v>
          </cell>
          <cell r="AP92">
            <v>386.48341556883861</v>
          </cell>
          <cell r="AQ92">
            <v>3950.855657159108</v>
          </cell>
          <cell r="AR92">
            <v>773.35688366667728</v>
          </cell>
          <cell r="AS92">
            <v>90.701671274411197</v>
          </cell>
          <cell r="AY92">
            <v>8.2967968800341261</v>
          </cell>
          <cell r="AZ92">
            <v>18</v>
          </cell>
          <cell r="BA92">
            <v>35</v>
          </cell>
        </row>
        <row r="93">
          <cell r="A93" t="str">
            <v>8160-01-194</v>
          </cell>
          <cell r="B93" t="str">
            <v>Ilan Cohen</v>
          </cell>
          <cell r="C93" t="str">
            <v>058105131</v>
          </cell>
          <cell r="D93">
            <v>58105131</v>
          </cell>
          <cell r="F93" t="str">
            <v>אילן כהן</v>
          </cell>
          <cell r="G93" t="str">
            <v>III</v>
          </cell>
          <cell r="I93">
            <v>100000</v>
          </cell>
          <cell r="J93">
            <v>1.3552464578702598E-3</v>
          </cell>
          <cell r="K93">
            <v>1.9492297004831186E-3</v>
          </cell>
          <cell r="M93">
            <v>2062.2850231111393</v>
          </cell>
          <cell r="N93">
            <v>241.87112339842986</v>
          </cell>
          <cell r="O93">
            <v>587.40323530906164</v>
          </cell>
          <cell r="P93">
            <v>2891.5593818186308</v>
          </cell>
          <cell r="Q93">
            <v>153.96244456144757</v>
          </cell>
          <cell r="R93">
            <v>2216.2474676725869</v>
          </cell>
          <cell r="S93">
            <v>515.57125577778481</v>
          </cell>
          <cell r="T93">
            <v>290.42328634006918</v>
          </cell>
          <cell r="U93">
            <v>-290.42328634006918</v>
          </cell>
          <cell r="V93">
            <v>225.14796943771563</v>
          </cell>
          <cell r="W93" t="str">
            <v>ע"פ תקנות'</v>
          </cell>
          <cell r="Y93">
            <v>515.57125577778481</v>
          </cell>
          <cell r="Z93">
            <v>60.467780849607465</v>
          </cell>
          <cell r="AA93">
            <v>27.960139908097382</v>
          </cell>
          <cell r="AB93">
            <v>-27.960139908097382</v>
          </cell>
          <cell r="AC93">
            <v>32.507640941510083</v>
          </cell>
          <cell r="AD93" t="str">
            <v>ע"פ תקנות'</v>
          </cell>
          <cell r="AF93">
            <v>60.467780849607465</v>
          </cell>
          <cell r="AG93">
            <v>2633.9037714394049</v>
          </cell>
          <cell r="AH93">
            <v>0</v>
          </cell>
          <cell r="AI93">
            <v>0</v>
          </cell>
          <cell r="AJ93">
            <v>56743</v>
          </cell>
          <cell r="AK93">
            <v>0</v>
          </cell>
          <cell r="AL93">
            <v>13261</v>
          </cell>
          <cell r="AM93" t="str">
            <v>Zero investment in 2019</v>
          </cell>
          <cell r="AO93">
            <v>2891.5593818186308</v>
          </cell>
          <cell r="AP93">
            <v>257.65561037922572</v>
          </cell>
          <cell r="AQ93">
            <v>2633.9037714394049</v>
          </cell>
          <cell r="AR93">
            <v>515.57125577778481</v>
          </cell>
          <cell r="AS93">
            <v>60.467780849607465</v>
          </cell>
          <cell r="AY93">
            <v>5.5311979200227501</v>
          </cell>
          <cell r="AZ93">
            <v>18</v>
          </cell>
          <cell r="BA93">
            <v>35</v>
          </cell>
        </row>
        <row r="94">
          <cell r="A94" t="str">
            <v>8160-01-195</v>
          </cell>
          <cell r="B94" t="str">
            <v>Kopelman LTD</v>
          </cell>
          <cell r="C94">
            <v>510204555</v>
          </cell>
          <cell r="D94">
            <v>510204555</v>
          </cell>
          <cell r="E94" t="str">
            <v>Kopelman LTD</v>
          </cell>
          <cell r="F94" t="str">
            <v>חברת קופלמן בע"מ</v>
          </cell>
          <cell r="G94" t="str">
            <v>III</v>
          </cell>
          <cell r="I94">
            <v>250000</v>
          </cell>
          <cell r="J94">
            <v>3.3881161446756495E-3</v>
          </cell>
          <cell r="K94">
            <v>4.8730742512077966E-3</v>
          </cell>
          <cell r="M94">
            <v>5155.7125577778488</v>
          </cell>
          <cell r="N94">
            <v>604.6778084960747</v>
          </cell>
          <cell r="O94">
            <v>1468.5080882726543</v>
          </cell>
          <cell r="P94">
            <v>7228.8984545465773</v>
          </cell>
          <cell r="Q94">
            <v>384.90611140361898</v>
          </cell>
          <cell r="R94">
            <v>5540.6186691814673</v>
          </cell>
          <cell r="S94">
            <v>1288.9281394444622</v>
          </cell>
          <cell r="T94">
            <v>726.05821585017304</v>
          </cell>
          <cell r="U94">
            <v>-726.05821585017304</v>
          </cell>
          <cell r="V94">
            <v>562.86992359428916</v>
          </cell>
          <cell r="W94" t="str">
            <v>X</v>
          </cell>
          <cell r="Y94">
            <v>1288.9281394444622</v>
          </cell>
          <cell r="Z94">
            <v>151.16945212401868</v>
          </cell>
          <cell r="AA94">
            <v>69.900349770243452</v>
          </cell>
          <cell r="AB94">
            <v>-69.900349770243452</v>
          </cell>
          <cell r="AC94">
            <v>81.269102353775224</v>
          </cell>
          <cell r="AD94" t="str">
            <v>X</v>
          </cell>
          <cell r="AF94">
            <v>151.16945212401868</v>
          </cell>
          <cell r="AG94">
            <v>6584.7594285985124</v>
          </cell>
          <cell r="AH94" t="e">
            <v>#N/A</v>
          </cell>
          <cell r="AI94" t="e">
            <v>#N/A</v>
          </cell>
          <cell r="AJ94" t="e">
            <v>#N/A</v>
          </cell>
          <cell r="AK94" t="e">
            <v>#N/A</v>
          </cell>
          <cell r="AL94" t="e">
            <v>#N/A</v>
          </cell>
          <cell r="AM94" t="str">
            <v>Zero investment in 2019</v>
          </cell>
          <cell r="AO94">
            <v>7228.8984545465773</v>
          </cell>
          <cell r="AP94">
            <v>644.13902594806439</v>
          </cell>
          <cell r="AQ94">
            <v>6584.7594285985124</v>
          </cell>
          <cell r="AR94">
            <v>1288.9281394444622</v>
          </cell>
          <cell r="AS94">
            <v>151.16945212401868</v>
          </cell>
          <cell r="AY94">
            <v>13.827994800056874</v>
          </cell>
          <cell r="AZ94">
            <v>18</v>
          </cell>
          <cell r="BA94">
            <v>35</v>
          </cell>
        </row>
        <row r="95">
          <cell r="A95" t="str">
            <v>8160-01-196</v>
          </cell>
          <cell r="B95" t="str">
            <v>Michael lutzky</v>
          </cell>
          <cell r="C95" t="str">
            <v>07518861</v>
          </cell>
          <cell r="D95">
            <v>7518861</v>
          </cell>
          <cell r="F95" t="str">
            <v>מיכאל לוצקי</v>
          </cell>
          <cell r="G95" t="str">
            <v>III</v>
          </cell>
          <cell r="I95">
            <v>300000</v>
          </cell>
          <cell r="J95">
            <v>4.0657393736107791E-3</v>
          </cell>
          <cell r="K95">
            <v>5.8476891014493555E-3</v>
          </cell>
          <cell r="M95">
            <v>6186.8550693334182</v>
          </cell>
          <cell r="N95">
            <v>725.61337019528958</v>
          </cell>
          <cell r="O95">
            <v>1762.2097059271848</v>
          </cell>
          <cell r="P95">
            <v>8674.6781454558932</v>
          </cell>
          <cell r="Q95">
            <v>461.88733368434271</v>
          </cell>
          <cell r="R95">
            <v>6648.7424030177608</v>
          </cell>
          <cell r="S95">
            <v>1546.7137673333546</v>
          </cell>
          <cell r="T95">
            <v>871.2698590202076</v>
          </cell>
          <cell r="U95">
            <v>-871.2698590202076</v>
          </cell>
          <cell r="V95">
            <v>675.44390831314695</v>
          </cell>
          <cell r="W95" t="str">
            <v>ע"פ תקנות'</v>
          </cell>
          <cell r="Y95">
            <v>1546.7137673333546</v>
          </cell>
          <cell r="Z95">
            <v>181.40334254882239</v>
          </cell>
          <cell r="AA95">
            <v>83.880419724292139</v>
          </cell>
          <cell r="AB95">
            <v>-83.880419724292139</v>
          </cell>
          <cell r="AC95">
            <v>97.522922824530255</v>
          </cell>
          <cell r="AD95" t="str">
            <v>ע"פ תקנות'</v>
          </cell>
          <cell r="AF95">
            <v>181.40334254882239</v>
          </cell>
          <cell r="AG95">
            <v>7901.711314318216</v>
          </cell>
          <cell r="AH95">
            <v>0</v>
          </cell>
          <cell r="AI95">
            <v>0</v>
          </cell>
          <cell r="AJ95">
            <v>170230</v>
          </cell>
          <cell r="AK95">
            <v>0</v>
          </cell>
          <cell r="AL95">
            <v>39784</v>
          </cell>
          <cell r="AM95" t="str">
            <v>Zero investment in 2019</v>
          </cell>
          <cell r="AO95">
            <v>8674.6781454558932</v>
          </cell>
          <cell r="AP95">
            <v>772.96683113767722</v>
          </cell>
          <cell r="AQ95">
            <v>7901.711314318216</v>
          </cell>
          <cell r="AR95">
            <v>1546.7137673333546</v>
          </cell>
          <cell r="AS95">
            <v>181.40334254882239</v>
          </cell>
          <cell r="AY95">
            <v>16.593593760068252</v>
          </cell>
          <cell r="AZ95">
            <v>18</v>
          </cell>
          <cell r="BA95">
            <v>35</v>
          </cell>
        </row>
        <row r="96">
          <cell r="A96" t="str">
            <v>8160-01-197</v>
          </cell>
          <cell r="B96" t="str">
            <v>Nirit Leshem</v>
          </cell>
          <cell r="C96">
            <v>56158298</v>
          </cell>
          <cell r="D96">
            <v>56158298</v>
          </cell>
          <cell r="F96" t="str">
            <v>נירית לשם</v>
          </cell>
          <cell r="G96" t="str">
            <v>III</v>
          </cell>
          <cell r="I96">
            <v>250000</v>
          </cell>
          <cell r="J96">
            <v>3.3881161446756495E-3</v>
          </cell>
          <cell r="K96">
            <v>4.8730742512077966E-3</v>
          </cell>
          <cell r="M96">
            <v>5155.7125577778488</v>
          </cell>
          <cell r="N96">
            <v>604.6778084960747</v>
          </cell>
          <cell r="O96">
            <v>1468.5080882726543</v>
          </cell>
          <cell r="P96">
            <v>7228.8984545465773</v>
          </cell>
          <cell r="Q96">
            <v>384.90611140361898</v>
          </cell>
          <cell r="R96">
            <v>5540.6186691814673</v>
          </cell>
          <cell r="S96">
            <v>1288.9281394444622</v>
          </cell>
          <cell r="T96">
            <v>726.05821585017304</v>
          </cell>
          <cell r="U96">
            <v>-726.05821585017304</v>
          </cell>
          <cell r="V96">
            <v>562.86992359428916</v>
          </cell>
          <cell r="W96" t="str">
            <v>X</v>
          </cell>
          <cell r="Y96">
            <v>1288.9281394444622</v>
          </cell>
          <cell r="Z96">
            <v>151.16945212401868</v>
          </cell>
          <cell r="AA96">
            <v>69.900349770243452</v>
          </cell>
          <cell r="AB96">
            <v>-69.900349770243452</v>
          </cell>
          <cell r="AC96">
            <v>81.269102353775224</v>
          </cell>
          <cell r="AD96" t="str">
            <v>X</v>
          </cell>
          <cell r="AF96">
            <v>151.16945212401868</v>
          </cell>
          <cell r="AG96">
            <v>6584.7594285985124</v>
          </cell>
          <cell r="AH96">
            <v>0</v>
          </cell>
          <cell r="AI96">
            <v>0</v>
          </cell>
          <cell r="AJ96">
            <v>141858</v>
          </cell>
          <cell r="AK96">
            <v>0</v>
          </cell>
          <cell r="AL96">
            <v>33153</v>
          </cell>
          <cell r="AM96" t="str">
            <v>Zero investment in 2019</v>
          </cell>
          <cell r="AO96">
            <v>7228.8984545465773</v>
          </cell>
          <cell r="AP96">
            <v>644.13902594806439</v>
          </cell>
          <cell r="AQ96">
            <v>6584.7594285985124</v>
          </cell>
          <cell r="AR96">
            <v>1288.9281394444622</v>
          </cell>
          <cell r="AS96">
            <v>151.16945212401868</v>
          </cell>
          <cell r="AY96">
            <v>13.827994800056874</v>
          </cell>
          <cell r="AZ96">
            <v>18</v>
          </cell>
          <cell r="BA96">
            <v>35</v>
          </cell>
        </row>
        <row r="97">
          <cell r="A97" t="str">
            <v>8160-01-198</v>
          </cell>
          <cell r="B97" t="str">
            <v>Nurit Cohen</v>
          </cell>
          <cell r="C97" t="str">
            <v>001634542</v>
          </cell>
          <cell r="D97">
            <v>1634542</v>
          </cell>
          <cell r="F97" t="str">
            <v>נורית כהן</v>
          </cell>
          <cell r="G97" t="str">
            <v>III</v>
          </cell>
          <cell r="I97">
            <v>300000</v>
          </cell>
          <cell r="J97">
            <v>4.0657393736107791E-3</v>
          </cell>
          <cell r="K97">
            <v>5.8476891014493555E-3</v>
          </cell>
          <cell r="M97">
            <v>6186.8550693334182</v>
          </cell>
          <cell r="N97">
            <v>725.61337019528958</v>
          </cell>
          <cell r="O97">
            <v>1762.2097059271848</v>
          </cell>
          <cell r="P97">
            <v>8674.6781454558932</v>
          </cell>
          <cell r="Q97">
            <v>461.88733368434271</v>
          </cell>
          <cell r="R97">
            <v>6648.7424030177608</v>
          </cell>
          <cell r="S97">
            <v>1546.7137673333546</v>
          </cell>
          <cell r="T97">
            <v>871.2698590202076</v>
          </cell>
          <cell r="U97">
            <v>-871.2698590202076</v>
          </cell>
          <cell r="V97">
            <v>675.44390831314695</v>
          </cell>
          <cell r="W97" t="str">
            <v>X</v>
          </cell>
          <cell r="Y97">
            <v>1546.7137673333546</v>
          </cell>
          <cell r="Z97">
            <v>181.40334254882239</v>
          </cell>
          <cell r="AA97">
            <v>83.880419724292139</v>
          </cell>
          <cell r="AB97">
            <v>-83.880419724292139</v>
          </cell>
          <cell r="AC97">
            <v>97.522922824530255</v>
          </cell>
          <cell r="AD97" t="str">
            <v>X</v>
          </cell>
          <cell r="AF97">
            <v>181.40334254882239</v>
          </cell>
          <cell r="AG97">
            <v>7901.711314318216</v>
          </cell>
          <cell r="AH97">
            <v>0</v>
          </cell>
          <cell r="AI97">
            <v>0</v>
          </cell>
          <cell r="AJ97">
            <v>170230</v>
          </cell>
          <cell r="AK97">
            <v>0</v>
          </cell>
          <cell r="AL97">
            <v>39784</v>
          </cell>
          <cell r="AM97" t="str">
            <v>Zero investment in 2019</v>
          </cell>
          <cell r="AO97">
            <v>8674.6781454558932</v>
          </cell>
          <cell r="AP97">
            <v>772.96683113767722</v>
          </cell>
          <cell r="AQ97">
            <v>7901.711314318216</v>
          </cell>
          <cell r="AR97">
            <v>1546.7137673333546</v>
          </cell>
          <cell r="AS97">
            <v>181.40334254882239</v>
          </cell>
          <cell r="AY97">
            <v>16.593593760068252</v>
          </cell>
          <cell r="AZ97">
            <v>18</v>
          </cell>
          <cell r="BA97">
            <v>35</v>
          </cell>
        </row>
        <row r="98">
          <cell r="A98" t="str">
            <v>8160-01-199</v>
          </cell>
          <cell r="B98" t="str">
            <v>Ofer Adler</v>
          </cell>
          <cell r="C98" t="str">
            <v>027750660</v>
          </cell>
          <cell r="D98">
            <v>27750660</v>
          </cell>
          <cell r="F98" t="str">
            <v>עופר אדלר</v>
          </cell>
          <cell r="G98" t="str">
            <v>III</v>
          </cell>
          <cell r="I98">
            <v>280000</v>
          </cell>
          <cell r="J98">
            <v>3.7946900820367271E-3</v>
          </cell>
          <cell r="K98">
            <v>5.4578431613527319E-3</v>
          </cell>
          <cell r="M98">
            <v>5774.3980647111903</v>
          </cell>
          <cell r="N98">
            <v>677.23914551560358</v>
          </cell>
          <cell r="O98">
            <v>1644.7290588653727</v>
          </cell>
          <cell r="P98">
            <v>8096.3662690921665</v>
          </cell>
          <cell r="Q98">
            <v>431.09484477205325</v>
          </cell>
          <cell r="R98">
            <v>6205.4929094832432</v>
          </cell>
          <cell r="S98">
            <v>1443.5995161777976</v>
          </cell>
          <cell r="T98">
            <v>813.18520175219373</v>
          </cell>
          <cell r="U98">
            <v>-813.18520175219373</v>
          </cell>
          <cell r="V98">
            <v>630.41431442560383</v>
          </cell>
          <cell r="W98" t="str">
            <v>ע"פ תקנות'</v>
          </cell>
          <cell r="Y98">
            <v>1443.5995161777976</v>
          </cell>
          <cell r="Z98">
            <v>169.3097863789009</v>
          </cell>
          <cell r="AA98">
            <v>78.288391742672673</v>
          </cell>
          <cell r="AB98">
            <v>-78.288391742672673</v>
          </cell>
          <cell r="AC98">
            <v>91.021394636228223</v>
          </cell>
          <cell r="AD98" t="str">
            <v>ע"פ תקנות'</v>
          </cell>
          <cell r="AF98">
            <v>169.3097863789009</v>
          </cell>
          <cell r="AG98">
            <v>7374.9305600303342</v>
          </cell>
          <cell r="AH98">
            <v>0</v>
          </cell>
          <cell r="AI98">
            <v>0</v>
          </cell>
          <cell r="AJ98">
            <v>158881</v>
          </cell>
          <cell r="AK98">
            <v>0</v>
          </cell>
          <cell r="AL98">
            <v>37131</v>
          </cell>
          <cell r="AM98" t="str">
            <v>Zero investment in 2019</v>
          </cell>
          <cell r="AO98">
            <v>8096.3662690921665</v>
          </cell>
          <cell r="AP98">
            <v>721.43570906183209</v>
          </cell>
          <cell r="AQ98">
            <v>7374.9305600303342</v>
          </cell>
          <cell r="AR98">
            <v>1443.5995161777976</v>
          </cell>
          <cell r="AS98">
            <v>169.3097863789009</v>
          </cell>
          <cell r="AY98">
            <v>15.4873541760637</v>
          </cell>
          <cell r="AZ98">
            <v>18</v>
          </cell>
          <cell r="BA98">
            <v>35</v>
          </cell>
        </row>
        <row r="99">
          <cell r="A99" t="str">
            <v>8160-01-200</v>
          </cell>
          <cell r="B99" t="str">
            <v>Tamir Cohen</v>
          </cell>
          <cell r="C99" t="str">
            <v>024117152</v>
          </cell>
          <cell r="D99">
            <v>24117152</v>
          </cell>
          <cell r="F99" t="str">
            <v>תמיר כהן</v>
          </cell>
          <cell r="G99" t="str">
            <v>III</v>
          </cell>
          <cell r="I99">
            <v>100000</v>
          </cell>
          <cell r="J99">
            <v>1.3552464578702598E-3</v>
          </cell>
          <cell r="K99">
            <v>1.9492297004831186E-3</v>
          </cell>
          <cell r="M99">
            <v>2062.2850231111393</v>
          </cell>
          <cell r="N99">
            <v>241.87112339842986</v>
          </cell>
          <cell r="O99">
            <v>587.40323530906164</v>
          </cell>
          <cell r="P99">
            <v>2891.5593818186308</v>
          </cell>
          <cell r="Q99">
            <v>153.96244456144757</v>
          </cell>
          <cell r="R99">
            <v>2216.2474676725869</v>
          </cell>
          <cell r="S99">
            <v>515.57125577778481</v>
          </cell>
          <cell r="T99">
            <v>290.42328634006918</v>
          </cell>
          <cell r="U99">
            <v>-290.42328634006918</v>
          </cell>
          <cell r="V99">
            <v>225.14796943771563</v>
          </cell>
          <cell r="W99" t="str">
            <v>X</v>
          </cell>
          <cell r="Y99">
            <v>515.57125577778481</v>
          </cell>
          <cell r="Z99">
            <v>60.467780849607465</v>
          </cell>
          <cell r="AA99">
            <v>27.960139908097382</v>
          </cell>
          <cell r="AB99">
            <v>-27.960139908097382</v>
          </cell>
          <cell r="AC99">
            <v>32.507640941510083</v>
          </cell>
          <cell r="AD99" t="str">
            <v>X</v>
          </cell>
          <cell r="AF99">
            <v>60.467780849607465</v>
          </cell>
          <cell r="AG99">
            <v>2633.9037714394049</v>
          </cell>
          <cell r="AH99">
            <v>0</v>
          </cell>
          <cell r="AI99">
            <v>0</v>
          </cell>
          <cell r="AJ99">
            <v>56743</v>
          </cell>
          <cell r="AK99">
            <v>0</v>
          </cell>
          <cell r="AL99">
            <v>13261</v>
          </cell>
          <cell r="AM99" t="str">
            <v>Zero investment in 2019</v>
          </cell>
          <cell r="AO99">
            <v>2891.5593818186308</v>
          </cell>
          <cell r="AP99">
            <v>257.65561037922572</v>
          </cell>
          <cell r="AQ99">
            <v>2633.9037714394049</v>
          </cell>
          <cell r="AR99">
            <v>515.57125577778481</v>
          </cell>
          <cell r="AS99">
            <v>60.467780849607465</v>
          </cell>
          <cell r="AY99">
            <v>5.5311979200227501</v>
          </cell>
          <cell r="AZ99">
            <v>18</v>
          </cell>
          <cell r="BA99">
            <v>35</v>
          </cell>
        </row>
        <row r="100">
          <cell r="A100" t="str">
            <v>8160-01-201</v>
          </cell>
          <cell r="B100" t="str">
            <v>Zeev Kalimi</v>
          </cell>
          <cell r="C100" t="str">
            <v>056076888</v>
          </cell>
          <cell r="D100">
            <v>56076888</v>
          </cell>
          <cell r="F100" t="str">
            <v>זאב קלימי</v>
          </cell>
          <cell r="G100" t="str">
            <v>III</v>
          </cell>
          <cell r="I100">
            <v>300000</v>
          </cell>
          <cell r="J100">
            <v>4.0657393736107791E-3</v>
          </cell>
          <cell r="K100">
            <v>5.8476891014493555E-3</v>
          </cell>
          <cell r="M100">
            <v>6186.8550693334182</v>
          </cell>
          <cell r="N100">
            <v>725.61337019528958</v>
          </cell>
          <cell r="O100">
            <v>1762.2097059271848</v>
          </cell>
          <cell r="P100">
            <v>8674.6781454558932</v>
          </cell>
          <cell r="Q100">
            <v>461.88733368434271</v>
          </cell>
          <cell r="R100">
            <v>6648.7424030177608</v>
          </cell>
          <cell r="S100">
            <v>1546.7137673333546</v>
          </cell>
          <cell r="T100">
            <v>871.2698590202076</v>
          </cell>
          <cell r="U100">
            <v>-871.2698590202076</v>
          </cell>
          <cell r="V100">
            <v>675.44390831314695</v>
          </cell>
          <cell r="W100" t="str">
            <v>X</v>
          </cell>
          <cell r="Y100">
            <v>1546.7137673333546</v>
          </cell>
          <cell r="Z100">
            <v>181.40334254882239</v>
          </cell>
          <cell r="AA100">
            <v>83.880419724292139</v>
          </cell>
          <cell r="AB100">
            <v>-83.880419724292139</v>
          </cell>
          <cell r="AC100">
            <v>97.522922824530255</v>
          </cell>
          <cell r="AD100" t="str">
            <v>X</v>
          </cell>
          <cell r="AF100">
            <v>181.40334254882239</v>
          </cell>
          <cell r="AG100">
            <v>7901.711314318216</v>
          </cell>
          <cell r="AH100">
            <v>0</v>
          </cell>
          <cell r="AI100">
            <v>0</v>
          </cell>
          <cell r="AJ100">
            <v>170230</v>
          </cell>
          <cell r="AK100">
            <v>0</v>
          </cell>
          <cell r="AL100">
            <v>39784</v>
          </cell>
          <cell r="AM100" t="str">
            <v>Zero investment in 2019</v>
          </cell>
          <cell r="AO100">
            <v>8674.6781454558932</v>
          </cell>
          <cell r="AP100">
            <v>772.96683113767722</v>
          </cell>
          <cell r="AQ100">
            <v>7901.711314318216</v>
          </cell>
          <cell r="AR100">
            <v>1546.7137673333546</v>
          </cell>
          <cell r="AS100">
            <v>181.40334254882239</v>
          </cell>
          <cell r="AY100">
            <v>16.593593760068252</v>
          </cell>
          <cell r="AZ100">
            <v>18</v>
          </cell>
          <cell r="BA100">
            <v>35</v>
          </cell>
        </row>
        <row r="101">
          <cell r="A101" t="str">
            <v>8160-01-202</v>
          </cell>
          <cell r="B101" t="str">
            <v>Cidev Group LTD</v>
          </cell>
          <cell r="C101">
            <v>510657612</v>
          </cell>
          <cell r="D101">
            <v>510657612</v>
          </cell>
          <cell r="E101" t="str">
            <v>Cidev Group LTD</v>
          </cell>
          <cell r="F101" t="str">
            <v>קבוצת סידב בע"מ</v>
          </cell>
          <cell r="G101" t="str">
            <v>III</v>
          </cell>
          <cell r="I101">
            <v>500000</v>
          </cell>
          <cell r="J101">
            <v>6.7762322893512991E-3</v>
          </cell>
          <cell r="K101">
            <v>9.7461485024155931E-3</v>
          </cell>
          <cell r="M101">
            <v>10311.425115555698</v>
          </cell>
          <cell r="N101">
            <v>1209.3556169921494</v>
          </cell>
          <cell r="O101">
            <v>2937.0161765453086</v>
          </cell>
          <cell r="P101">
            <v>14457.796909093155</v>
          </cell>
          <cell r="Q101">
            <v>769.81222280723796</v>
          </cell>
          <cell r="R101">
            <v>11081.237338362935</v>
          </cell>
          <cell r="T101">
            <v>1452.1164317003461</v>
          </cell>
          <cell r="W101" t="str">
            <v>V</v>
          </cell>
          <cell r="X101">
            <v>1452.1164317003461</v>
          </cell>
          <cell r="Y101">
            <v>1452.1164317003461</v>
          </cell>
          <cell r="AA101">
            <v>139.8006995404869</v>
          </cell>
          <cell r="AD101" t="str">
            <v>V</v>
          </cell>
          <cell r="AE101">
            <v>139.8006995404869</v>
          </cell>
          <cell r="AF101">
            <v>139.8006995404869</v>
          </cell>
          <cell r="AG101">
            <v>14457.796909093155</v>
          </cell>
          <cell r="AH101" t="e">
            <v>#N/A</v>
          </cell>
          <cell r="AI101" t="e">
            <v>#N/A</v>
          </cell>
          <cell r="AJ101" t="e">
            <v>#N/A</v>
          </cell>
          <cell r="AK101" t="e">
            <v>#N/A</v>
          </cell>
          <cell r="AL101" t="e">
            <v>#N/A</v>
          </cell>
          <cell r="AM101" t="str">
            <v>Zero investment in 2019</v>
          </cell>
          <cell r="AO101">
            <v>14457.796909093155</v>
          </cell>
          <cell r="AP101">
            <v>0</v>
          </cell>
          <cell r="AQ101">
            <v>14457.796909093155</v>
          </cell>
          <cell r="AR101">
            <v>1452.1164317003461</v>
          </cell>
          <cell r="AS101">
            <v>139.8006995404869</v>
          </cell>
          <cell r="AY101">
            <v>30.361373509095625</v>
          </cell>
          <cell r="AZ101">
            <v>30.361373509095625</v>
          </cell>
          <cell r="BA101">
            <v>35</v>
          </cell>
        </row>
        <row r="102">
          <cell r="A102" t="str">
            <v>8160-01-204</v>
          </cell>
          <cell r="B102" t="str">
            <v>S.H.I.F.A.T Architectures Ltd</v>
          </cell>
          <cell r="C102">
            <v>513075838</v>
          </cell>
          <cell r="D102">
            <v>513075838</v>
          </cell>
          <cell r="E102" t="str">
            <v>S.H.I.F.A.T Architectures Ltd</v>
          </cell>
          <cell r="F102" t="str">
            <v>ש.י.פ.ת לוי אדריכלים בע"מ</v>
          </cell>
          <cell r="G102" t="str">
            <v>III</v>
          </cell>
          <cell r="I102">
            <v>250000</v>
          </cell>
          <cell r="J102">
            <v>3.3881161446756495E-3</v>
          </cell>
          <cell r="K102">
            <v>4.8730742512077966E-3</v>
          </cell>
          <cell r="M102">
            <v>5155.7125577778488</v>
          </cell>
          <cell r="N102">
            <v>604.6778084960747</v>
          </cell>
          <cell r="O102">
            <v>1468.5080882726543</v>
          </cell>
          <cell r="P102">
            <v>7228.8984545465773</v>
          </cell>
          <cell r="Q102">
            <v>384.90611140361898</v>
          </cell>
          <cell r="R102">
            <v>5540.6186691814673</v>
          </cell>
          <cell r="T102">
            <v>726.05821585017304</v>
          </cell>
          <cell r="W102" t="str">
            <v>V</v>
          </cell>
          <cell r="X102">
            <v>726.05821585017304</v>
          </cell>
          <cell r="Y102">
            <v>726.05821585017304</v>
          </cell>
          <cell r="AA102">
            <v>69.900349770243452</v>
          </cell>
          <cell r="AD102" t="str">
            <v>V</v>
          </cell>
          <cell r="AE102">
            <v>69.900349770243452</v>
          </cell>
          <cell r="AF102">
            <v>69.900349770243452</v>
          </cell>
          <cell r="AG102">
            <v>7228.8984545465773</v>
          </cell>
          <cell r="AH102" t="e">
            <v>#N/A</v>
          </cell>
          <cell r="AI102" t="e">
            <v>#N/A</v>
          </cell>
          <cell r="AJ102" t="e">
            <v>#N/A</v>
          </cell>
          <cell r="AK102" t="e">
            <v>#N/A</v>
          </cell>
          <cell r="AL102" t="e">
            <v>#N/A</v>
          </cell>
          <cell r="AM102" t="str">
            <v>Zero investment in 2019</v>
          </cell>
          <cell r="AO102">
            <v>7228.8984545465773</v>
          </cell>
          <cell r="AP102">
            <v>0</v>
          </cell>
          <cell r="AQ102">
            <v>7228.8984545465773</v>
          </cell>
          <cell r="AR102">
            <v>726.05821585017304</v>
          </cell>
          <cell r="AS102">
            <v>69.900349770243452</v>
          </cell>
          <cell r="AY102">
            <v>15.180686754547812</v>
          </cell>
          <cell r="AZ102">
            <v>18</v>
          </cell>
          <cell r="BA102">
            <v>35</v>
          </cell>
        </row>
        <row r="103">
          <cell r="A103" t="str">
            <v>8160-01-205</v>
          </cell>
          <cell r="B103" t="str">
            <v>R.B LTD</v>
          </cell>
          <cell r="C103">
            <v>513179796</v>
          </cell>
          <cell r="D103">
            <v>513179796</v>
          </cell>
          <cell r="E103" t="str">
            <v>R.B LTD</v>
          </cell>
          <cell r="F103" t="str">
            <v>אר.בי ביטון רפאל החזקות בע"מ</v>
          </cell>
          <cell r="G103" t="str">
            <v>III</v>
          </cell>
          <cell r="I103">
            <v>300000</v>
          </cell>
          <cell r="J103">
            <v>4.0657393736107791E-3</v>
          </cell>
          <cell r="K103">
            <v>5.8476891014493555E-3</v>
          </cell>
          <cell r="M103">
            <v>6186.8550693334182</v>
          </cell>
          <cell r="N103">
            <v>725.61337019528958</v>
          </cell>
          <cell r="O103">
            <v>1762.2097059271848</v>
          </cell>
          <cell r="P103">
            <v>8674.6781454558932</v>
          </cell>
          <cell r="Q103">
            <v>461.88733368434271</v>
          </cell>
          <cell r="R103">
            <v>6648.7424030177608</v>
          </cell>
          <cell r="T103">
            <v>871.2698590202076</v>
          </cell>
          <cell r="W103" t="str">
            <v>V</v>
          </cell>
          <cell r="X103">
            <v>871.2698590202076</v>
          </cell>
          <cell r="Y103">
            <v>871.2698590202076</v>
          </cell>
          <cell r="AA103">
            <v>83.880419724292139</v>
          </cell>
          <cell r="AD103" t="str">
            <v>V</v>
          </cell>
          <cell r="AE103">
            <v>83.880419724292139</v>
          </cell>
          <cell r="AF103">
            <v>83.880419724292139</v>
          </cell>
          <cell r="AG103">
            <v>8674.6781454558932</v>
          </cell>
          <cell r="AH103" t="e">
            <v>#N/A</v>
          </cell>
          <cell r="AI103" t="e">
            <v>#N/A</v>
          </cell>
          <cell r="AJ103" t="e">
            <v>#N/A</v>
          </cell>
          <cell r="AK103" t="e">
            <v>#N/A</v>
          </cell>
          <cell r="AL103" t="e">
            <v>#N/A</v>
          </cell>
          <cell r="AM103" t="str">
            <v>Zero investment in 2019</v>
          </cell>
          <cell r="AO103">
            <v>8674.6781454558932</v>
          </cell>
          <cell r="AP103">
            <v>0</v>
          </cell>
          <cell r="AQ103">
            <v>8674.6781454558932</v>
          </cell>
          <cell r="AR103">
            <v>871.2698590202076</v>
          </cell>
          <cell r="AS103">
            <v>83.880419724292139</v>
          </cell>
          <cell r="AY103">
            <v>18.216824105457373</v>
          </cell>
          <cell r="AZ103">
            <v>18.216824105457373</v>
          </cell>
          <cell r="BA103">
            <v>35</v>
          </cell>
        </row>
        <row r="104">
          <cell r="A104" t="str">
            <v>8160-01-206</v>
          </cell>
          <cell r="B104" t="str">
            <v>Hevra Kadisha Haifa</v>
          </cell>
          <cell r="C104">
            <v>580014777</v>
          </cell>
          <cell r="D104">
            <v>580014777</v>
          </cell>
          <cell r="E104" t="str">
            <v>Hevra Kadisha Haifa</v>
          </cell>
          <cell r="F104" t="str">
            <v>חברה קדישא חיפה</v>
          </cell>
          <cell r="G104" t="str">
            <v>III</v>
          </cell>
          <cell r="I104">
            <v>570000</v>
          </cell>
          <cell r="J104">
            <v>7.7249048098604802E-3</v>
          </cell>
          <cell r="K104">
            <v>1.1110609292753775E-2</v>
          </cell>
          <cell r="M104">
            <v>11755.024631733493</v>
          </cell>
          <cell r="N104">
            <v>1378.6654033710502</v>
          </cell>
          <cell r="O104">
            <v>3348.1984412616512</v>
          </cell>
          <cell r="P104">
            <v>16481.888476366195</v>
          </cell>
          <cell r="Q104">
            <v>877.5859340002512</v>
          </cell>
          <cell r="R104">
            <v>12632.610565733745</v>
          </cell>
          <cell r="T104">
            <v>1655.4127321383944</v>
          </cell>
          <cell r="W104" t="str">
            <v>V</v>
          </cell>
          <cell r="X104">
            <v>1655.4127321383944</v>
          </cell>
          <cell r="Y104">
            <v>1655.4127321383944</v>
          </cell>
          <cell r="AA104">
            <v>159.37279747615506</v>
          </cell>
          <cell r="AD104" t="str">
            <v>V</v>
          </cell>
          <cell r="AE104">
            <v>159.37279747615506</v>
          </cell>
          <cell r="AF104">
            <v>159.37279747615506</v>
          </cell>
          <cell r="AG104">
            <v>16481.888476366195</v>
          </cell>
          <cell r="AH104">
            <v>0</v>
          </cell>
          <cell r="AI104">
            <v>0</v>
          </cell>
          <cell r="AJ104">
            <v>323437</v>
          </cell>
          <cell r="AK104">
            <v>0</v>
          </cell>
          <cell r="AL104">
            <v>75589</v>
          </cell>
          <cell r="AM104" t="str">
            <v>Zero investment in 2019</v>
          </cell>
          <cell r="AO104">
            <v>16481.888476366195</v>
          </cell>
          <cell r="AP104">
            <v>0</v>
          </cell>
          <cell r="AQ104">
            <v>16481.888476366195</v>
          </cell>
          <cell r="AR104">
            <v>1655.4127321383944</v>
          </cell>
          <cell r="AS104">
            <v>159.37279747615506</v>
          </cell>
          <cell r="AY104">
            <v>34.611965800369006</v>
          </cell>
          <cell r="AZ104">
            <v>34.611965800369006</v>
          </cell>
          <cell r="BA104">
            <v>35</v>
          </cell>
        </row>
        <row r="105">
          <cell r="A105" t="str">
            <v>8160-01-207</v>
          </cell>
          <cell r="B105" t="str">
            <v>Assaf Burstein</v>
          </cell>
          <cell r="C105" t="str">
            <v>058837238</v>
          </cell>
          <cell r="D105">
            <v>58837238</v>
          </cell>
          <cell r="F105" t="str">
            <v>אסף בורשטיין</v>
          </cell>
          <cell r="G105" t="str">
            <v>III</v>
          </cell>
          <cell r="I105">
            <v>300000</v>
          </cell>
          <cell r="J105">
            <v>4.0657393736107791E-3</v>
          </cell>
          <cell r="K105">
            <v>5.8476891014493555E-3</v>
          </cell>
          <cell r="M105">
            <v>6186.8550693334182</v>
          </cell>
          <cell r="N105">
            <v>725.61337019528958</v>
          </cell>
          <cell r="O105">
            <v>1762.2097059271848</v>
          </cell>
          <cell r="P105">
            <v>8674.6781454558932</v>
          </cell>
          <cell r="Q105">
            <v>461.88733368434271</v>
          </cell>
          <cell r="R105">
            <v>6648.7424030177608</v>
          </cell>
          <cell r="S105">
            <v>1546.7137673333546</v>
          </cell>
          <cell r="T105">
            <v>871.2698590202076</v>
          </cell>
          <cell r="U105">
            <v>-871.2698590202076</v>
          </cell>
          <cell r="V105">
            <v>675.44390831314695</v>
          </cell>
          <cell r="W105" t="str">
            <v>ע"פ תקנות'</v>
          </cell>
          <cell r="Y105">
            <v>1546.7137673333546</v>
          </cell>
          <cell r="Z105">
            <v>181.40334254882239</v>
          </cell>
          <cell r="AA105">
            <v>83.880419724292139</v>
          </cell>
          <cell r="AB105">
            <v>-83.880419724292139</v>
          </cell>
          <cell r="AC105">
            <v>97.522922824530255</v>
          </cell>
          <cell r="AD105" t="str">
            <v>ע"פ תקנות'</v>
          </cell>
          <cell r="AF105">
            <v>181.40334254882239</v>
          </cell>
          <cell r="AG105">
            <v>7901.711314318216</v>
          </cell>
          <cell r="AH105">
            <v>0</v>
          </cell>
          <cell r="AI105">
            <v>0</v>
          </cell>
          <cell r="AJ105">
            <v>170230</v>
          </cell>
          <cell r="AK105">
            <v>0</v>
          </cell>
          <cell r="AL105">
            <v>39784</v>
          </cell>
          <cell r="AM105" t="str">
            <v>Zero investment in 2019</v>
          </cell>
          <cell r="AO105">
            <v>8674.6781454558932</v>
          </cell>
          <cell r="AP105">
            <v>772.96683113767722</v>
          </cell>
          <cell r="AQ105">
            <v>7901.711314318216</v>
          </cell>
          <cell r="AR105">
            <v>1546.7137673333546</v>
          </cell>
          <cell r="AS105">
            <v>181.40334254882239</v>
          </cell>
          <cell r="AY105">
            <v>16.593593760068252</v>
          </cell>
          <cell r="AZ105">
            <v>18</v>
          </cell>
          <cell r="BA105">
            <v>35</v>
          </cell>
        </row>
        <row r="106">
          <cell r="A106" t="str">
            <v>8160-01-208</v>
          </cell>
          <cell r="B106" t="str">
            <v>Dan Arazi</v>
          </cell>
          <cell r="C106" t="str">
            <v>08986978</v>
          </cell>
          <cell r="D106">
            <v>8986978</v>
          </cell>
          <cell r="F106" t="str">
            <v>דן ארזי</v>
          </cell>
          <cell r="G106" t="str">
            <v>III</v>
          </cell>
          <cell r="I106">
            <v>250000</v>
          </cell>
          <cell r="J106">
            <v>3.3881161446756495E-3</v>
          </cell>
          <cell r="K106">
            <v>4.8730742512077966E-3</v>
          </cell>
          <cell r="M106">
            <v>5155.7125577778488</v>
          </cell>
          <cell r="N106">
            <v>604.6778084960747</v>
          </cell>
          <cell r="O106">
            <v>1468.5080882726543</v>
          </cell>
          <cell r="P106">
            <v>7228.8984545465773</v>
          </cell>
          <cell r="Q106">
            <v>384.90611140361898</v>
          </cell>
          <cell r="R106">
            <v>5540.6186691814673</v>
          </cell>
          <cell r="S106">
            <v>1288.9281394444622</v>
          </cell>
          <cell r="T106">
            <v>726.05821585017304</v>
          </cell>
          <cell r="U106">
            <v>-726.05821585017304</v>
          </cell>
          <cell r="V106">
            <v>562.86992359428916</v>
          </cell>
          <cell r="W106" t="str">
            <v>ע"פ תקנות'</v>
          </cell>
          <cell r="Y106">
            <v>1288.9281394444622</v>
          </cell>
          <cell r="Z106">
            <v>151.16945212401868</v>
          </cell>
          <cell r="AA106">
            <v>69.900349770243452</v>
          </cell>
          <cell r="AB106">
            <v>-69.900349770243452</v>
          </cell>
          <cell r="AC106">
            <v>81.269102353775224</v>
          </cell>
          <cell r="AD106" t="str">
            <v>ע"פ תקנות'</v>
          </cell>
          <cell r="AF106">
            <v>151.16945212401868</v>
          </cell>
          <cell r="AG106">
            <v>6584.7594285985124</v>
          </cell>
          <cell r="AH106">
            <v>0</v>
          </cell>
          <cell r="AI106">
            <v>0</v>
          </cell>
          <cell r="AJ106">
            <v>141858</v>
          </cell>
          <cell r="AK106">
            <v>0</v>
          </cell>
          <cell r="AL106">
            <v>33153</v>
          </cell>
          <cell r="AM106" t="str">
            <v>Zero investment in 2019</v>
          </cell>
          <cell r="AO106">
            <v>7228.8984545465773</v>
          </cell>
          <cell r="AP106">
            <v>644.13902594806439</v>
          </cell>
          <cell r="AQ106">
            <v>6584.7594285985124</v>
          </cell>
          <cell r="AR106">
            <v>1288.9281394444622</v>
          </cell>
          <cell r="AS106">
            <v>151.16945212401868</v>
          </cell>
          <cell r="AY106">
            <v>13.827994800056874</v>
          </cell>
          <cell r="AZ106">
            <v>18</v>
          </cell>
          <cell r="BA106">
            <v>35</v>
          </cell>
        </row>
        <row r="107">
          <cell r="A107" t="str">
            <v>8160-01-209</v>
          </cell>
          <cell r="B107" t="str">
            <v>Daphna Cohen Ben Shaul</v>
          </cell>
          <cell r="C107" t="str">
            <v>054201264</v>
          </cell>
          <cell r="D107">
            <v>54201264</v>
          </cell>
          <cell r="F107" t="str">
            <v>דפנה כהן בן שאול</v>
          </cell>
          <cell r="G107" t="str">
            <v>III</v>
          </cell>
          <cell r="I107">
            <v>300000</v>
          </cell>
          <cell r="J107">
            <v>4.0657393736107791E-3</v>
          </cell>
          <cell r="K107">
            <v>5.8476891014493555E-3</v>
          </cell>
          <cell r="M107">
            <v>6186.8550693334182</v>
          </cell>
          <cell r="N107">
            <v>725.61337019528958</v>
          </cell>
          <cell r="O107">
            <v>1762.2097059271848</v>
          </cell>
          <cell r="P107">
            <v>8674.6781454558932</v>
          </cell>
          <cell r="Q107">
            <v>461.88733368434271</v>
          </cell>
          <cell r="R107">
            <v>6648.7424030177608</v>
          </cell>
          <cell r="S107">
            <v>1546.7137673333546</v>
          </cell>
          <cell r="T107">
            <v>871.2698590202076</v>
          </cell>
          <cell r="U107">
            <v>-871.2698590202076</v>
          </cell>
          <cell r="V107">
            <v>675.44390831314695</v>
          </cell>
          <cell r="W107" t="str">
            <v>X</v>
          </cell>
          <cell r="Y107">
            <v>1546.7137673333546</v>
          </cell>
          <cell r="Z107">
            <v>181.40334254882239</v>
          </cell>
          <cell r="AA107">
            <v>83.880419724292139</v>
          </cell>
          <cell r="AB107">
            <v>-83.880419724292139</v>
          </cell>
          <cell r="AC107">
            <v>97.522922824530255</v>
          </cell>
          <cell r="AD107" t="str">
            <v>X</v>
          </cell>
          <cell r="AF107">
            <v>181.40334254882239</v>
          </cell>
          <cell r="AG107">
            <v>7901.711314318216</v>
          </cell>
          <cell r="AH107">
            <v>0</v>
          </cell>
          <cell r="AI107">
            <v>0</v>
          </cell>
          <cell r="AJ107">
            <v>170230</v>
          </cell>
          <cell r="AK107">
            <v>0</v>
          </cell>
          <cell r="AL107">
            <v>39784</v>
          </cell>
          <cell r="AM107" t="str">
            <v>Zero investment in 2019</v>
          </cell>
          <cell r="AO107">
            <v>8674.6781454558932</v>
          </cell>
          <cell r="AP107">
            <v>772.96683113767722</v>
          </cell>
          <cell r="AQ107">
            <v>7901.711314318216</v>
          </cell>
          <cell r="AR107">
            <v>1546.7137673333546</v>
          </cell>
          <cell r="AS107">
            <v>181.40334254882239</v>
          </cell>
          <cell r="AY107">
            <v>16.593593760068252</v>
          </cell>
          <cell r="AZ107">
            <v>18</v>
          </cell>
          <cell r="BA107">
            <v>35</v>
          </cell>
        </row>
        <row r="108">
          <cell r="A108" t="str">
            <v>8160-01-210</v>
          </cell>
          <cell r="B108" t="str">
            <v>Eyal Kishon</v>
          </cell>
          <cell r="C108" t="str">
            <v>056197676</v>
          </cell>
          <cell r="D108">
            <v>56197676</v>
          </cell>
          <cell r="F108" t="str">
            <v>איל קישון</v>
          </cell>
          <cell r="G108" t="str">
            <v>III</v>
          </cell>
          <cell r="I108">
            <v>500000</v>
          </cell>
          <cell r="J108">
            <v>6.7762322893512991E-3</v>
          </cell>
          <cell r="K108">
            <v>9.7461485024155931E-3</v>
          </cell>
          <cell r="M108">
            <v>10311.425115555698</v>
          </cell>
          <cell r="N108">
            <v>1209.3556169921494</v>
          </cell>
          <cell r="O108">
            <v>2937.0161765453086</v>
          </cell>
          <cell r="P108">
            <v>14457.796909093155</v>
          </cell>
          <cell r="Q108">
            <v>769.81222280723796</v>
          </cell>
          <cell r="R108">
            <v>11081.237338362935</v>
          </cell>
          <cell r="S108">
            <v>2577.8562788889244</v>
          </cell>
          <cell r="T108">
            <v>1452.1164317003461</v>
          </cell>
          <cell r="U108">
            <v>-1452.1164317003461</v>
          </cell>
          <cell r="V108">
            <v>1125.7398471885783</v>
          </cell>
          <cell r="W108" t="str">
            <v>ע"פ תקנות'- יש מסמך נוסף לבדוק מול צור</v>
          </cell>
          <cell r="Y108">
            <v>2577.8562788889244</v>
          </cell>
          <cell r="Z108">
            <v>302.33890424803735</v>
          </cell>
          <cell r="AA108">
            <v>139.8006995404869</v>
          </cell>
          <cell r="AB108">
            <v>-139.8006995404869</v>
          </cell>
          <cell r="AC108">
            <v>162.53820470755045</v>
          </cell>
          <cell r="AD108" t="str">
            <v>ע"פ תקנות'- יש מסמך נוסף לבדוק מול צור</v>
          </cell>
          <cell r="AF108">
            <v>302.33890424803735</v>
          </cell>
          <cell r="AG108">
            <v>13169.518857197025</v>
          </cell>
          <cell r="AH108">
            <v>0</v>
          </cell>
          <cell r="AI108">
            <v>0</v>
          </cell>
          <cell r="AJ108">
            <v>283717</v>
          </cell>
          <cell r="AK108">
            <v>0</v>
          </cell>
          <cell r="AL108">
            <v>66306</v>
          </cell>
          <cell r="AM108" t="str">
            <v>Zero investment in 2019</v>
          </cell>
          <cell r="AO108">
            <v>14457.796909093155</v>
          </cell>
          <cell r="AP108">
            <v>1288.2780518961288</v>
          </cell>
          <cell r="AQ108">
            <v>13169.518857197025</v>
          </cell>
          <cell r="AR108">
            <v>2577.8562788889244</v>
          </cell>
          <cell r="AS108">
            <v>302.33890424803735</v>
          </cell>
          <cell r="AY108">
            <v>27.655989600113749</v>
          </cell>
          <cell r="AZ108">
            <v>27.655989600113749</v>
          </cell>
          <cell r="BA108">
            <v>35</v>
          </cell>
        </row>
        <row r="109">
          <cell r="A109" t="str">
            <v>8160-01-211</v>
          </cell>
          <cell r="B109" t="str">
            <v>Gideon Schurr</v>
          </cell>
          <cell r="C109" t="str">
            <v>051251288</v>
          </cell>
          <cell r="D109">
            <v>51251288</v>
          </cell>
          <cell r="F109" t="str">
            <v>גדעון שור</v>
          </cell>
          <cell r="G109" t="str">
            <v>III</v>
          </cell>
          <cell r="I109">
            <v>250000</v>
          </cell>
          <cell r="J109">
            <v>3.3881161446756495E-3</v>
          </cell>
          <cell r="K109">
            <v>4.8730742512077966E-3</v>
          </cell>
          <cell r="M109">
            <v>5155.7125577778488</v>
          </cell>
          <cell r="N109">
            <v>604.6778084960747</v>
          </cell>
          <cell r="O109">
            <v>1468.5080882726543</v>
          </cell>
          <cell r="P109">
            <v>7228.8984545465773</v>
          </cell>
          <cell r="Q109">
            <v>384.90611140361898</v>
          </cell>
          <cell r="R109">
            <v>5540.6186691814673</v>
          </cell>
          <cell r="S109">
            <v>1288.9281394444622</v>
          </cell>
          <cell r="T109">
            <v>726.05821585017304</v>
          </cell>
          <cell r="U109">
            <v>-726.05821585017304</v>
          </cell>
          <cell r="V109">
            <v>562.86992359428916</v>
          </cell>
          <cell r="W109" t="str">
            <v>ע"פ תקנות'</v>
          </cell>
          <cell r="Y109">
            <v>1288.9281394444622</v>
          </cell>
          <cell r="Z109">
            <v>151.16945212401868</v>
          </cell>
          <cell r="AA109">
            <v>69.900349770243452</v>
          </cell>
          <cell r="AB109">
            <v>-69.900349770243452</v>
          </cell>
          <cell r="AC109">
            <v>81.269102353775224</v>
          </cell>
          <cell r="AD109" t="str">
            <v>ע"פ תקנות'</v>
          </cell>
          <cell r="AF109">
            <v>151.16945212401868</v>
          </cell>
          <cell r="AG109">
            <v>6584.7594285985124</v>
          </cell>
          <cell r="AH109">
            <v>0</v>
          </cell>
          <cell r="AI109">
            <v>0</v>
          </cell>
          <cell r="AJ109">
            <v>141858</v>
          </cell>
          <cell r="AK109">
            <v>0</v>
          </cell>
          <cell r="AL109">
            <v>33150.5</v>
          </cell>
          <cell r="AM109" t="str">
            <v>Zero investment in 2019</v>
          </cell>
          <cell r="AO109">
            <v>7228.8984545465773</v>
          </cell>
          <cell r="AP109">
            <v>644.13902594806439</v>
          </cell>
          <cell r="AQ109">
            <v>6584.7594285985124</v>
          </cell>
          <cell r="AR109">
            <v>1288.9281394444622</v>
          </cell>
          <cell r="AS109">
            <v>151.16945212401868</v>
          </cell>
          <cell r="AY109">
            <v>13.827994800056874</v>
          </cell>
          <cell r="AZ109">
            <v>18</v>
          </cell>
          <cell r="BA109">
            <v>35</v>
          </cell>
        </row>
        <row r="110">
          <cell r="A110" t="str">
            <v>8160-01-212</v>
          </cell>
          <cell r="B110" t="str">
            <v>Cipora Elkis</v>
          </cell>
          <cell r="C110" t="str">
            <v>007318157</v>
          </cell>
          <cell r="D110">
            <v>512065202</v>
          </cell>
          <cell r="F110" t="str">
            <v>ציפורה אלקיס</v>
          </cell>
          <cell r="G110" t="str">
            <v>III</v>
          </cell>
          <cell r="H110" t="str">
            <v>Meitav</v>
          </cell>
          <cell r="I110">
            <v>250000</v>
          </cell>
          <cell r="J110">
            <v>3.3881161446756495E-3</v>
          </cell>
          <cell r="K110">
            <v>4.8730742512077966E-3</v>
          </cell>
          <cell r="M110">
            <v>5155.7125577778488</v>
          </cell>
          <cell r="N110">
            <v>604.6778084960747</v>
          </cell>
          <cell r="O110">
            <v>1468.5080882726543</v>
          </cell>
          <cell r="P110">
            <v>7228.8984545465773</v>
          </cell>
          <cell r="Q110">
            <v>384.90611140361898</v>
          </cell>
          <cell r="R110">
            <v>5540.6186691814673</v>
          </cell>
          <cell r="T110">
            <v>726.05821585017304</v>
          </cell>
          <cell r="V110">
            <v>0</v>
          </cell>
          <cell r="X110">
            <v>726.05821585017304</v>
          </cell>
          <cell r="Y110">
            <v>726.05821585017304</v>
          </cell>
          <cell r="AA110">
            <v>69.900349770243452</v>
          </cell>
          <cell r="AC110">
            <v>0</v>
          </cell>
          <cell r="AE110">
            <v>69.900349770243452</v>
          </cell>
          <cell r="AF110">
            <v>69.900349770243452</v>
          </cell>
          <cell r="AG110">
            <v>7228.8984545465773</v>
          </cell>
          <cell r="AH110">
            <v>0</v>
          </cell>
          <cell r="AI110">
            <v>0</v>
          </cell>
          <cell r="AJ110">
            <v>141858</v>
          </cell>
          <cell r="AK110">
            <v>0</v>
          </cell>
          <cell r="AL110">
            <v>33153</v>
          </cell>
          <cell r="AM110" t="str">
            <v>Zero investment in 2019</v>
          </cell>
          <cell r="AO110">
            <v>7228.8984545465773</v>
          </cell>
          <cell r="AP110">
            <v>0</v>
          </cell>
          <cell r="AQ110">
            <v>7228.8984545465773</v>
          </cell>
          <cell r="AR110">
            <v>726.05821585017304</v>
          </cell>
          <cell r="AS110">
            <v>69.900349770243452</v>
          </cell>
          <cell r="AY110">
            <v>15.180686754547812</v>
          </cell>
          <cell r="AZ110">
            <v>18</v>
          </cell>
          <cell r="BA110">
            <v>35</v>
          </cell>
        </row>
        <row r="111">
          <cell r="A111" t="str">
            <v>8160-01-213</v>
          </cell>
          <cell r="B111" t="str">
            <v>Ester Tal</v>
          </cell>
          <cell r="C111" t="str">
            <v>057146813</v>
          </cell>
          <cell r="D111">
            <v>512065202</v>
          </cell>
          <cell r="F111" t="str">
            <v>אסתר טל</v>
          </cell>
          <cell r="G111" t="str">
            <v>III</v>
          </cell>
          <cell r="H111" t="str">
            <v>Meitav</v>
          </cell>
          <cell r="I111">
            <v>250000</v>
          </cell>
          <cell r="J111">
            <v>3.3881161446756495E-3</v>
          </cell>
          <cell r="K111">
            <v>4.8730742512077966E-3</v>
          </cell>
          <cell r="M111">
            <v>5155.7125577778488</v>
          </cell>
          <cell r="N111">
            <v>604.6778084960747</v>
          </cell>
          <cell r="O111">
            <v>1468.5080882726543</v>
          </cell>
          <cell r="P111">
            <v>7228.8984545465773</v>
          </cell>
          <cell r="Q111">
            <v>384.90611140361898</v>
          </cell>
          <cell r="R111">
            <v>5540.6186691814673</v>
          </cell>
          <cell r="T111">
            <v>726.05821585017304</v>
          </cell>
          <cell r="V111">
            <v>0</v>
          </cell>
          <cell r="X111">
            <v>726.05821585017304</v>
          </cell>
          <cell r="Y111">
            <v>726.05821585017304</v>
          </cell>
          <cell r="AA111">
            <v>69.900349770243452</v>
          </cell>
          <cell r="AC111">
            <v>0</v>
          </cell>
          <cell r="AE111">
            <v>69.900349770243452</v>
          </cell>
          <cell r="AF111">
            <v>69.900349770243452</v>
          </cell>
          <cell r="AG111">
            <v>7228.8984545465773</v>
          </cell>
          <cell r="AH111">
            <v>0</v>
          </cell>
          <cell r="AI111">
            <v>0</v>
          </cell>
          <cell r="AJ111">
            <v>141858</v>
          </cell>
          <cell r="AK111">
            <v>0</v>
          </cell>
          <cell r="AL111">
            <v>33153</v>
          </cell>
          <cell r="AM111" t="str">
            <v>Zero investment in 2019</v>
          </cell>
          <cell r="AO111">
            <v>7228.8984545465773</v>
          </cell>
          <cell r="AP111">
            <v>0</v>
          </cell>
          <cell r="AQ111">
            <v>7228.8984545465773</v>
          </cell>
          <cell r="AR111">
            <v>726.05821585017304</v>
          </cell>
          <cell r="AS111">
            <v>69.900349770243452</v>
          </cell>
          <cell r="AY111">
            <v>15.180686754547812</v>
          </cell>
          <cell r="AZ111">
            <v>18</v>
          </cell>
          <cell r="BA111">
            <v>35</v>
          </cell>
        </row>
        <row r="112">
          <cell r="A112" t="str">
            <v>8160-01-214</v>
          </cell>
          <cell r="B112" t="str">
            <v>Eyal Yaakov</v>
          </cell>
          <cell r="C112" t="str">
            <v>027136324</v>
          </cell>
          <cell r="D112">
            <v>512065202</v>
          </cell>
          <cell r="F112" t="str">
            <v>איל יעקב</v>
          </cell>
          <cell r="G112" t="str">
            <v>III</v>
          </cell>
          <cell r="H112" t="str">
            <v>Meitav</v>
          </cell>
          <cell r="I112">
            <v>220000</v>
          </cell>
          <cell r="J112">
            <v>2.9815422073145715E-3</v>
          </cell>
          <cell r="K112">
            <v>4.2883053410628612E-3</v>
          </cell>
          <cell r="M112">
            <v>4537.0270508445074</v>
          </cell>
          <cell r="N112">
            <v>532.11647147654571</v>
          </cell>
          <cell r="O112">
            <v>1292.2871176799358</v>
          </cell>
          <cell r="P112">
            <v>6361.4306400009882</v>
          </cell>
          <cell r="Q112">
            <v>338.71737803518471</v>
          </cell>
          <cell r="R112">
            <v>4875.7444288796924</v>
          </cell>
          <cell r="T112">
            <v>638.93122994815235</v>
          </cell>
          <cell r="V112">
            <v>0</v>
          </cell>
          <cell r="X112">
            <v>638.93122994815235</v>
          </cell>
          <cell r="Y112">
            <v>638.93122994815235</v>
          </cell>
          <cell r="AA112">
            <v>61.512307797814245</v>
          </cell>
          <cell r="AC112">
            <v>0</v>
          </cell>
          <cell r="AE112">
            <v>61.512307797814245</v>
          </cell>
          <cell r="AF112">
            <v>61.512307797814245</v>
          </cell>
          <cell r="AG112">
            <v>6361.4306400009882</v>
          </cell>
          <cell r="AH112">
            <v>0</v>
          </cell>
          <cell r="AI112">
            <v>0</v>
          </cell>
          <cell r="AJ112">
            <v>124835</v>
          </cell>
          <cell r="AK112">
            <v>0</v>
          </cell>
          <cell r="AL112">
            <v>29175</v>
          </cell>
          <cell r="AM112" t="str">
            <v>Zero investment in 2019</v>
          </cell>
          <cell r="AO112">
            <v>6361.4306400009882</v>
          </cell>
          <cell r="AP112">
            <v>0</v>
          </cell>
          <cell r="AQ112">
            <v>6361.4306400009882</v>
          </cell>
          <cell r="AR112">
            <v>638.93122994815235</v>
          </cell>
          <cell r="AS112">
            <v>61.512307797814245</v>
          </cell>
          <cell r="AY112">
            <v>13.359004344002074</v>
          </cell>
          <cell r="AZ112">
            <v>18</v>
          </cell>
          <cell r="BA112">
            <v>35</v>
          </cell>
        </row>
        <row r="113">
          <cell r="A113" t="str">
            <v>8160-01-215</v>
          </cell>
          <cell r="B113" t="str">
            <v>Guy Caspary</v>
          </cell>
          <cell r="C113" t="str">
            <v>027473156</v>
          </cell>
          <cell r="D113">
            <v>512065202</v>
          </cell>
          <cell r="F113" t="str">
            <v>גיא כספרי</v>
          </cell>
          <cell r="G113" t="str">
            <v>III</v>
          </cell>
          <cell r="H113" t="str">
            <v>Meitav</v>
          </cell>
          <cell r="I113">
            <v>279997</v>
          </cell>
          <cell r="J113">
            <v>3.7946494246429911E-3</v>
          </cell>
          <cell r="K113">
            <v>5.4577846844617176E-3</v>
          </cell>
          <cell r="M113">
            <v>5774.3361961604969</v>
          </cell>
          <cell r="N113">
            <v>677.23188938190162</v>
          </cell>
          <cell r="O113">
            <v>1644.7114367683134</v>
          </cell>
          <cell r="P113">
            <v>8096.2795223107123</v>
          </cell>
          <cell r="Q113">
            <v>431.09022589871643</v>
          </cell>
          <cell r="R113">
            <v>6205.4264220592131</v>
          </cell>
          <cell r="T113">
            <v>813.17648905360363</v>
          </cell>
          <cell r="V113">
            <v>0</v>
          </cell>
          <cell r="X113">
            <v>813.17648905360363</v>
          </cell>
          <cell r="Y113">
            <v>813.17648905360363</v>
          </cell>
          <cell r="AA113">
            <v>78.287552938475429</v>
          </cell>
          <cell r="AC113">
            <v>0</v>
          </cell>
          <cell r="AE113">
            <v>78.287552938475429</v>
          </cell>
          <cell r="AF113">
            <v>78.287552938475429</v>
          </cell>
          <cell r="AG113">
            <v>8096.2795223107123</v>
          </cell>
          <cell r="AH113">
            <v>0</v>
          </cell>
          <cell r="AI113">
            <v>0</v>
          </cell>
          <cell r="AJ113">
            <v>158880</v>
          </cell>
          <cell r="AK113">
            <v>0</v>
          </cell>
          <cell r="AL113">
            <v>37128.5</v>
          </cell>
          <cell r="AM113" t="str">
            <v>Zero investment in 2019</v>
          </cell>
          <cell r="AO113">
            <v>8096.2795223107123</v>
          </cell>
          <cell r="AP113">
            <v>0</v>
          </cell>
          <cell r="AQ113">
            <v>8096.2795223107123</v>
          </cell>
          <cell r="AR113">
            <v>813.17648905360363</v>
          </cell>
          <cell r="AS113">
            <v>78.287552938475429</v>
          </cell>
          <cell r="AY113">
            <v>17.002186996852494</v>
          </cell>
          <cell r="AZ113">
            <v>18</v>
          </cell>
          <cell r="BA113">
            <v>35</v>
          </cell>
        </row>
        <row r="114">
          <cell r="A114" t="str">
            <v>8160-01-216</v>
          </cell>
          <cell r="B114" t="str">
            <v>Shmuel (Muli) Ben Zvi - IRA</v>
          </cell>
          <cell r="C114" t="str">
            <v>056231475</v>
          </cell>
          <cell r="D114">
            <v>512065202</v>
          </cell>
          <cell r="F114" t="str">
            <v>שמואל בן צבי</v>
          </cell>
          <cell r="G114" t="str">
            <v>III</v>
          </cell>
          <cell r="H114" t="str">
            <v>Meitav</v>
          </cell>
          <cell r="I114">
            <v>100000</v>
          </cell>
          <cell r="J114">
            <v>1.3552464578702598E-3</v>
          </cell>
          <cell r="K114">
            <v>1.9492297004831186E-3</v>
          </cell>
          <cell r="M114">
            <v>2062.2850231111393</v>
          </cell>
          <cell r="N114">
            <v>241.87112339842986</v>
          </cell>
          <cell r="O114">
            <v>587.40323530906164</v>
          </cell>
          <cell r="P114">
            <v>2891.5593818186308</v>
          </cell>
          <cell r="Q114">
            <v>153.96244456144757</v>
          </cell>
          <cell r="R114">
            <v>2216.2474676725869</v>
          </cell>
          <cell r="T114">
            <v>290.42328634006918</v>
          </cell>
          <cell r="V114">
            <v>0</v>
          </cell>
          <cell r="X114">
            <v>290.42328634006918</v>
          </cell>
          <cell r="Y114">
            <v>290.42328634006918</v>
          </cell>
          <cell r="AA114">
            <v>27.960139908097382</v>
          </cell>
          <cell r="AC114">
            <v>0</v>
          </cell>
          <cell r="AE114">
            <v>27.960139908097382</v>
          </cell>
          <cell r="AF114">
            <v>27.960139908097382</v>
          </cell>
          <cell r="AG114">
            <v>2891.5593818186308</v>
          </cell>
          <cell r="AH114">
            <v>0</v>
          </cell>
          <cell r="AI114">
            <v>0</v>
          </cell>
          <cell r="AJ114">
            <v>56740.5</v>
          </cell>
          <cell r="AK114">
            <v>0</v>
          </cell>
          <cell r="AL114">
            <v>13264</v>
          </cell>
          <cell r="AM114" t="str">
            <v>Zero investment in 2019</v>
          </cell>
          <cell r="AO114">
            <v>2891.5593818186308</v>
          </cell>
          <cell r="AP114">
            <v>0</v>
          </cell>
          <cell r="AQ114">
            <v>2891.5593818186308</v>
          </cell>
          <cell r="AR114">
            <v>290.42328634006918</v>
          </cell>
          <cell r="AS114">
            <v>27.960139908097382</v>
          </cell>
          <cell r="AY114">
            <v>6.0722747018191239</v>
          </cell>
          <cell r="AZ114">
            <v>18</v>
          </cell>
          <cell r="BA114">
            <v>35</v>
          </cell>
        </row>
        <row r="115">
          <cell r="A115" t="str">
            <v>8160-01-217</v>
          </cell>
          <cell r="B115" t="str">
            <v>Yehiel Tal</v>
          </cell>
          <cell r="C115" t="str">
            <v>054125224</v>
          </cell>
          <cell r="D115">
            <v>512065202</v>
          </cell>
          <cell r="F115" t="str">
            <v>יחיאל טל</v>
          </cell>
          <cell r="G115" t="str">
            <v>III</v>
          </cell>
          <cell r="H115" t="str">
            <v>Meitav</v>
          </cell>
          <cell r="I115">
            <v>250000</v>
          </cell>
          <cell r="J115">
            <v>3.3881161446756495E-3</v>
          </cell>
          <cell r="K115">
            <v>4.8730742512077966E-3</v>
          </cell>
          <cell r="M115">
            <v>5155.7125577778488</v>
          </cell>
          <cell r="N115">
            <v>604.6778084960747</v>
          </cell>
          <cell r="O115">
            <v>1468.5080882726543</v>
          </cell>
          <cell r="P115">
            <v>7228.8984545465773</v>
          </cell>
          <cell r="Q115">
            <v>384.90611140361898</v>
          </cell>
          <cell r="R115">
            <v>5540.6186691814673</v>
          </cell>
          <cell r="T115">
            <v>726.05821585017304</v>
          </cell>
          <cell r="V115">
            <v>0</v>
          </cell>
          <cell r="X115">
            <v>726.05821585017304</v>
          </cell>
          <cell r="Y115">
            <v>726.05821585017304</v>
          </cell>
          <cell r="AA115">
            <v>69.900349770243452</v>
          </cell>
          <cell r="AC115">
            <v>0</v>
          </cell>
          <cell r="AE115">
            <v>69.900349770243452</v>
          </cell>
          <cell r="AF115">
            <v>69.900349770243452</v>
          </cell>
          <cell r="AG115">
            <v>7228.8984545465773</v>
          </cell>
          <cell r="AH115">
            <v>0</v>
          </cell>
          <cell r="AI115">
            <v>0</v>
          </cell>
          <cell r="AJ115">
            <v>141858</v>
          </cell>
          <cell r="AK115">
            <v>0</v>
          </cell>
          <cell r="AL115">
            <v>33153</v>
          </cell>
          <cell r="AM115" t="str">
            <v>Zero investment in 2019</v>
          </cell>
          <cell r="AO115">
            <v>7228.8984545465773</v>
          </cell>
          <cell r="AP115">
            <v>0</v>
          </cell>
          <cell r="AQ115">
            <v>7228.8984545465773</v>
          </cell>
          <cell r="AR115">
            <v>726.05821585017304</v>
          </cell>
          <cell r="AS115">
            <v>69.900349770243452</v>
          </cell>
          <cell r="AY115">
            <v>15.180686754547812</v>
          </cell>
          <cell r="AZ115">
            <v>18</v>
          </cell>
          <cell r="BA115">
            <v>35</v>
          </cell>
        </row>
        <row r="116">
          <cell r="A116" t="str">
            <v>8160-01-218</v>
          </cell>
          <cell r="B116" t="str">
            <v>Dror HaCham</v>
          </cell>
          <cell r="C116" t="str">
            <v>022383210</v>
          </cell>
          <cell r="D116">
            <v>520023185</v>
          </cell>
          <cell r="F116" t="str">
            <v>דרורי חכם</v>
          </cell>
          <cell r="G116" t="str">
            <v>III</v>
          </cell>
          <cell r="H116" t="str">
            <v>Phoenix</v>
          </cell>
          <cell r="I116">
            <v>250000</v>
          </cell>
          <cell r="J116">
            <v>3.3881161446756495E-3</v>
          </cell>
          <cell r="K116">
            <v>4.8730742512077966E-3</v>
          </cell>
          <cell r="M116">
            <v>5155.7125577778488</v>
          </cell>
          <cell r="N116">
            <v>604.6778084960747</v>
          </cell>
          <cell r="O116">
            <v>1468.5080882726543</v>
          </cell>
          <cell r="P116">
            <v>7228.8984545465773</v>
          </cell>
          <cell r="Q116">
            <v>384.90611140361898</v>
          </cell>
          <cell r="R116">
            <v>5540.6186691814673</v>
          </cell>
          <cell r="T116">
            <v>726.05821585017304</v>
          </cell>
          <cell r="V116">
            <v>0</v>
          </cell>
          <cell r="X116">
            <v>726.05821585017304</v>
          </cell>
          <cell r="Y116">
            <v>726.05821585017304</v>
          </cell>
          <cell r="AA116">
            <v>69.900349770243452</v>
          </cell>
          <cell r="AC116">
            <v>0</v>
          </cell>
          <cell r="AE116">
            <v>69.900349770243452</v>
          </cell>
          <cell r="AF116">
            <v>69.900349770243452</v>
          </cell>
          <cell r="AG116">
            <v>7228.8984545465773</v>
          </cell>
          <cell r="AH116">
            <v>0</v>
          </cell>
          <cell r="AI116">
            <v>0</v>
          </cell>
          <cell r="AJ116">
            <v>141858</v>
          </cell>
          <cell r="AK116">
            <v>0</v>
          </cell>
          <cell r="AL116">
            <v>33153</v>
          </cell>
          <cell r="AM116" t="str">
            <v>Zero investment in 2019</v>
          </cell>
          <cell r="AO116">
            <v>7228.8984545465773</v>
          </cell>
          <cell r="AP116">
            <v>0</v>
          </cell>
          <cell r="AQ116">
            <v>7228.8984545465773</v>
          </cell>
          <cell r="AR116">
            <v>726.05821585017304</v>
          </cell>
          <cell r="AS116">
            <v>69.900349770243452</v>
          </cell>
          <cell r="AY116">
            <v>15.180686754547812</v>
          </cell>
          <cell r="AZ116">
            <v>18</v>
          </cell>
          <cell r="BA116">
            <v>35</v>
          </cell>
        </row>
        <row r="117">
          <cell r="A117" t="str">
            <v>8160-01-219</v>
          </cell>
          <cell r="B117" t="str">
            <v>Ornit Goren Agmon</v>
          </cell>
          <cell r="C117" t="str">
            <v>057671869</v>
          </cell>
          <cell r="D117">
            <v>57671869</v>
          </cell>
          <cell r="F117" t="str">
            <v>אורנית גורן אגמון</v>
          </cell>
          <cell r="G117" t="str">
            <v>III</v>
          </cell>
          <cell r="I117">
            <v>250000</v>
          </cell>
          <cell r="J117">
            <v>3.3881161446756495E-3</v>
          </cell>
          <cell r="K117">
            <v>4.8730742512077966E-3</v>
          </cell>
          <cell r="M117">
            <v>5155.7125577778488</v>
          </cell>
          <cell r="N117">
            <v>604.6778084960747</v>
          </cell>
          <cell r="O117">
            <v>1468.5080882726543</v>
          </cell>
          <cell r="P117">
            <v>7228.8984545465773</v>
          </cell>
          <cell r="Q117">
            <v>384.90611140361898</v>
          </cell>
          <cell r="R117">
            <v>5540.6186691814673</v>
          </cell>
          <cell r="S117">
            <v>1288.9281394444622</v>
          </cell>
          <cell r="T117">
            <v>726.05821585017304</v>
          </cell>
          <cell r="U117">
            <v>-726.05821585017304</v>
          </cell>
          <cell r="V117">
            <v>562.86992359428916</v>
          </cell>
          <cell r="W117" t="str">
            <v>X</v>
          </cell>
          <cell r="Y117">
            <v>1288.9281394444622</v>
          </cell>
          <cell r="Z117">
            <v>151.16945212401868</v>
          </cell>
          <cell r="AA117">
            <v>69.900349770243452</v>
          </cell>
          <cell r="AB117">
            <v>-69.900349770243452</v>
          </cell>
          <cell r="AC117">
            <v>81.269102353775224</v>
          </cell>
          <cell r="AD117" t="str">
            <v>X</v>
          </cell>
          <cell r="AF117">
            <v>151.16945212401868</v>
          </cell>
          <cell r="AG117">
            <v>6584.7594285985124</v>
          </cell>
          <cell r="AH117">
            <v>0</v>
          </cell>
          <cell r="AI117">
            <v>0</v>
          </cell>
          <cell r="AJ117">
            <v>141858</v>
          </cell>
          <cell r="AK117">
            <v>0</v>
          </cell>
          <cell r="AL117">
            <v>33153</v>
          </cell>
          <cell r="AM117" t="str">
            <v>Zero investment in 2019</v>
          </cell>
          <cell r="AO117">
            <v>7228.8984545465773</v>
          </cell>
          <cell r="AP117">
            <v>644.13902594806439</v>
          </cell>
          <cell r="AQ117">
            <v>6584.7594285985124</v>
          </cell>
          <cell r="AR117">
            <v>1288.9281394444622</v>
          </cell>
          <cell r="AS117">
            <v>151.16945212401868</v>
          </cell>
          <cell r="AY117">
            <v>13.827994800056874</v>
          </cell>
          <cell r="AZ117">
            <v>18</v>
          </cell>
          <cell r="BA117">
            <v>35</v>
          </cell>
        </row>
        <row r="118">
          <cell r="A118" t="str">
            <v>8160-01-220</v>
          </cell>
          <cell r="B118" t="str">
            <v>Ron Segre</v>
          </cell>
          <cell r="C118" t="str">
            <v>027239847</v>
          </cell>
          <cell r="D118">
            <v>27239847</v>
          </cell>
          <cell r="F118" t="str">
            <v>רון סגרה</v>
          </cell>
          <cell r="G118" t="str">
            <v>III</v>
          </cell>
          <cell r="I118">
            <v>250000</v>
          </cell>
          <cell r="J118">
            <v>3.3881161446756495E-3</v>
          </cell>
          <cell r="K118">
            <v>4.8730742512077966E-3</v>
          </cell>
          <cell r="M118">
            <v>5155.7125577778488</v>
          </cell>
          <cell r="N118">
            <v>604.6778084960747</v>
          </cell>
          <cell r="O118">
            <v>1468.5080882726543</v>
          </cell>
          <cell r="P118">
            <v>7228.8984545465773</v>
          </cell>
          <cell r="Q118">
            <v>384.90611140361898</v>
          </cell>
          <cell r="R118">
            <v>5540.6186691814673</v>
          </cell>
          <cell r="S118">
            <v>1288.9281394444622</v>
          </cell>
          <cell r="T118">
            <v>726.05821585017304</v>
          </cell>
          <cell r="U118">
            <v>-726.05821585017304</v>
          </cell>
          <cell r="V118">
            <v>562.86992359428916</v>
          </cell>
          <cell r="W118" t="str">
            <v>X</v>
          </cell>
          <cell r="Y118">
            <v>1288.9281394444622</v>
          </cell>
          <cell r="Z118">
            <v>151.16945212401868</v>
          </cell>
          <cell r="AA118">
            <v>69.900349770243452</v>
          </cell>
          <cell r="AB118">
            <v>-69.900349770243452</v>
          </cell>
          <cell r="AC118">
            <v>81.269102353775224</v>
          </cell>
          <cell r="AD118" t="str">
            <v>X</v>
          </cell>
          <cell r="AF118">
            <v>151.16945212401868</v>
          </cell>
          <cell r="AG118">
            <v>6584.7594285985124</v>
          </cell>
          <cell r="AH118">
            <v>0</v>
          </cell>
          <cell r="AI118">
            <v>0</v>
          </cell>
          <cell r="AJ118">
            <v>141858</v>
          </cell>
          <cell r="AK118">
            <v>0</v>
          </cell>
          <cell r="AL118">
            <v>33153</v>
          </cell>
          <cell r="AM118" t="str">
            <v>Zero investment in 2019</v>
          </cell>
          <cell r="AO118">
            <v>7228.8984545465773</v>
          </cell>
          <cell r="AP118">
            <v>644.13902594806439</v>
          </cell>
          <cell r="AQ118">
            <v>6584.7594285985124</v>
          </cell>
          <cell r="AR118">
            <v>1288.9281394444622</v>
          </cell>
          <cell r="AS118">
            <v>151.16945212401868</v>
          </cell>
          <cell r="AT118" t="str">
            <v>לא מקבלים כסף</v>
          </cell>
          <cell r="AY118">
            <v>13.827994800056874</v>
          </cell>
          <cell r="AZ118">
            <v>18</v>
          </cell>
          <cell r="BA118">
            <v>35</v>
          </cell>
        </row>
        <row r="119">
          <cell r="A119" t="str">
            <v>8160-01-221</v>
          </cell>
          <cell r="B119" t="str">
            <v>Shmuel (Muli) Ben Zvi</v>
          </cell>
          <cell r="C119" t="str">
            <v>056231475</v>
          </cell>
          <cell r="D119">
            <v>56231475</v>
          </cell>
          <cell r="F119" t="str">
            <v>שמואל בן צבי</v>
          </cell>
          <cell r="G119" t="str">
            <v>III</v>
          </cell>
          <cell r="I119">
            <v>150000</v>
          </cell>
          <cell r="J119">
            <v>2.0328696868053896E-3</v>
          </cell>
          <cell r="K119">
            <v>2.9238445507246778E-3</v>
          </cell>
          <cell r="M119">
            <v>3093.4275346667091</v>
          </cell>
          <cell r="N119">
            <v>362.80668509764479</v>
          </cell>
          <cell r="O119">
            <v>881.10485296359241</v>
          </cell>
          <cell r="P119">
            <v>4337.3390727279466</v>
          </cell>
          <cell r="Q119">
            <v>230.94366684217135</v>
          </cell>
          <cell r="R119">
            <v>3324.3712015088804</v>
          </cell>
          <cell r="S119">
            <v>773.35688366667728</v>
          </cell>
          <cell r="T119">
            <v>435.6349295101038</v>
          </cell>
          <cell r="U119">
            <v>-435.6349295101038</v>
          </cell>
          <cell r="V119">
            <v>337.72195415657347</v>
          </cell>
          <cell r="W119" t="str">
            <v>X</v>
          </cell>
          <cell r="Y119">
            <v>773.35688366667728</v>
          </cell>
          <cell r="Z119">
            <v>90.701671274411197</v>
          </cell>
          <cell r="AA119">
            <v>41.940209862146069</v>
          </cell>
          <cell r="AB119">
            <v>-41.940209862146069</v>
          </cell>
          <cell r="AC119">
            <v>48.761461412265128</v>
          </cell>
          <cell r="AD119" t="str">
            <v>X</v>
          </cell>
          <cell r="AF119">
            <v>90.701671274411197</v>
          </cell>
          <cell r="AG119">
            <v>3950.855657159108</v>
          </cell>
          <cell r="AH119">
            <v>0</v>
          </cell>
          <cell r="AI119">
            <v>0</v>
          </cell>
          <cell r="AJ119">
            <v>85115</v>
          </cell>
          <cell r="AK119">
            <v>0</v>
          </cell>
          <cell r="AL119">
            <v>19889.5</v>
          </cell>
          <cell r="AM119" t="str">
            <v>Zero investment in 2019</v>
          </cell>
          <cell r="AO119">
            <v>4337.3390727279466</v>
          </cell>
          <cell r="AP119">
            <v>386.48341556883861</v>
          </cell>
          <cell r="AQ119">
            <v>3950.855657159108</v>
          </cell>
          <cell r="AR119">
            <v>773.35688366667728</v>
          </cell>
          <cell r="AS119">
            <v>90.701671274411197</v>
          </cell>
          <cell r="AY119">
            <v>8.2967968800341261</v>
          </cell>
          <cell r="AZ119">
            <v>18</v>
          </cell>
          <cell r="BA119">
            <v>35</v>
          </cell>
        </row>
        <row r="120">
          <cell r="A120" t="str">
            <v>8160-01-222</v>
          </cell>
          <cell r="B120" t="str">
            <v>Nihshei Mishpahat Spivak</v>
          </cell>
          <cell r="C120">
            <v>512359852</v>
          </cell>
          <cell r="D120">
            <v>512359852</v>
          </cell>
          <cell r="E120" t="str">
            <v>Nihshei Mishpahat Spivak</v>
          </cell>
          <cell r="F120" t="str">
            <v>נכסי משפחת ספיבק בע"מ</v>
          </cell>
          <cell r="G120" t="str">
            <v>III</v>
          </cell>
          <cell r="I120">
            <v>250000</v>
          </cell>
          <cell r="J120">
            <v>3.3881161446756495E-3</v>
          </cell>
          <cell r="K120">
            <v>4.8730742512077966E-3</v>
          </cell>
          <cell r="M120">
            <v>5155.7125577778488</v>
          </cell>
          <cell r="N120">
            <v>604.6778084960747</v>
          </cell>
          <cell r="O120">
            <v>1468.5080882726543</v>
          </cell>
          <cell r="P120">
            <v>7228.8984545465773</v>
          </cell>
          <cell r="Q120">
            <v>384.90611140361898</v>
          </cell>
          <cell r="R120">
            <v>5540.6186691814673</v>
          </cell>
          <cell r="T120">
            <v>726.05821585017304</v>
          </cell>
          <cell r="V120">
            <v>0</v>
          </cell>
          <cell r="W120" t="str">
            <v>V</v>
          </cell>
          <cell r="Y120">
            <v>726.05821585017304</v>
          </cell>
          <cell r="AA120">
            <v>69.900349770243452</v>
          </cell>
          <cell r="AC120">
            <v>0</v>
          </cell>
          <cell r="AD120" t="str">
            <v>V</v>
          </cell>
          <cell r="AF120">
            <v>69.900349770243452</v>
          </cell>
          <cell r="AG120">
            <v>7228.8984545465773</v>
          </cell>
          <cell r="AH120">
            <v>0</v>
          </cell>
          <cell r="AI120">
            <v>0</v>
          </cell>
          <cell r="AJ120">
            <v>141858</v>
          </cell>
          <cell r="AK120">
            <v>0</v>
          </cell>
          <cell r="AL120">
            <v>33153</v>
          </cell>
          <cell r="AM120" t="str">
            <v>Zero investment in 2019</v>
          </cell>
          <cell r="AO120">
            <v>7228.8984545465773</v>
          </cell>
          <cell r="AP120">
            <v>0</v>
          </cell>
          <cell r="AQ120">
            <v>7228.8984545465773</v>
          </cell>
          <cell r="AR120">
            <v>726.05821585017304</v>
          </cell>
          <cell r="AS120">
            <v>69.900349770243452</v>
          </cell>
          <cell r="AY120">
            <v>15.180686754547812</v>
          </cell>
          <cell r="AZ120">
            <v>18</v>
          </cell>
          <cell r="BA120">
            <v>35</v>
          </cell>
        </row>
        <row r="121">
          <cell r="A121" t="str">
            <v>8160-01-223</v>
          </cell>
          <cell r="B121" t="str">
            <v>Uri Mishol</v>
          </cell>
          <cell r="C121" t="str">
            <v>033452475</v>
          </cell>
          <cell r="D121">
            <v>33452475</v>
          </cell>
          <cell r="F121" t="str">
            <v>אורי משעול</v>
          </cell>
          <cell r="G121" t="str">
            <v>III</v>
          </cell>
          <cell r="I121">
            <v>300000</v>
          </cell>
          <cell r="J121">
            <v>4.0657393736107791E-3</v>
          </cell>
          <cell r="K121">
            <v>5.8476891014493555E-3</v>
          </cell>
          <cell r="M121">
            <v>6186.8550693334182</v>
          </cell>
          <cell r="N121">
            <v>725.61337019528958</v>
          </cell>
          <cell r="O121">
            <v>1762.2097059271848</v>
          </cell>
          <cell r="P121">
            <v>8674.6781454558932</v>
          </cell>
          <cell r="Q121">
            <v>461.88733368434271</v>
          </cell>
          <cell r="R121">
            <v>6648.7424030177608</v>
          </cell>
          <cell r="S121">
            <v>1546.7137673333546</v>
          </cell>
          <cell r="T121">
            <v>871.2698590202076</v>
          </cell>
          <cell r="U121">
            <v>-871.2698590202076</v>
          </cell>
          <cell r="V121">
            <v>675.44390831314695</v>
          </cell>
          <cell r="W121" t="str">
            <v>ע"פ תקנות'</v>
          </cell>
          <cell r="Y121">
            <v>1546.7137673333546</v>
          </cell>
          <cell r="Z121">
            <v>181.40334254882239</v>
          </cell>
          <cell r="AA121">
            <v>83.880419724292139</v>
          </cell>
          <cell r="AB121">
            <v>-83.880419724292139</v>
          </cell>
          <cell r="AC121">
            <v>97.522922824530255</v>
          </cell>
          <cell r="AD121" t="str">
            <v>ע"פ תקנות'</v>
          </cell>
          <cell r="AF121">
            <v>181.40334254882239</v>
          </cell>
          <cell r="AG121">
            <v>7901.711314318216</v>
          </cell>
          <cell r="AH121">
            <v>0</v>
          </cell>
          <cell r="AI121">
            <v>0</v>
          </cell>
          <cell r="AJ121">
            <v>170230</v>
          </cell>
          <cell r="AK121">
            <v>0</v>
          </cell>
          <cell r="AL121">
            <v>39784</v>
          </cell>
          <cell r="AM121" t="str">
            <v>Zero investment in 2019</v>
          </cell>
          <cell r="AO121">
            <v>8674.6781454558932</v>
          </cell>
          <cell r="AP121">
            <v>772.96683113767722</v>
          </cell>
          <cell r="AQ121">
            <v>7901.711314318216</v>
          </cell>
          <cell r="AR121">
            <v>1546.7137673333546</v>
          </cell>
          <cell r="AS121">
            <v>181.40334254882239</v>
          </cell>
          <cell r="AY121">
            <v>16.593593760068252</v>
          </cell>
          <cell r="AZ121">
            <v>18</v>
          </cell>
          <cell r="BA121">
            <v>35</v>
          </cell>
        </row>
        <row r="122">
          <cell r="A122" t="str">
            <v>8160-01-224</v>
          </cell>
          <cell r="B122" t="str">
            <v>Yochai Tiroche</v>
          </cell>
          <cell r="C122" t="str">
            <v>051033256</v>
          </cell>
          <cell r="D122">
            <v>51033256</v>
          </cell>
          <cell r="F122" t="str">
            <v>יוחאי תירוש</v>
          </cell>
          <cell r="G122" t="str">
            <v>III</v>
          </cell>
          <cell r="I122">
            <v>400000</v>
          </cell>
          <cell r="J122">
            <v>5.4209858314810391E-3</v>
          </cell>
          <cell r="K122">
            <v>7.7969188019324743E-3</v>
          </cell>
          <cell r="M122">
            <v>8249.140092444557</v>
          </cell>
          <cell r="N122">
            <v>967.48449359371944</v>
          </cell>
          <cell r="O122">
            <v>2349.6129412362466</v>
          </cell>
          <cell r="P122">
            <v>11566.237527274523</v>
          </cell>
          <cell r="Q122">
            <v>615.84977824579028</v>
          </cell>
          <cell r="R122">
            <v>8864.9898706903477</v>
          </cell>
          <cell r="S122">
            <v>2062.2850231111393</v>
          </cell>
          <cell r="T122">
            <v>1161.6931453602767</v>
          </cell>
          <cell r="U122">
            <v>-1161.6931453602767</v>
          </cell>
          <cell r="V122">
            <v>900.59187775086252</v>
          </cell>
          <cell r="W122" t="str">
            <v>ע"פ תקנות'</v>
          </cell>
          <cell r="Y122">
            <v>2062.2850231111393</v>
          </cell>
          <cell r="Z122">
            <v>241.87112339842986</v>
          </cell>
          <cell r="AA122">
            <v>111.84055963238953</v>
          </cell>
          <cell r="AB122">
            <v>-111.84055963238953</v>
          </cell>
          <cell r="AC122">
            <v>130.03056376604033</v>
          </cell>
          <cell r="AD122" t="str">
            <v>ע"פ תקנות'</v>
          </cell>
          <cell r="AF122">
            <v>241.87112339842986</v>
          </cell>
          <cell r="AG122">
            <v>10535.615085757619</v>
          </cell>
          <cell r="AH122">
            <v>0</v>
          </cell>
          <cell r="AI122">
            <v>0</v>
          </cell>
          <cell r="AJ122">
            <v>226973</v>
          </cell>
          <cell r="AK122">
            <v>0</v>
          </cell>
          <cell r="AL122">
            <v>53045</v>
          </cell>
          <cell r="AM122" t="str">
            <v>Zero investment in 2019</v>
          </cell>
          <cell r="AO122">
            <v>11566.237527274523</v>
          </cell>
          <cell r="AP122">
            <v>1030.6224415169029</v>
          </cell>
          <cell r="AQ122">
            <v>10535.615085757619</v>
          </cell>
          <cell r="AR122">
            <v>2062.2850231111393</v>
          </cell>
          <cell r="AS122">
            <v>241.87112339842986</v>
          </cell>
          <cell r="AY122">
            <v>22.124791680091001</v>
          </cell>
          <cell r="AZ122">
            <v>22.124791680091001</v>
          </cell>
          <cell r="BA122">
            <v>35</v>
          </cell>
        </row>
        <row r="123">
          <cell r="A123" t="str">
            <v>8160-01-225</v>
          </cell>
          <cell r="B123" t="str">
            <v>Aki Ratner</v>
          </cell>
          <cell r="C123" t="str">
            <v>054040977</v>
          </cell>
          <cell r="D123">
            <v>54040977</v>
          </cell>
          <cell r="F123" t="str">
            <v>יצחק איזיק רטנר</v>
          </cell>
          <cell r="G123" t="str">
            <v>IV</v>
          </cell>
          <cell r="I123">
            <v>250000</v>
          </cell>
          <cell r="J123">
            <v>3.3881161446756495E-3</v>
          </cell>
          <cell r="L123">
            <v>1.11185234600845E-2</v>
          </cell>
          <cell r="M123">
            <v>0</v>
          </cell>
          <cell r="N123">
            <v>5760.3903662739222</v>
          </cell>
          <cell r="O123">
            <v>1468.5080882726554</v>
          </cell>
          <cell r="P123">
            <v>7228.8984545465773</v>
          </cell>
          <cell r="Y123">
            <v>0</v>
          </cell>
          <cell r="Z123">
            <v>1440.0975915684805</v>
          </cell>
          <cell r="AA123">
            <v>665.89726918728456</v>
          </cell>
          <cell r="AB123">
            <v>-665.89726918728456</v>
          </cell>
          <cell r="AC123">
            <v>774.20032238119597</v>
          </cell>
          <cell r="AD123" t="str">
            <v>X</v>
          </cell>
          <cell r="AF123">
            <v>1440.0975915684805</v>
          </cell>
          <cell r="AG123">
            <v>6454.6981321653811</v>
          </cell>
          <cell r="AH123">
            <v>0</v>
          </cell>
          <cell r="AI123">
            <v>0</v>
          </cell>
          <cell r="AJ123">
            <v>0</v>
          </cell>
          <cell r="AK123">
            <v>141858</v>
          </cell>
          <cell r="AL123">
            <v>33153</v>
          </cell>
          <cell r="AM123" t="str">
            <v>Zero investment in 2019</v>
          </cell>
          <cell r="AO123">
            <v>7228.8984545465773</v>
          </cell>
          <cell r="AP123">
            <v>774.20032238119597</v>
          </cell>
          <cell r="AQ123">
            <v>6454.6981321653811</v>
          </cell>
          <cell r="AR123">
            <v>0</v>
          </cell>
          <cell r="AS123">
            <v>1440.0975915684805</v>
          </cell>
          <cell r="AY123">
            <v>13.554866077547299</v>
          </cell>
          <cell r="AZ123">
            <v>18</v>
          </cell>
          <cell r="BA123">
            <v>35</v>
          </cell>
        </row>
        <row r="124">
          <cell r="A124" t="str">
            <v>8160-01-226</v>
          </cell>
          <cell r="B124" t="str">
            <v>Amos &amp; Gili Weizman</v>
          </cell>
          <cell r="C124" t="str">
            <v>Amos - '008128910
Gili - '053387239</v>
          </cell>
          <cell r="D124" t="str">
            <v>Amos - '008128910
Gili - '053387239</v>
          </cell>
          <cell r="F124" t="str">
            <v>עמוס זוסיא ויצמן וגילי ויצמן עפרון</v>
          </cell>
          <cell r="G124" t="str">
            <v>IV</v>
          </cell>
          <cell r="I124">
            <v>250000</v>
          </cell>
          <cell r="J124">
            <v>3.3881161446756495E-3</v>
          </cell>
          <cell r="L124">
            <v>1.11185234600845E-2</v>
          </cell>
          <cell r="M124">
            <v>0</v>
          </cell>
          <cell r="N124">
            <v>5760.3903662739222</v>
          </cell>
          <cell r="O124">
            <v>1468.5080882726554</v>
          </cell>
          <cell r="P124">
            <v>7228.8984545465773</v>
          </cell>
          <cell r="Y124">
            <v>0</v>
          </cell>
          <cell r="Z124">
            <v>1440.0975915684805</v>
          </cell>
          <cell r="AA124">
            <v>665.89726918728456</v>
          </cell>
          <cell r="AB124">
            <v>-665.89726918728456</v>
          </cell>
          <cell r="AC124">
            <v>774.20032238119597</v>
          </cell>
          <cell r="AD124" t="str">
            <v>X</v>
          </cell>
          <cell r="AF124">
            <v>1440.0975915684805</v>
          </cell>
          <cell r="AG124">
            <v>6454.6981321653811</v>
          </cell>
          <cell r="AH124">
            <v>0</v>
          </cell>
          <cell r="AI124">
            <v>0</v>
          </cell>
          <cell r="AJ124">
            <v>0</v>
          </cell>
          <cell r="AK124">
            <v>141855.5</v>
          </cell>
          <cell r="AL124">
            <v>33150.5</v>
          </cell>
          <cell r="AM124" t="str">
            <v>Zero investment in 2019</v>
          </cell>
          <cell r="AO124">
            <v>7228.8984545465773</v>
          </cell>
          <cell r="AP124">
            <v>774.20032238119597</v>
          </cell>
          <cell r="AQ124">
            <v>6454.6981321653811</v>
          </cell>
          <cell r="AR124">
            <v>0</v>
          </cell>
          <cell r="AS124">
            <v>1440.0975915684805</v>
          </cell>
          <cell r="AY124">
            <v>13.554866077547299</v>
          </cell>
          <cell r="AZ124">
            <v>18</v>
          </cell>
          <cell r="BA124">
            <v>35</v>
          </cell>
        </row>
        <row r="125">
          <cell r="A125" t="str">
            <v>8160-01-227</v>
          </cell>
          <cell r="B125" t="str">
            <v>Ben Zion Zilberfarb</v>
          </cell>
          <cell r="C125" t="str">
            <v>030134605</v>
          </cell>
          <cell r="D125">
            <v>30134605</v>
          </cell>
          <cell r="F125" t="str">
            <v>בן ציון זילברפארב</v>
          </cell>
          <cell r="G125" t="str">
            <v>IV</v>
          </cell>
          <cell r="I125">
            <v>250000</v>
          </cell>
          <cell r="J125">
            <v>3.3881161446756495E-3</v>
          </cell>
          <cell r="L125">
            <v>1.11185234600845E-2</v>
          </cell>
          <cell r="M125">
            <v>0</v>
          </cell>
          <cell r="N125">
            <v>5760.3903662739222</v>
          </cell>
          <cell r="O125">
            <v>1468.5080882726554</v>
          </cell>
          <cell r="P125">
            <v>7228.8984545465773</v>
          </cell>
          <cell r="Y125">
            <v>0</v>
          </cell>
          <cell r="Z125">
            <v>1440.0975915684805</v>
          </cell>
          <cell r="AA125">
            <v>665.89726918728456</v>
          </cell>
          <cell r="AB125">
            <v>-665.89726918728456</v>
          </cell>
          <cell r="AC125">
            <v>774.20032238119597</v>
          </cell>
          <cell r="AD125" t="str">
            <v>ע"פ תקנות'</v>
          </cell>
          <cell r="AF125">
            <v>1440.0975915684805</v>
          </cell>
          <cell r="AG125">
            <v>6454.6981321653811</v>
          </cell>
          <cell r="AH125">
            <v>0</v>
          </cell>
          <cell r="AI125">
            <v>0</v>
          </cell>
          <cell r="AJ125">
            <v>0</v>
          </cell>
          <cell r="AK125">
            <v>141858</v>
          </cell>
          <cell r="AL125">
            <v>33150.5</v>
          </cell>
          <cell r="AM125" t="str">
            <v>Zero investment in 2019</v>
          </cell>
          <cell r="AO125">
            <v>7228.8984545465773</v>
          </cell>
          <cell r="AP125">
            <v>774.20032238119597</v>
          </cell>
          <cell r="AQ125">
            <v>6454.6981321653811</v>
          </cell>
          <cell r="AS125">
            <v>1440.0975915684805</v>
          </cell>
          <cell r="AY125">
            <v>13.554866077547299</v>
          </cell>
          <cell r="AZ125">
            <v>18</v>
          </cell>
          <cell r="BA125">
            <v>35</v>
          </cell>
        </row>
        <row r="126">
          <cell r="A126" t="str">
            <v>8160-01-228</v>
          </cell>
          <cell r="B126" t="str">
            <v>D. Pasternak Managment and Holdings LTD</v>
          </cell>
          <cell r="C126">
            <v>515305746</v>
          </cell>
          <cell r="D126">
            <v>515305746</v>
          </cell>
          <cell r="E126" t="str">
            <v>D. Pasternak Managment and Holdings LTD</v>
          </cell>
          <cell r="F126" t="str">
            <v>ד. פסטרנק ניהול ואחזקות בע"מ</v>
          </cell>
          <cell r="G126" t="str">
            <v>IV</v>
          </cell>
          <cell r="I126">
            <v>250000</v>
          </cell>
          <cell r="J126">
            <v>3.3881161446756495E-3</v>
          </cell>
          <cell r="L126">
            <v>1.11185234600845E-2</v>
          </cell>
          <cell r="M126">
            <v>0</v>
          </cell>
          <cell r="N126">
            <v>5760.3903662739222</v>
          </cell>
          <cell r="O126">
            <v>1468.5080882726554</v>
          </cell>
          <cell r="P126">
            <v>7228.8984545465773</v>
          </cell>
          <cell r="X126">
            <v>0</v>
          </cell>
          <cell r="Y126">
            <v>0</v>
          </cell>
          <cell r="AA126">
            <v>665.89726918728456</v>
          </cell>
          <cell r="AD126" t="str">
            <v>V</v>
          </cell>
          <cell r="AE126">
            <v>665.89726918728456</v>
          </cell>
          <cell r="AF126">
            <v>665.89726918728456</v>
          </cell>
          <cell r="AG126">
            <v>7228.8984545465773</v>
          </cell>
          <cell r="AH126" t="e">
            <v>#N/A</v>
          </cell>
          <cell r="AI126" t="e">
            <v>#N/A</v>
          </cell>
          <cell r="AJ126" t="e">
            <v>#N/A</v>
          </cell>
          <cell r="AK126" t="e">
            <v>#N/A</v>
          </cell>
          <cell r="AL126" t="e">
            <v>#N/A</v>
          </cell>
          <cell r="AM126" t="str">
            <v>Zero investment in 2019</v>
          </cell>
          <cell r="AO126">
            <v>7228.8984545465773</v>
          </cell>
          <cell r="AP126">
            <v>0</v>
          </cell>
          <cell r="AQ126">
            <v>7228.8984545465773</v>
          </cell>
          <cell r="AS126">
            <v>665.89726918728456</v>
          </cell>
          <cell r="AY126">
            <v>15.180686754547812</v>
          </cell>
          <cell r="AZ126">
            <v>18</v>
          </cell>
          <cell r="BA126">
            <v>35</v>
          </cell>
        </row>
        <row r="127">
          <cell r="A127" t="str">
            <v>8160-01-229</v>
          </cell>
          <cell r="B127" t="str">
            <v>Doron &amp; Yaffa Shalit</v>
          </cell>
          <cell r="C127" t="str">
            <v>Doron - 053971701
Yaffa - 054237763</v>
          </cell>
          <cell r="D127" t="str">
            <v>Doron - 053971701
Yaffa - 054237763</v>
          </cell>
          <cell r="F127" t="str">
            <v>דורון שליט ויפה שליט</v>
          </cell>
          <cell r="G127" t="str">
            <v>IV</v>
          </cell>
          <cell r="I127">
            <v>250000</v>
          </cell>
          <cell r="J127">
            <v>3.3881161446756495E-3</v>
          </cell>
          <cell r="L127">
            <v>1.11185234600845E-2</v>
          </cell>
          <cell r="M127">
            <v>0</v>
          </cell>
          <cell r="N127">
            <v>5760.3903662739222</v>
          </cell>
          <cell r="O127">
            <v>1468.5080882726554</v>
          </cell>
          <cell r="P127">
            <v>7228.8984545465773</v>
          </cell>
          <cell r="Y127">
            <v>0</v>
          </cell>
          <cell r="Z127">
            <v>1440.0975915684805</v>
          </cell>
          <cell r="AA127">
            <v>665.89726918728456</v>
          </cell>
          <cell r="AB127">
            <v>-665.89726918728456</v>
          </cell>
          <cell r="AC127">
            <v>774.20032238119597</v>
          </cell>
          <cell r="AD127" t="str">
            <v>ע"פ תקנות'</v>
          </cell>
          <cell r="AF127">
            <v>1440.0975915684805</v>
          </cell>
          <cell r="AG127">
            <v>6454.6981321653811</v>
          </cell>
          <cell r="AH127">
            <v>0</v>
          </cell>
          <cell r="AI127">
            <v>0</v>
          </cell>
          <cell r="AJ127">
            <v>0</v>
          </cell>
          <cell r="AK127">
            <v>141858</v>
          </cell>
          <cell r="AL127">
            <v>33153</v>
          </cell>
          <cell r="AM127" t="str">
            <v>Zero investment in 2019</v>
          </cell>
          <cell r="AO127">
            <v>7228.8984545465773</v>
          </cell>
          <cell r="AP127">
            <v>774.20032238119597</v>
          </cell>
          <cell r="AQ127">
            <v>6454.6981321653811</v>
          </cell>
          <cell r="AS127">
            <v>1440.0975915684805</v>
          </cell>
          <cell r="AY127">
            <v>13.554866077547299</v>
          </cell>
          <cell r="AZ127">
            <v>18</v>
          </cell>
          <cell r="BA127">
            <v>35</v>
          </cell>
        </row>
        <row r="128">
          <cell r="A128" t="str">
            <v>8160-01-230</v>
          </cell>
          <cell r="B128" t="str">
            <v>Eran Brener</v>
          </cell>
          <cell r="C128" t="str">
            <v>027310887</v>
          </cell>
          <cell r="D128">
            <v>27310887</v>
          </cell>
          <cell r="F128" t="str">
            <v>ערן יוחנן ברנר</v>
          </cell>
          <cell r="G128" t="str">
            <v>IV</v>
          </cell>
          <cell r="I128">
            <v>150000</v>
          </cell>
          <cell r="J128">
            <v>2.0328696868053896E-3</v>
          </cell>
          <cell r="L128">
            <v>6.6711140760507001E-3</v>
          </cell>
          <cell r="M128">
            <v>0</v>
          </cell>
          <cell r="N128">
            <v>3456.2342197643529</v>
          </cell>
          <cell r="O128">
            <v>881.10485296359332</v>
          </cell>
          <cell r="P128">
            <v>4337.3390727279466</v>
          </cell>
          <cell r="Y128">
            <v>0</v>
          </cell>
          <cell r="Z128">
            <v>864.05855494108823</v>
          </cell>
          <cell r="AA128">
            <v>399.53836151237073</v>
          </cell>
          <cell r="AB128">
            <v>-399.53836151237073</v>
          </cell>
          <cell r="AC128">
            <v>464.5201934287175</v>
          </cell>
          <cell r="AD128" t="str">
            <v>ע"פ תקנות'</v>
          </cell>
          <cell r="AF128">
            <v>864.05855494108823</v>
          </cell>
          <cell r="AG128">
            <v>3872.8188792992291</v>
          </cell>
          <cell r="AH128">
            <v>0</v>
          </cell>
          <cell r="AI128">
            <v>0</v>
          </cell>
          <cell r="AJ128">
            <v>0</v>
          </cell>
          <cell r="AK128">
            <v>85115</v>
          </cell>
          <cell r="AL128">
            <v>19892</v>
          </cell>
          <cell r="AM128" t="str">
            <v>Zero investment in 2019</v>
          </cell>
          <cell r="AO128">
            <v>4337.3390727279466</v>
          </cell>
          <cell r="AP128">
            <v>464.5201934287175</v>
          </cell>
          <cell r="AQ128">
            <v>3872.8188792992291</v>
          </cell>
          <cell r="AS128">
            <v>864.05855494108823</v>
          </cell>
          <cell r="AY128">
            <v>8.1329196465283804</v>
          </cell>
          <cell r="AZ128">
            <v>18</v>
          </cell>
          <cell r="BA128">
            <v>35</v>
          </cell>
        </row>
        <row r="129">
          <cell r="A129" t="str">
            <v>8160-01-231</v>
          </cell>
          <cell r="B129" t="str">
            <v>Gad Graff</v>
          </cell>
          <cell r="C129" t="str">
            <v>057520074</v>
          </cell>
          <cell r="D129">
            <v>57520074</v>
          </cell>
          <cell r="F129" t="str">
            <v>גד גרף</v>
          </cell>
          <cell r="G129" t="str">
            <v>IV</v>
          </cell>
          <cell r="I129">
            <v>200000</v>
          </cell>
          <cell r="J129">
            <v>2.7104929157405195E-3</v>
          </cell>
          <cell r="L129">
            <v>8.8948187680676014E-3</v>
          </cell>
          <cell r="M129">
            <v>0</v>
          </cell>
          <cell r="N129">
            <v>4608.3122930191385</v>
          </cell>
          <cell r="O129">
            <v>1174.8064706181244</v>
          </cell>
          <cell r="P129">
            <v>5783.1187636372633</v>
          </cell>
          <cell r="Y129">
            <v>0</v>
          </cell>
          <cell r="Z129">
            <v>1152.0780732547846</v>
          </cell>
          <cell r="AA129">
            <v>532.71781534982767</v>
          </cell>
          <cell r="AB129">
            <v>-532.71781534982767</v>
          </cell>
          <cell r="AC129">
            <v>619.36025790495694</v>
          </cell>
          <cell r="AD129" t="str">
            <v>X</v>
          </cell>
          <cell r="AF129">
            <v>1152.0780732547846</v>
          </cell>
          <cell r="AG129">
            <v>5163.7585057323067</v>
          </cell>
          <cell r="AH129">
            <v>0</v>
          </cell>
          <cell r="AI129">
            <v>0</v>
          </cell>
          <cell r="AJ129">
            <v>0</v>
          </cell>
          <cell r="AK129">
            <v>113487</v>
          </cell>
          <cell r="AL129">
            <v>26522</v>
          </cell>
          <cell r="AM129" t="str">
            <v>Zero investment in 2019</v>
          </cell>
          <cell r="AO129">
            <v>5783.1187636372633</v>
          </cell>
          <cell r="AP129">
            <v>619.36025790495694</v>
          </cell>
          <cell r="AQ129">
            <v>5163.7585057323067</v>
          </cell>
          <cell r="AS129">
            <v>1152.0780732547846</v>
          </cell>
          <cell r="AY129">
            <v>10.843892862037844</v>
          </cell>
          <cell r="AZ129">
            <v>18</v>
          </cell>
          <cell r="BA129">
            <v>35</v>
          </cell>
        </row>
        <row r="130">
          <cell r="A130" t="str">
            <v>8160-01-232</v>
          </cell>
          <cell r="B130" t="str">
            <v>Tamar &amp; Shimon Gesundheit</v>
          </cell>
          <cell r="C130" t="str">
            <v>Tamar - 012426821
Shimon - 014762710</v>
          </cell>
          <cell r="D130" t="str">
            <v>Tamar - 012426821
Shimon - 014762710</v>
          </cell>
          <cell r="F130" t="str">
            <v>תמר גזונדהייט ושמעון גזונדהייט</v>
          </cell>
          <cell r="G130" t="str">
            <v>IV</v>
          </cell>
          <cell r="I130">
            <v>1500000</v>
          </cell>
          <cell r="J130">
            <v>2.0328696868053896E-2</v>
          </cell>
          <cell r="L130">
            <v>6.6711140760507007E-2</v>
          </cell>
          <cell r="M130">
            <v>0</v>
          </cell>
          <cell r="N130">
            <v>34562.342197643535</v>
          </cell>
          <cell r="O130">
            <v>8811.0485296359329</v>
          </cell>
          <cell r="P130">
            <v>43373.390727279468</v>
          </cell>
          <cell r="Y130">
            <v>0</v>
          </cell>
          <cell r="Z130">
            <v>8640.5855494108837</v>
          </cell>
          <cell r="AA130">
            <v>3995.3836151237074</v>
          </cell>
          <cell r="AB130">
            <v>-3995.3836151237074</v>
          </cell>
          <cell r="AC130">
            <v>4645.2019342871763</v>
          </cell>
          <cell r="AD130" t="str">
            <v>ע"פ תקנות'</v>
          </cell>
          <cell r="AF130">
            <v>8640.5855494108837</v>
          </cell>
          <cell r="AG130">
            <v>38728.188792992289</v>
          </cell>
          <cell r="AH130">
            <v>0</v>
          </cell>
          <cell r="AI130">
            <v>0</v>
          </cell>
          <cell r="AJ130">
            <v>0</v>
          </cell>
          <cell r="AK130">
            <v>851147.5</v>
          </cell>
          <cell r="AL130">
            <v>198918</v>
          </cell>
          <cell r="AM130" t="str">
            <v>Zero investment in 2019</v>
          </cell>
          <cell r="AO130">
            <v>43373.390727279468</v>
          </cell>
          <cell r="AP130">
            <v>4645.2019342871763</v>
          </cell>
          <cell r="AQ130">
            <v>38728.188792992289</v>
          </cell>
          <cell r="AS130">
            <v>8640.5855494108837</v>
          </cell>
          <cell r="AY130">
            <v>81.3291964652838</v>
          </cell>
          <cell r="AZ130">
            <v>81.3291964652838</v>
          </cell>
          <cell r="BA130">
            <v>35</v>
          </cell>
        </row>
        <row r="131">
          <cell r="A131" t="str">
            <v>8160-01-233</v>
          </cell>
          <cell r="B131" t="str">
            <v>Harlap Holdings LTD</v>
          </cell>
          <cell r="C131">
            <v>513262063</v>
          </cell>
          <cell r="D131">
            <v>513262063</v>
          </cell>
          <cell r="E131" t="str">
            <v>Harlap Holdings LTD</v>
          </cell>
          <cell r="F131" t="str">
            <v>חרל"פ אחזקות בע"מ</v>
          </cell>
          <cell r="G131" t="str">
            <v>IV</v>
          </cell>
          <cell r="I131">
            <v>280000</v>
          </cell>
          <cell r="J131">
            <v>3.7946900820367271E-3</v>
          </cell>
          <cell r="L131">
            <v>1.245274627529464E-2</v>
          </cell>
          <cell r="M131">
            <v>0</v>
          </cell>
          <cell r="N131">
            <v>6451.6372102267924</v>
          </cell>
          <cell r="O131">
            <v>1644.7290588653741</v>
          </cell>
          <cell r="P131">
            <v>8096.3662690921665</v>
          </cell>
          <cell r="X131">
            <v>0</v>
          </cell>
          <cell r="Y131">
            <v>0</v>
          </cell>
          <cell r="AA131">
            <v>745.80494148975868</v>
          </cell>
          <cell r="AD131" t="str">
            <v>V</v>
          </cell>
          <cell r="AE131">
            <v>745.80494148975868</v>
          </cell>
          <cell r="AF131">
            <v>745.80494148975868</v>
          </cell>
          <cell r="AG131">
            <v>8096.3662690921665</v>
          </cell>
          <cell r="AH131" t="e">
            <v>#N/A</v>
          </cell>
          <cell r="AI131" t="e">
            <v>#N/A</v>
          </cell>
          <cell r="AJ131" t="e">
            <v>#N/A</v>
          </cell>
          <cell r="AK131" t="e">
            <v>#N/A</v>
          </cell>
          <cell r="AL131" t="e">
            <v>#N/A</v>
          </cell>
          <cell r="AM131" t="str">
            <v>Zero investment in 2019</v>
          </cell>
          <cell r="AO131">
            <v>8096.3662690921665</v>
          </cell>
          <cell r="AP131">
            <v>0</v>
          </cell>
          <cell r="AQ131">
            <v>8096.3662690921665</v>
          </cell>
          <cell r="AS131">
            <v>745.80494148975868</v>
          </cell>
          <cell r="AY131">
            <v>17.002369165093548</v>
          </cell>
          <cell r="AZ131">
            <v>18</v>
          </cell>
          <cell r="BA131">
            <v>35</v>
          </cell>
        </row>
        <row r="132">
          <cell r="A132" t="str">
            <v>8160-01-234</v>
          </cell>
          <cell r="B132" t="str">
            <v>Avraham Fried</v>
          </cell>
          <cell r="C132" t="str">
            <v>056166804</v>
          </cell>
          <cell r="D132">
            <v>512065202</v>
          </cell>
          <cell r="F132" t="str">
            <v>אברהם פריד</v>
          </cell>
          <cell r="G132" t="str">
            <v>IV</v>
          </cell>
          <cell r="H132" t="str">
            <v>Meitav</v>
          </cell>
          <cell r="I132">
            <v>1000000</v>
          </cell>
          <cell r="J132">
            <v>1.3552464578702598E-2</v>
          </cell>
          <cell r="L132">
            <v>4.4474093840338E-2</v>
          </cell>
          <cell r="M132">
            <v>0</v>
          </cell>
          <cell r="N132">
            <v>23041.561465095689</v>
          </cell>
          <cell r="O132">
            <v>5874.0323530906217</v>
          </cell>
          <cell r="P132">
            <v>28915.593818186309</v>
          </cell>
          <cell r="X132">
            <v>0</v>
          </cell>
          <cell r="Y132">
            <v>0</v>
          </cell>
          <cell r="AA132">
            <v>2663.5890767491383</v>
          </cell>
          <cell r="AC132">
            <v>0</v>
          </cell>
          <cell r="AE132">
            <v>2663.5890767491383</v>
          </cell>
          <cell r="AF132">
            <v>2663.5890767491383</v>
          </cell>
          <cell r="AG132">
            <v>28915.593818186309</v>
          </cell>
          <cell r="AH132">
            <v>0</v>
          </cell>
          <cell r="AI132">
            <v>0</v>
          </cell>
          <cell r="AJ132">
            <v>0</v>
          </cell>
          <cell r="AK132">
            <v>567433</v>
          </cell>
          <cell r="AL132">
            <v>132612</v>
          </cell>
          <cell r="AM132" t="str">
            <v>Zero investment in 2019</v>
          </cell>
          <cell r="AO132">
            <v>28915.593818186309</v>
          </cell>
          <cell r="AP132">
            <v>0</v>
          </cell>
          <cell r="AQ132">
            <v>28915.593818186309</v>
          </cell>
          <cell r="AS132">
            <v>2663.5890767491383</v>
          </cell>
          <cell r="AY132">
            <v>60.722747018191249</v>
          </cell>
          <cell r="AZ132">
            <v>60.722747018191249</v>
          </cell>
          <cell r="BA132">
            <v>35</v>
          </cell>
        </row>
        <row r="133">
          <cell r="A133" t="str">
            <v>8160-01-235</v>
          </cell>
          <cell r="B133" t="str">
            <v>Meir Benyamin Hershkovitz</v>
          </cell>
          <cell r="C133" t="str">
            <v>030319610</v>
          </cell>
          <cell r="D133">
            <v>512065202</v>
          </cell>
          <cell r="F133" t="str">
            <v>מאיר בנימין הרשקוביץ</v>
          </cell>
          <cell r="G133" t="str">
            <v>IV</v>
          </cell>
          <cell r="H133" t="str">
            <v>Meitav</v>
          </cell>
          <cell r="I133">
            <v>500000</v>
          </cell>
          <cell r="J133">
            <v>6.7762322893512991E-3</v>
          </cell>
          <cell r="L133">
            <v>2.2237046920169E-2</v>
          </cell>
          <cell r="M133">
            <v>0</v>
          </cell>
          <cell r="N133">
            <v>11520.780732547844</v>
          </cell>
          <cell r="O133">
            <v>2937.0161765453108</v>
          </cell>
          <cell r="P133">
            <v>14457.796909093155</v>
          </cell>
          <cell r="X133">
            <v>0</v>
          </cell>
          <cell r="Y133">
            <v>0</v>
          </cell>
          <cell r="AA133">
            <v>1331.7945383745691</v>
          </cell>
          <cell r="AC133">
            <v>0</v>
          </cell>
          <cell r="AE133">
            <v>1331.7945383745691</v>
          </cell>
          <cell r="AF133">
            <v>1331.7945383745691</v>
          </cell>
          <cell r="AG133">
            <v>14457.796909093155</v>
          </cell>
          <cell r="AH133">
            <v>0</v>
          </cell>
          <cell r="AI133">
            <v>0</v>
          </cell>
          <cell r="AJ133">
            <v>0</v>
          </cell>
          <cell r="AK133">
            <v>283717</v>
          </cell>
          <cell r="AL133">
            <v>66283</v>
          </cell>
          <cell r="AM133" t="str">
            <v>Zero investment in 2019</v>
          </cell>
          <cell r="AO133">
            <v>14457.796909093155</v>
          </cell>
          <cell r="AP133">
            <v>0</v>
          </cell>
          <cell r="AQ133">
            <v>14457.796909093155</v>
          </cell>
          <cell r="AS133">
            <v>1331.7945383745691</v>
          </cell>
          <cell r="AY133">
            <v>30.361373509095625</v>
          </cell>
          <cell r="AZ133">
            <v>30.361373509095625</v>
          </cell>
          <cell r="BA133">
            <v>35</v>
          </cell>
        </row>
        <row r="134">
          <cell r="A134" t="str">
            <v>8160-01-236</v>
          </cell>
          <cell r="B134" t="str">
            <v>Avraham Zivony</v>
          </cell>
          <cell r="C134" t="str">
            <v>051598373</v>
          </cell>
          <cell r="D134">
            <v>512065202</v>
          </cell>
          <cell r="F134" t="str">
            <v>אברהם צבעוני</v>
          </cell>
          <cell r="G134" t="str">
            <v>IV</v>
          </cell>
          <cell r="H134" t="str">
            <v>Meitav</v>
          </cell>
          <cell r="I134">
            <v>250000</v>
          </cell>
          <cell r="J134">
            <v>3.3881161446756495E-3</v>
          </cell>
          <cell r="L134">
            <v>1.11185234600845E-2</v>
          </cell>
          <cell r="M134">
            <v>0</v>
          </cell>
          <cell r="N134">
            <v>5760.3903662739222</v>
          </cell>
          <cell r="O134">
            <v>1468.5080882726554</v>
          </cell>
          <cell r="P134">
            <v>7228.8984545465773</v>
          </cell>
          <cell r="X134">
            <v>0</v>
          </cell>
          <cell r="Y134">
            <v>0</v>
          </cell>
          <cell r="AA134">
            <v>665.89726918728456</v>
          </cell>
          <cell r="AC134">
            <v>0</v>
          </cell>
          <cell r="AE134">
            <v>665.89726918728456</v>
          </cell>
          <cell r="AF134">
            <v>665.89726918728456</v>
          </cell>
          <cell r="AG134">
            <v>7228.8984545465773</v>
          </cell>
          <cell r="AH134">
            <v>0</v>
          </cell>
          <cell r="AI134">
            <v>0</v>
          </cell>
          <cell r="AJ134">
            <v>0</v>
          </cell>
          <cell r="AK134">
            <v>141858</v>
          </cell>
          <cell r="AL134">
            <v>33153</v>
          </cell>
          <cell r="AM134" t="str">
            <v>Zero investment in 2019</v>
          </cell>
          <cell r="AO134">
            <v>7228.8984545465773</v>
          </cell>
          <cell r="AP134">
            <v>0</v>
          </cell>
          <cell r="AQ134">
            <v>7228.8984545465773</v>
          </cell>
          <cell r="AS134">
            <v>665.89726918728456</v>
          </cell>
          <cell r="AY134">
            <v>15.180686754547812</v>
          </cell>
          <cell r="AZ134">
            <v>18</v>
          </cell>
          <cell r="BA134">
            <v>35</v>
          </cell>
        </row>
        <row r="135">
          <cell r="A135" t="str">
            <v>8160-01-237</v>
          </cell>
          <cell r="B135" t="str">
            <v>Limor Ariel Yakobi</v>
          </cell>
          <cell r="C135" t="str">
            <v>054934567</v>
          </cell>
          <cell r="D135">
            <v>512065202</v>
          </cell>
          <cell r="F135" t="str">
            <v>לימור אריאל יעקבי</v>
          </cell>
          <cell r="G135" t="str">
            <v>IV</v>
          </cell>
          <cell r="H135" t="str">
            <v>Meitav</v>
          </cell>
          <cell r="I135">
            <v>300000</v>
          </cell>
          <cell r="J135">
            <v>4.0657393736107791E-3</v>
          </cell>
          <cell r="L135">
            <v>1.33422281521014E-2</v>
          </cell>
          <cell r="M135">
            <v>0</v>
          </cell>
          <cell r="N135">
            <v>6912.4684395287059</v>
          </cell>
          <cell r="O135">
            <v>1762.2097059271866</v>
          </cell>
          <cell r="P135">
            <v>8674.6781454558932</v>
          </cell>
          <cell r="X135">
            <v>0</v>
          </cell>
          <cell r="Y135">
            <v>0</v>
          </cell>
          <cell r="AA135">
            <v>799.07672302474145</v>
          </cell>
          <cell r="AC135">
            <v>0</v>
          </cell>
          <cell r="AE135">
            <v>799.07672302474145</v>
          </cell>
          <cell r="AF135">
            <v>799.07672302474145</v>
          </cell>
          <cell r="AG135">
            <v>8674.6781454558932</v>
          </cell>
          <cell r="AH135">
            <v>0</v>
          </cell>
          <cell r="AI135">
            <v>0</v>
          </cell>
          <cell r="AJ135">
            <v>0</v>
          </cell>
          <cell r="AK135">
            <v>170230</v>
          </cell>
          <cell r="AL135">
            <v>39784</v>
          </cell>
          <cell r="AM135" t="str">
            <v>Zero investment in 2019</v>
          </cell>
          <cell r="AO135">
            <v>8674.6781454558932</v>
          </cell>
          <cell r="AP135">
            <v>0</v>
          </cell>
          <cell r="AQ135">
            <v>8674.6781454558932</v>
          </cell>
          <cell r="AS135">
            <v>799.07672302474145</v>
          </cell>
          <cell r="AY135">
            <v>18.216824105457373</v>
          </cell>
          <cell r="AZ135">
            <v>18.216824105457373</v>
          </cell>
          <cell r="BA135">
            <v>35</v>
          </cell>
        </row>
        <row r="136">
          <cell r="A136" t="str">
            <v>8160-01-238</v>
          </cell>
          <cell r="B136" t="str">
            <v>Gila Klinger</v>
          </cell>
          <cell r="C136" t="str">
            <v>022692370</v>
          </cell>
          <cell r="D136">
            <v>512065202</v>
          </cell>
          <cell r="F136" t="str">
            <v>גילה קלינגר</v>
          </cell>
          <cell r="G136" t="str">
            <v>IV</v>
          </cell>
          <cell r="H136" t="str">
            <v>Meitav</v>
          </cell>
          <cell r="I136">
            <v>200000</v>
          </cell>
          <cell r="J136">
            <v>2.7104929157405195E-3</v>
          </cell>
          <cell r="L136">
            <v>8.8948187680676014E-3</v>
          </cell>
          <cell r="M136">
            <v>0</v>
          </cell>
          <cell r="N136">
            <v>4608.3122930191385</v>
          </cell>
          <cell r="O136">
            <v>1174.8064706181244</v>
          </cell>
          <cell r="P136">
            <v>5783.1187636372633</v>
          </cell>
          <cell r="X136">
            <v>0</v>
          </cell>
          <cell r="Y136">
            <v>0</v>
          </cell>
          <cell r="AA136">
            <v>532.71781534982767</v>
          </cell>
          <cell r="AC136">
            <v>0</v>
          </cell>
          <cell r="AE136">
            <v>532.71781534982767</v>
          </cell>
          <cell r="AF136">
            <v>532.71781534982767</v>
          </cell>
          <cell r="AG136">
            <v>5783.1187636372633</v>
          </cell>
          <cell r="AH136">
            <v>0</v>
          </cell>
          <cell r="AI136">
            <v>0</v>
          </cell>
          <cell r="AJ136">
            <v>0</v>
          </cell>
          <cell r="AK136">
            <v>113487</v>
          </cell>
          <cell r="AL136">
            <v>26522</v>
          </cell>
          <cell r="AM136" t="str">
            <v>Zero investment in 2019</v>
          </cell>
          <cell r="AO136">
            <v>5783.1187636372633</v>
          </cell>
          <cell r="AP136">
            <v>0</v>
          </cell>
          <cell r="AQ136">
            <v>5783.1187636372633</v>
          </cell>
          <cell r="AS136">
            <v>532.71781534982767</v>
          </cell>
          <cell r="AY136">
            <v>12.144549403638253</v>
          </cell>
          <cell r="AZ136">
            <v>18</v>
          </cell>
          <cell r="BA136">
            <v>35</v>
          </cell>
        </row>
        <row r="137">
          <cell r="A137" t="str">
            <v>8160-01-239</v>
          </cell>
          <cell r="B137" t="str">
            <v>Nachshon Gal</v>
          </cell>
          <cell r="C137" t="str">
            <v>054502901</v>
          </cell>
          <cell r="D137">
            <v>512065202</v>
          </cell>
          <cell r="F137" t="str">
            <v>נחשון גל</v>
          </cell>
          <cell r="G137" t="str">
            <v>IV</v>
          </cell>
          <cell r="H137" t="str">
            <v>Meitav</v>
          </cell>
          <cell r="I137">
            <v>250000</v>
          </cell>
          <cell r="J137">
            <v>3.3881161446756495E-3</v>
          </cell>
          <cell r="L137">
            <v>1.11185234600845E-2</v>
          </cell>
          <cell r="M137">
            <v>0</v>
          </cell>
          <cell r="N137">
            <v>5760.3903662739222</v>
          </cell>
          <cell r="O137">
            <v>1468.5080882726554</v>
          </cell>
          <cell r="P137">
            <v>7228.8984545465773</v>
          </cell>
          <cell r="X137">
            <v>0</v>
          </cell>
          <cell r="Y137">
            <v>0</v>
          </cell>
          <cell r="AA137">
            <v>665.89726918728456</v>
          </cell>
          <cell r="AC137">
            <v>0</v>
          </cell>
          <cell r="AE137">
            <v>665.89726918728456</v>
          </cell>
          <cell r="AF137">
            <v>665.89726918728456</v>
          </cell>
          <cell r="AG137">
            <v>7228.8984545465773</v>
          </cell>
          <cell r="AH137">
            <v>0</v>
          </cell>
          <cell r="AI137">
            <v>0</v>
          </cell>
          <cell r="AJ137">
            <v>0</v>
          </cell>
          <cell r="AK137">
            <v>141858</v>
          </cell>
          <cell r="AL137">
            <v>33153</v>
          </cell>
          <cell r="AM137" t="str">
            <v>Zero investment in 2019</v>
          </cell>
          <cell r="AO137">
            <v>7228.8984545465773</v>
          </cell>
          <cell r="AP137">
            <v>0</v>
          </cell>
          <cell r="AQ137">
            <v>7228.8984545465773</v>
          </cell>
          <cell r="AS137">
            <v>665.89726918728456</v>
          </cell>
          <cell r="AY137">
            <v>15.180686754547812</v>
          </cell>
          <cell r="AZ137">
            <v>18</v>
          </cell>
          <cell r="BA137">
            <v>35</v>
          </cell>
        </row>
        <row r="138">
          <cell r="A138" t="str">
            <v>8160-01-240</v>
          </cell>
          <cell r="B138" t="str">
            <v>Reuven Nir</v>
          </cell>
          <cell r="C138" t="str">
            <v>050499839</v>
          </cell>
          <cell r="D138">
            <v>512065202</v>
          </cell>
          <cell r="F138" t="str">
            <v>ראובן ניר</v>
          </cell>
          <cell r="G138" t="str">
            <v>IV</v>
          </cell>
          <cell r="H138" t="str">
            <v>Meitav</v>
          </cell>
          <cell r="I138">
            <v>400000</v>
          </cell>
          <cell r="J138">
            <v>5.4209858314810391E-3</v>
          </cell>
          <cell r="L138">
            <v>1.7789637536135203E-2</v>
          </cell>
          <cell r="M138">
            <v>0</v>
          </cell>
          <cell r="N138">
            <v>9216.6245860382769</v>
          </cell>
          <cell r="O138">
            <v>2349.6129412362488</v>
          </cell>
          <cell r="P138">
            <v>11566.237527274527</v>
          </cell>
          <cell r="X138">
            <v>0</v>
          </cell>
          <cell r="Y138">
            <v>0</v>
          </cell>
          <cell r="AA138">
            <v>1065.4356306996553</v>
          </cell>
          <cell r="AC138">
            <v>0</v>
          </cell>
          <cell r="AE138">
            <v>1065.4356306996553</v>
          </cell>
          <cell r="AF138">
            <v>1065.4356306996553</v>
          </cell>
          <cell r="AG138">
            <v>11566.237527274527</v>
          </cell>
          <cell r="AH138">
            <v>0</v>
          </cell>
          <cell r="AI138">
            <v>0</v>
          </cell>
          <cell r="AJ138">
            <v>0</v>
          </cell>
          <cell r="AK138">
            <v>226973</v>
          </cell>
          <cell r="AL138">
            <v>53045</v>
          </cell>
          <cell r="AM138" t="str">
            <v>Zero investment in 2019</v>
          </cell>
          <cell r="AO138">
            <v>11566.237527274527</v>
          </cell>
          <cell r="AP138">
            <v>0</v>
          </cell>
          <cell r="AQ138">
            <v>11566.237527274527</v>
          </cell>
          <cell r="AS138">
            <v>1065.4356306996553</v>
          </cell>
          <cell r="AY138">
            <v>24.289098807276506</v>
          </cell>
          <cell r="AZ138">
            <v>24.289098807276506</v>
          </cell>
          <cell r="BA138">
            <v>35</v>
          </cell>
        </row>
        <row r="139">
          <cell r="A139" t="str">
            <v>8160-01-241</v>
          </cell>
          <cell r="B139" t="str">
            <v>Shevach Zeev Tentzer</v>
          </cell>
          <cell r="C139" t="str">
            <v>053665899</v>
          </cell>
          <cell r="D139">
            <v>512065202</v>
          </cell>
          <cell r="F139" t="str">
            <v>שבח זאב טנצר</v>
          </cell>
          <cell r="G139" t="str">
            <v>IV</v>
          </cell>
          <cell r="H139" t="str">
            <v>Meitav</v>
          </cell>
          <cell r="I139">
            <v>250000</v>
          </cell>
          <cell r="J139">
            <v>3.3881161446756495E-3</v>
          </cell>
          <cell r="L139">
            <v>1.11185234600845E-2</v>
          </cell>
          <cell r="M139">
            <v>0</v>
          </cell>
          <cell r="N139">
            <v>5760.3903662739222</v>
          </cell>
          <cell r="O139">
            <v>1468.5080882726554</v>
          </cell>
          <cell r="P139">
            <v>7228.8984545465773</v>
          </cell>
          <cell r="X139">
            <v>0</v>
          </cell>
          <cell r="Y139">
            <v>0</v>
          </cell>
          <cell r="AA139">
            <v>665.89726918728456</v>
          </cell>
          <cell r="AC139">
            <v>0</v>
          </cell>
          <cell r="AE139">
            <v>665.89726918728456</v>
          </cell>
          <cell r="AF139">
            <v>665.89726918728456</v>
          </cell>
          <cell r="AG139">
            <v>7228.8984545465773</v>
          </cell>
          <cell r="AH139">
            <v>0</v>
          </cell>
          <cell r="AI139">
            <v>0</v>
          </cell>
          <cell r="AJ139">
            <v>0</v>
          </cell>
          <cell r="AK139">
            <v>141858</v>
          </cell>
          <cell r="AL139">
            <v>33153</v>
          </cell>
          <cell r="AM139" t="str">
            <v>Zero investment in 2019</v>
          </cell>
          <cell r="AO139">
            <v>7228.8984545465773</v>
          </cell>
          <cell r="AP139">
            <v>0</v>
          </cell>
          <cell r="AQ139">
            <v>7228.8984545465773</v>
          </cell>
          <cell r="AS139">
            <v>665.89726918728456</v>
          </cell>
          <cell r="AY139">
            <v>15.180686754547812</v>
          </cell>
          <cell r="AZ139">
            <v>18</v>
          </cell>
          <cell r="BA139">
            <v>35</v>
          </cell>
        </row>
        <row r="140">
          <cell r="A140" t="str">
            <v>8160-01-242</v>
          </cell>
          <cell r="B140" t="str">
            <v>Yona Fogel</v>
          </cell>
          <cell r="C140" t="str">
            <v>052102001</v>
          </cell>
          <cell r="D140">
            <v>512065202</v>
          </cell>
          <cell r="F140" t="str">
            <v>יונה פוגל</v>
          </cell>
          <cell r="G140" t="str">
            <v>IV</v>
          </cell>
          <cell r="H140" t="str">
            <v>Meitav</v>
          </cell>
          <cell r="I140">
            <v>250000</v>
          </cell>
          <cell r="J140">
            <v>3.3881161446756495E-3</v>
          </cell>
          <cell r="L140">
            <v>1.11185234600845E-2</v>
          </cell>
          <cell r="M140">
            <v>0</v>
          </cell>
          <cell r="N140">
            <v>5760.3903662739222</v>
          </cell>
          <cell r="O140">
            <v>1468.5080882726554</v>
          </cell>
          <cell r="P140">
            <v>7228.8984545465773</v>
          </cell>
          <cell r="X140">
            <v>0</v>
          </cell>
          <cell r="Y140">
            <v>0</v>
          </cell>
          <cell r="AA140">
            <v>665.89726918728456</v>
          </cell>
          <cell r="AC140">
            <v>0</v>
          </cell>
          <cell r="AE140">
            <v>665.89726918728456</v>
          </cell>
          <cell r="AF140">
            <v>665.89726918728456</v>
          </cell>
          <cell r="AG140">
            <v>7228.8984545465773</v>
          </cell>
          <cell r="AH140">
            <v>0</v>
          </cell>
          <cell r="AI140">
            <v>0</v>
          </cell>
          <cell r="AJ140">
            <v>0</v>
          </cell>
          <cell r="AK140">
            <v>141858</v>
          </cell>
          <cell r="AL140">
            <v>33153</v>
          </cell>
          <cell r="AM140" t="str">
            <v>Zero investment in 2019</v>
          </cell>
          <cell r="AO140">
            <v>7228.8984545465773</v>
          </cell>
          <cell r="AP140">
            <v>0</v>
          </cell>
          <cell r="AQ140">
            <v>7228.8984545465773</v>
          </cell>
          <cell r="AS140">
            <v>665.89726918728456</v>
          </cell>
          <cell r="AY140">
            <v>15.180686754547812</v>
          </cell>
          <cell r="AZ140">
            <v>18</v>
          </cell>
          <cell r="BA140">
            <v>35</v>
          </cell>
        </row>
        <row r="141">
          <cell r="A141" t="str">
            <v>8160-01-243</v>
          </cell>
          <cell r="B141" t="str">
            <v>Monica Iancu</v>
          </cell>
          <cell r="C141" t="str">
            <v>016641623</v>
          </cell>
          <cell r="D141">
            <v>512065202</v>
          </cell>
          <cell r="F141" t="str">
            <v>מוניקה ינקו</v>
          </cell>
          <cell r="G141" t="str">
            <v>IV</v>
          </cell>
          <cell r="H141" t="str">
            <v>Meitav</v>
          </cell>
          <cell r="I141">
            <v>300000</v>
          </cell>
          <cell r="J141">
            <v>4.0657393736107791E-3</v>
          </cell>
          <cell r="L141">
            <v>1.33422281521014E-2</v>
          </cell>
          <cell r="M141">
            <v>0</v>
          </cell>
          <cell r="N141">
            <v>6912.4684395287059</v>
          </cell>
          <cell r="O141">
            <v>1762.2097059271866</v>
          </cell>
          <cell r="P141">
            <v>8674.6781454558932</v>
          </cell>
          <cell r="X141">
            <v>0</v>
          </cell>
          <cell r="Y141">
            <v>0</v>
          </cell>
          <cell r="AA141">
            <v>799.07672302474145</v>
          </cell>
          <cell r="AC141">
            <v>0</v>
          </cell>
          <cell r="AE141">
            <v>799.07672302474145</v>
          </cell>
          <cell r="AF141">
            <v>799.07672302474145</v>
          </cell>
          <cell r="AG141">
            <v>8674.6781454558932</v>
          </cell>
          <cell r="AH141">
            <v>0</v>
          </cell>
          <cell r="AI141">
            <v>0</v>
          </cell>
          <cell r="AJ141">
            <v>0</v>
          </cell>
          <cell r="AK141">
            <v>170230</v>
          </cell>
          <cell r="AL141">
            <v>39784</v>
          </cell>
          <cell r="AM141" t="str">
            <v>Zero investment in 2019</v>
          </cell>
          <cell r="AO141">
            <v>8674.6781454558932</v>
          </cell>
          <cell r="AP141">
            <v>0</v>
          </cell>
          <cell r="AQ141">
            <v>8674.6781454558932</v>
          </cell>
          <cell r="AS141">
            <v>799.07672302474145</v>
          </cell>
          <cell r="AY141">
            <v>18.216824105457373</v>
          </cell>
          <cell r="AZ141">
            <v>18.216824105457373</v>
          </cell>
          <cell r="BA141">
            <v>35</v>
          </cell>
        </row>
        <row r="142">
          <cell r="A142" t="str">
            <v>8160-01-244</v>
          </cell>
          <cell r="B142" t="str">
            <v>Oron Stern</v>
          </cell>
          <cell r="C142" t="str">
            <v>054336698</v>
          </cell>
          <cell r="D142">
            <v>512065202</v>
          </cell>
          <cell r="F142" t="str">
            <v>אורון משה שטר</v>
          </cell>
          <cell r="G142" t="str">
            <v>IV</v>
          </cell>
          <cell r="H142" t="str">
            <v>Meitav</v>
          </cell>
          <cell r="I142">
            <v>250000</v>
          </cell>
          <cell r="J142">
            <v>3.3881161446756495E-3</v>
          </cell>
          <cell r="L142">
            <v>1.11185234600845E-2</v>
          </cell>
          <cell r="M142">
            <v>0</v>
          </cell>
          <cell r="N142">
            <v>5760.3903662739222</v>
          </cell>
          <cell r="O142">
            <v>1468.5080882726554</v>
          </cell>
          <cell r="P142">
            <v>7228.8984545465773</v>
          </cell>
          <cell r="X142">
            <v>0</v>
          </cell>
          <cell r="Y142">
            <v>0</v>
          </cell>
          <cell r="AA142">
            <v>665.89726918728456</v>
          </cell>
          <cell r="AC142">
            <v>0</v>
          </cell>
          <cell r="AE142">
            <v>665.89726918728456</v>
          </cell>
          <cell r="AF142">
            <v>665.89726918728456</v>
          </cell>
          <cell r="AG142">
            <v>7228.8984545465773</v>
          </cell>
          <cell r="AH142">
            <v>0</v>
          </cell>
          <cell r="AI142">
            <v>0</v>
          </cell>
          <cell r="AJ142">
            <v>0</v>
          </cell>
          <cell r="AK142">
            <v>141858</v>
          </cell>
          <cell r="AL142">
            <v>33153</v>
          </cell>
          <cell r="AM142" t="str">
            <v>Zero investment in 2019</v>
          </cell>
          <cell r="AO142">
            <v>7228.8984545465773</v>
          </cell>
          <cell r="AP142">
            <v>0</v>
          </cell>
          <cell r="AQ142">
            <v>7228.8984545465773</v>
          </cell>
          <cell r="AS142">
            <v>665.89726918728456</v>
          </cell>
          <cell r="AY142">
            <v>15.180686754547812</v>
          </cell>
          <cell r="AZ142">
            <v>18</v>
          </cell>
          <cell r="BA142">
            <v>35</v>
          </cell>
        </row>
        <row r="143">
          <cell r="A143" t="str">
            <v>8160-01-245</v>
          </cell>
          <cell r="B143" t="str">
            <v>Itay Shalom Brener</v>
          </cell>
          <cell r="C143" t="str">
            <v>025232448</v>
          </cell>
          <cell r="D143">
            <v>25232448</v>
          </cell>
          <cell r="F143" t="str">
            <v>איתי שלום ברנר</v>
          </cell>
          <cell r="G143" t="str">
            <v>IV</v>
          </cell>
          <cell r="I143">
            <v>150000</v>
          </cell>
          <cell r="J143">
            <v>2.0328696868053896E-3</v>
          </cell>
          <cell r="L143">
            <v>6.6711140760507001E-3</v>
          </cell>
          <cell r="M143">
            <v>0</v>
          </cell>
          <cell r="N143">
            <v>3456.2342197643529</v>
          </cell>
          <cell r="O143">
            <v>881.10485296359332</v>
          </cell>
          <cell r="P143">
            <v>4337.3390727279466</v>
          </cell>
          <cell r="Y143">
            <v>0</v>
          </cell>
          <cell r="Z143">
            <v>864.05855494108823</v>
          </cell>
          <cell r="AA143">
            <v>399.53836151237073</v>
          </cell>
          <cell r="AB143">
            <v>-399.53836151237073</v>
          </cell>
          <cell r="AC143">
            <v>464.5201934287175</v>
          </cell>
          <cell r="AD143" t="str">
            <v>ע"פ תקנות'</v>
          </cell>
          <cell r="AF143">
            <v>864.05855494108823</v>
          </cell>
          <cell r="AG143">
            <v>3872.8188792992291</v>
          </cell>
          <cell r="AH143">
            <v>0</v>
          </cell>
          <cell r="AI143">
            <v>0</v>
          </cell>
          <cell r="AJ143">
            <v>0</v>
          </cell>
          <cell r="AK143">
            <v>85115</v>
          </cell>
          <cell r="AL143">
            <v>19885</v>
          </cell>
          <cell r="AM143" t="str">
            <v>Zero investment in 2019</v>
          </cell>
          <cell r="AO143">
            <v>4337.3390727279466</v>
          </cell>
          <cell r="AP143">
            <v>464.5201934287175</v>
          </cell>
          <cell r="AQ143">
            <v>3872.8188792992291</v>
          </cell>
          <cell r="AS143">
            <v>864.05855494108823</v>
          </cell>
          <cell r="AY143">
            <v>8.1329196465283804</v>
          </cell>
          <cell r="AZ143">
            <v>18</v>
          </cell>
          <cell r="BA143">
            <v>35</v>
          </cell>
        </row>
        <row r="144">
          <cell r="A144" t="str">
            <v>8160-01-246</v>
          </cell>
          <cell r="B144" t="str">
            <v>Kibbutz Ein Hashofet</v>
          </cell>
          <cell r="C144">
            <v>570001511</v>
          </cell>
          <cell r="D144">
            <v>570001511</v>
          </cell>
          <cell r="E144" t="str">
            <v>Kibbutz Ein Hashofet</v>
          </cell>
          <cell r="F144" t="str">
            <v>קיבוץ עין השופט</v>
          </cell>
          <cell r="G144" t="str">
            <v>IV</v>
          </cell>
          <cell r="I144">
            <v>500000</v>
          </cell>
          <cell r="J144">
            <v>6.7762322893512991E-3</v>
          </cell>
          <cell r="L144">
            <v>2.2237046920169E-2</v>
          </cell>
          <cell r="M144">
            <v>0</v>
          </cell>
          <cell r="N144">
            <v>11520.780732547844</v>
          </cell>
          <cell r="O144">
            <v>2937.0161765453108</v>
          </cell>
          <cell r="P144">
            <v>14457.796909093155</v>
          </cell>
          <cell r="X144">
            <v>0</v>
          </cell>
          <cell r="Y144">
            <v>0</v>
          </cell>
          <cell r="AA144">
            <v>1331.7945383745691</v>
          </cell>
          <cell r="AD144" t="str">
            <v>V</v>
          </cell>
          <cell r="AE144">
            <v>1331.7945383745691</v>
          </cell>
          <cell r="AF144">
            <v>1331.7945383745691</v>
          </cell>
          <cell r="AG144">
            <v>14457.796909093155</v>
          </cell>
          <cell r="AH144" t="e">
            <v>#N/A</v>
          </cell>
          <cell r="AI144" t="e">
            <v>#N/A</v>
          </cell>
          <cell r="AJ144" t="e">
            <v>#N/A</v>
          </cell>
          <cell r="AK144" t="e">
            <v>#N/A</v>
          </cell>
          <cell r="AL144" t="e">
            <v>#N/A</v>
          </cell>
          <cell r="AM144" t="str">
            <v>Zero investment in 2019</v>
          </cell>
          <cell r="AO144">
            <v>14457.796909093155</v>
          </cell>
          <cell r="AP144">
            <v>0</v>
          </cell>
          <cell r="AQ144">
            <v>14457.796909093155</v>
          </cell>
          <cell r="AS144">
            <v>1331.7945383745691</v>
          </cell>
          <cell r="AY144">
            <v>30.361373509095625</v>
          </cell>
          <cell r="AZ144">
            <v>30.361373509095625</v>
          </cell>
          <cell r="BA144">
            <v>35</v>
          </cell>
        </row>
        <row r="145">
          <cell r="A145" t="str">
            <v>8160-01-247</v>
          </cell>
          <cell r="B145" t="str">
            <v>Kibbutz Givat Oz</v>
          </cell>
          <cell r="C145">
            <v>570008565</v>
          </cell>
          <cell r="D145">
            <v>570008565</v>
          </cell>
          <cell r="E145" t="str">
            <v>Kibbutz Givat Oz</v>
          </cell>
          <cell r="F145" t="str">
            <v>קיבוץ גבעת עז</v>
          </cell>
          <cell r="G145" t="str">
            <v>IV</v>
          </cell>
          <cell r="I145">
            <v>580000</v>
          </cell>
          <cell r="J145">
            <v>7.8604294556475062E-3</v>
          </cell>
          <cell r="L145">
            <v>2.579497442739604E-2</v>
          </cell>
          <cell r="M145">
            <v>0</v>
          </cell>
          <cell r="N145">
            <v>13364.105649755498</v>
          </cell>
          <cell r="O145">
            <v>3406.9387647925605</v>
          </cell>
          <cell r="P145">
            <v>16771.044414548058</v>
          </cell>
          <cell r="X145">
            <v>0</v>
          </cell>
          <cell r="Y145">
            <v>0</v>
          </cell>
          <cell r="AA145">
            <v>1544.8816645145002</v>
          </cell>
          <cell r="AD145" t="str">
            <v>V</v>
          </cell>
          <cell r="AE145">
            <v>1544.8816645145002</v>
          </cell>
          <cell r="AF145">
            <v>1544.8816645145002</v>
          </cell>
          <cell r="AG145">
            <v>16771.044414548058</v>
          </cell>
          <cell r="AH145">
            <v>0</v>
          </cell>
          <cell r="AI145">
            <v>0</v>
          </cell>
          <cell r="AJ145">
            <v>0</v>
          </cell>
          <cell r="AK145">
            <v>329108.5</v>
          </cell>
          <cell r="AL145">
            <v>76912.5</v>
          </cell>
          <cell r="AM145" t="str">
            <v>Zero investment in 2019</v>
          </cell>
          <cell r="AO145">
            <v>16771.044414548058</v>
          </cell>
          <cell r="AP145">
            <v>0</v>
          </cell>
          <cell r="AQ145">
            <v>16771.044414548058</v>
          </cell>
          <cell r="AS145">
            <v>1544.8816645145002</v>
          </cell>
          <cell r="AY145">
            <v>35.219193270550917</v>
          </cell>
          <cell r="AZ145">
            <v>35.219193270550917</v>
          </cell>
          <cell r="BA145">
            <v>35</v>
          </cell>
        </row>
        <row r="146">
          <cell r="A146" t="str">
            <v>8160-01-248</v>
          </cell>
          <cell r="B146" t="str">
            <v>Mordechai Katz</v>
          </cell>
          <cell r="C146">
            <v>4598538</v>
          </cell>
          <cell r="D146">
            <v>4598538</v>
          </cell>
          <cell r="F146" t="str">
            <v>מרדכי כץ</v>
          </cell>
          <cell r="G146" t="str">
            <v>IV</v>
          </cell>
          <cell r="I146">
            <v>230000</v>
          </cell>
          <cell r="J146">
            <v>3.1170668531015975E-3</v>
          </cell>
          <cell r="L146">
            <v>1.0229041583277742E-2</v>
          </cell>
          <cell r="M146">
            <v>0</v>
          </cell>
          <cell r="N146">
            <v>5299.5591369720087</v>
          </cell>
          <cell r="O146">
            <v>1351.0274412108431</v>
          </cell>
          <cell r="P146">
            <v>6650.5865781828516</v>
          </cell>
          <cell r="Y146">
            <v>0</v>
          </cell>
          <cell r="Z146">
            <v>1324.8897842430022</v>
          </cell>
          <cell r="AA146">
            <v>612.6254876523019</v>
          </cell>
          <cell r="AB146">
            <v>-612.6254876523019</v>
          </cell>
          <cell r="AC146">
            <v>712.26429659070027</v>
          </cell>
          <cell r="AD146" t="str">
            <v>ע"פ תקנות'</v>
          </cell>
          <cell r="AF146">
            <v>1324.8897842430022</v>
          </cell>
          <cell r="AG146">
            <v>5938.3222815921508</v>
          </cell>
          <cell r="AH146">
            <v>0</v>
          </cell>
          <cell r="AI146">
            <v>0</v>
          </cell>
          <cell r="AJ146">
            <v>0</v>
          </cell>
          <cell r="AK146" t="str">
            <v>יועבר באפריל</v>
          </cell>
          <cell r="AL146">
            <v>0</v>
          </cell>
          <cell r="AM146" t="str">
            <v>Zero investment in 2019</v>
          </cell>
          <cell r="AO146">
            <v>6650.5865781828516</v>
          </cell>
          <cell r="AP146">
            <v>712.26429659070027</v>
          </cell>
          <cell r="AQ146">
            <v>5938.3222815921508</v>
          </cell>
          <cell r="AS146">
            <v>1324.8897842430022</v>
          </cell>
          <cell r="AY146">
            <v>12.470476791343517</v>
          </cell>
          <cell r="AZ146">
            <v>18</v>
          </cell>
          <cell r="BA146">
            <v>35</v>
          </cell>
        </row>
        <row r="147">
          <cell r="A147" t="str">
            <v>8160-01-249</v>
          </cell>
          <cell r="B147" t="str">
            <v xml:space="preserve">Narita Company for Commerce and Investments Ltd
</v>
          </cell>
          <cell r="C147">
            <v>511927485</v>
          </cell>
          <cell r="D147">
            <v>511927485</v>
          </cell>
          <cell r="E147" t="str">
            <v xml:space="preserve">Narita Company for Commerce and Investments Ltd
</v>
          </cell>
          <cell r="F147" t="str">
            <v>נריטה חברה למסחר והשקעות בע"מ</v>
          </cell>
          <cell r="G147" t="str">
            <v>IV</v>
          </cell>
          <cell r="I147">
            <v>500000</v>
          </cell>
          <cell r="J147">
            <v>6.7762322893512991E-3</v>
          </cell>
          <cell r="L147">
            <v>2.2237046920169E-2</v>
          </cell>
          <cell r="M147">
            <v>0</v>
          </cell>
          <cell r="N147">
            <v>11520.780732547844</v>
          </cell>
          <cell r="O147">
            <v>2937.0161765453108</v>
          </cell>
          <cell r="P147">
            <v>14457.796909093155</v>
          </cell>
          <cell r="X147">
            <v>0</v>
          </cell>
          <cell r="Y147">
            <v>0</v>
          </cell>
          <cell r="AA147">
            <v>1331.7945383745691</v>
          </cell>
          <cell r="AD147" t="str">
            <v>V</v>
          </cell>
          <cell r="AE147">
            <v>1331.7945383745691</v>
          </cell>
          <cell r="AF147">
            <v>1331.7945383745691</v>
          </cell>
          <cell r="AG147">
            <v>14457.796909093155</v>
          </cell>
          <cell r="AH147" t="e">
            <v>#N/A</v>
          </cell>
          <cell r="AI147" t="e">
            <v>#N/A</v>
          </cell>
          <cell r="AJ147" t="e">
            <v>#N/A</v>
          </cell>
          <cell r="AK147" t="e">
            <v>#N/A</v>
          </cell>
          <cell r="AL147" t="e">
            <v>#N/A</v>
          </cell>
          <cell r="AM147" t="str">
            <v>Zero investment in 2019</v>
          </cell>
          <cell r="AO147">
            <v>14457.796909093155</v>
          </cell>
          <cell r="AP147">
            <v>0</v>
          </cell>
          <cell r="AQ147">
            <v>14457.796909093155</v>
          </cell>
          <cell r="AS147">
            <v>1331.7945383745691</v>
          </cell>
          <cell r="AY147">
            <v>30.361373509095625</v>
          </cell>
          <cell r="AZ147">
            <v>30.361373509095625</v>
          </cell>
          <cell r="BA147">
            <v>35</v>
          </cell>
        </row>
        <row r="148">
          <cell r="A148" t="str">
            <v>8160-01-250</v>
          </cell>
          <cell r="B148" t="str">
            <v>Ran &amp; Anat Rothschild</v>
          </cell>
          <cell r="C148" t="str">
            <v>Anat - 034069815
Ran - 032330474</v>
          </cell>
          <cell r="D148" t="str">
            <v>Anat - 034069815
Ran - 032330474</v>
          </cell>
          <cell r="F148" t="str">
            <v>רן רוטשילד וענת סולומון רוטשילד</v>
          </cell>
          <cell r="G148" t="str">
            <v>IV</v>
          </cell>
          <cell r="I148">
            <v>250000</v>
          </cell>
          <cell r="J148">
            <v>3.3881161446756495E-3</v>
          </cell>
          <cell r="L148">
            <v>1.11185234600845E-2</v>
          </cell>
          <cell r="M148">
            <v>0</v>
          </cell>
          <cell r="N148">
            <v>5760.3903662739222</v>
          </cell>
          <cell r="O148">
            <v>1468.5080882726554</v>
          </cell>
          <cell r="P148">
            <v>7228.8984545465773</v>
          </cell>
          <cell r="X148">
            <v>0</v>
          </cell>
          <cell r="Y148">
            <v>0</v>
          </cell>
          <cell r="Z148">
            <v>1440.0975915684805</v>
          </cell>
          <cell r="AA148">
            <v>665.89726918728456</v>
          </cell>
          <cell r="AB148">
            <v>-665.89726918728456</v>
          </cell>
          <cell r="AC148">
            <v>774.20032238119597</v>
          </cell>
          <cell r="AD148" t="str">
            <v>X</v>
          </cell>
          <cell r="AF148">
            <v>1440.0975915684805</v>
          </cell>
          <cell r="AG148">
            <v>6454.6981321653811</v>
          </cell>
          <cell r="AH148">
            <v>0</v>
          </cell>
          <cell r="AI148">
            <v>0</v>
          </cell>
          <cell r="AJ148">
            <v>0</v>
          </cell>
          <cell r="AK148">
            <v>141858</v>
          </cell>
          <cell r="AL148">
            <v>33153</v>
          </cell>
          <cell r="AM148" t="str">
            <v>Zero investment in 2019</v>
          </cell>
          <cell r="AO148">
            <v>7228.8984545465773</v>
          </cell>
          <cell r="AP148">
            <v>774.20032238119597</v>
          </cell>
          <cell r="AQ148">
            <v>6454.6981321653811</v>
          </cell>
          <cell r="AS148">
            <v>1440.0975915684805</v>
          </cell>
          <cell r="AY148">
            <v>13.554866077547299</v>
          </cell>
          <cell r="AZ148">
            <v>18</v>
          </cell>
          <cell r="BA148">
            <v>35</v>
          </cell>
        </row>
        <row r="149">
          <cell r="A149" t="str">
            <v>8160-01-251</v>
          </cell>
          <cell r="B149" t="str">
            <v>Tomer Kariv</v>
          </cell>
          <cell r="C149">
            <v>56778194</v>
          </cell>
          <cell r="D149">
            <v>56778194</v>
          </cell>
          <cell r="F149" t="str">
            <v>תומר קריב</v>
          </cell>
          <cell r="G149" t="str">
            <v>IV</v>
          </cell>
          <cell r="I149">
            <v>250000</v>
          </cell>
          <cell r="J149">
            <v>3.3881161446756495E-3</v>
          </cell>
          <cell r="L149">
            <v>1.11185234600845E-2</v>
          </cell>
          <cell r="M149">
            <v>0</v>
          </cell>
          <cell r="N149">
            <v>5760.3903662739222</v>
          </cell>
          <cell r="O149">
            <v>1468.5080882726554</v>
          </cell>
          <cell r="P149">
            <v>7228.8984545465773</v>
          </cell>
          <cell r="Y149">
            <v>0</v>
          </cell>
          <cell r="Z149">
            <v>1440.0975915684805</v>
          </cell>
          <cell r="AA149">
            <v>665.89726918728456</v>
          </cell>
          <cell r="AB149">
            <v>-665.89726918728456</v>
          </cell>
          <cell r="AC149">
            <v>774.20032238119597</v>
          </cell>
          <cell r="AD149" t="str">
            <v>ע"פ תקנות'</v>
          </cell>
          <cell r="AF149">
            <v>1440.0975915684805</v>
          </cell>
          <cell r="AG149">
            <v>6454.6981321653811</v>
          </cell>
          <cell r="AH149">
            <v>0</v>
          </cell>
          <cell r="AI149">
            <v>0</v>
          </cell>
          <cell r="AJ149">
            <v>0</v>
          </cell>
          <cell r="AK149">
            <v>141858</v>
          </cell>
          <cell r="AL149">
            <v>33153</v>
          </cell>
          <cell r="AM149" t="str">
            <v>Zero investment in 2019</v>
          </cell>
          <cell r="AO149">
            <v>7228.8984545465773</v>
          </cell>
          <cell r="AP149">
            <v>774.20032238119597</v>
          </cell>
          <cell r="AQ149">
            <v>6454.6981321653811</v>
          </cell>
          <cell r="AS149">
            <v>1440.0975915684805</v>
          </cell>
          <cell r="AY149">
            <v>13.554866077547299</v>
          </cell>
          <cell r="AZ149">
            <v>18</v>
          </cell>
          <cell r="BA149">
            <v>35</v>
          </cell>
        </row>
        <row r="150">
          <cell r="A150" t="str">
            <v>8160-01-252</v>
          </cell>
          <cell r="B150" t="str">
            <v>Y Brener Technologies LTD</v>
          </cell>
          <cell r="C150">
            <v>513026492</v>
          </cell>
          <cell r="D150">
            <v>513026492</v>
          </cell>
          <cell r="E150" t="str">
            <v>Y Brener Technologies LTD</v>
          </cell>
          <cell r="F150" t="str">
            <v>י. ברנר טכנולוגיות בע"מ</v>
          </cell>
          <cell r="G150" t="str">
            <v>IV</v>
          </cell>
          <cell r="I150">
            <v>290000</v>
          </cell>
          <cell r="J150">
            <v>3.9302147278237531E-3</v>
          </cell>
          <cell r="L150">
            <v>1.289748721369802E-2</v>
          </cell>
          <cell r="M150">
            <v>0</v>
          </cell>
          <cell r="N150">
            <v>6682.0528248777491</v>
          </cell>
          <cell r="O150">
            <v>1703.4693823962803</v>
          </cell>
          <cell r="P150">
            <v>8385.5222072740289</v>
          </cell>
          <cell r="X150">
            <v>0</v>
          </cell>
          <cell r="Y150">
            <v>0</v>
          </cell>
          <cell r="AA150">
            <v>772.44083225725012</v>
          </cell>
          <cell r="AD150" t="str">
            <v>V</v>
          </cell>
          <cell r="AE150">
            <v>772.44083225725012</v>
          </cell>
          <cell r="AF150">
            <v>772.44083225725012</v>
          </cell>
          <cell r="AG150">
            <v>8385.5222072740289</v>
          </cell>
          <cell r="AH150" t="e">
            <v>#N/A</v>
          </cell>
          <cell r="AI150" t="e">
            <v>#N/A</v>
          </cell>
          <cell r="AJ150" t="e">
            <v>#N/A</v>
          </cell>
          <cell r="AK150" t="e">
            <v>#N/A</v>
          </cell>
          <cell r="AL150" t="e">
            <v>#N/A</v>
          </cell>
          <cell r="AM150" t="str">
            <v>Zero investment in 2019</v>
          </cell>
          <cell r="AO150">
            <v>8385.5222072740289</v>
          </cell>
          <cell r="AP150">
            <v>0</v>
          </cell>
          <cell r="AQ150">
            <v>8385.5222072740289</v>
          </cell>
          <cell r="AS150">
            <v>772.44083225725012</v>
          </cell>
          <cell r="AY150">
            <v>17.609596635275459</v>
          </cell>
          <cell r="AZ150">
            <v>18</v>
          </cell>
          <cell r="BA150">
            <v>35</v>
          </cell>
        </row>
        <row r="151">
          <cell r="A151" t="str">
            <v>8160-01-253</v>
          </cell>
          <cell r="B151" t="str">
            <v>Yuval Fuchs</v>
          </cell>
          <cell r="G151" t="str">
            <v>IV</v>
          </cell>
          <cell r="I151">
            <v>500000</v>
          </cell>
          <cell r="J151">
            <v>6.7762322893512991E-3</v>
          </cell>
          <cell r="L151">
            <v>2.2237046920169E-2</v>
          </cell>
          <cell r="M151">
            <v>0</v>
          </cell>
          <cell r="N151">
            <v>11520.780732547844</v>
          </cell>
          <cell r="O151">
            <v>2937.0161765453108</v>
          </cell>
          <cell r="P151">
            <v>14457.796909093155</v>
          </cell>
          <cell r="Y151">
            <v>0</v>
          </cell>
          <cell r="Z151">
            <v>2880.1951831369611</v>
          </cell>
          <cell r="AA151">
            <v>1331.7945383745691</v>
          </cell>
          <cell r="AB151">
            <v>-1331.7945383745691</v>
          </cell>
          <cell r="AC151">
            <v>1548.4006447623919</v>
          </cell>
          <cell r="AD151" t="str">
            <v>ע"פ תקנות'</v>
          </cell>
          <cell r="AF151">
            <v>2880.1951831369611</v>
          </cell>
          <cell r="AG151">
            <v>12909.396264330762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 t="str">
            <v>Zero investment in 2019</v>
          </cell>
          <cell r="AO151">
            <v>14457.796909093155</v>
          </cell>
          <cell r="AP151">
            <v>1548.4006447623919</v>
          </cell>
          <cell r="AQ151">
            <v>12909.396264330762</v>
          </cell>
          <cell r="AS151">
            <v>2880.1951831369611</v>
          </cell>
          <cell r="AT151" t="str">
            <v>משקיע שהוחלט אחרי החלוקה שהוא מבוטל- 250,000 מתוכם כנראה יתקזזו מול זלמן שובל שייכנס</v>
          </cell>
          <cell r="AY151">
            <v>27.109732155094598</v>
          </cell>
          <cell r="AZ151">
            <v>27.109732155094598</v>
          </cell>
          <cell r="BA151">
            <v>35</v>
          </cell>
        </row>
        <row r="152">
          <cell r="A152" t="str">
            <v>8160-01-254</v>
          </cell>
          <cell r="B152" t="str">
            <v>Yaacov Zitser</v>
          </cell>
          <cell r="C152" t="str">
            <v>051224236</v>
          </cell>
          <cell r="D152">
            <v>513765347</v>
          </cell>
          <cell r="F152" t="str">
            <v>יעקב זיצר</v>
          </cell>
          <cell r="G152" t="str">
            <v>I</v>
          </cell>
          <cell r="H152" t="str">
            <v>Psagot</v>
          </cell>
          <cell r="I152">
            <v>250000</v>
          </cell>
          <cell r="J152">
            <v>3.3881161446756495E-3</v>
          </cell>
          <cell r="K152">
            <v>4.8730742512077966E-3</v>
          </cell>
          <cell r="M152">
            <v>5155.7125577778488</v>
          </cell>
          <cell r="N152">
            <v>604.6778084960747</v>
          </cell>
          <cell r="O152">
            <v>1468.5080882726543</v>
          </cell>
          <cell r="P152">
            <v>7228.8984545465773</v>
          </cell>
          <cell r="Q152">
            <v>384.90611140361898</v>
          </cell>
          <cell r="R152">
            <v>5540.6186691814673</v>
          </cell>
          <cell r="T152">
            <v>726.05821585017304</v>
          </cell>
          <cell r="V152">
            <v>0</v>
          </cell>
          <cell r="X152">
            <v>726.05821585017304</v>
          </cell>
          <cell r="Y152">
            <v>726.05821585017304</v>
          </cell>
          <cell r="AA152">
            <v>69.900349770243452</v>
          </cell>
          <cell r="AC152">
            <v>0</v>
          </cell>
          <cell r="AE152">
            <v>69.900349770243452</v>
          </cell>
          <cell r="AF152">
            <v>69.900349770243452</v>
          </cell>
          <cell r="AG152">
            <v>7228.8984545465773</v>
          </cell>
          <cell r="AH152">
            <v>83333.332999999999</v>
          </cell>
          <cell r="AI152">
            <v>47900</v>
          </cell>
          <cell r="AJ152">
            <v>10625</v>
          </cell>
          <cell r="AK152">
            <v>0</v>
          </cell>
          <cell r="AL152">
            <v>33153</v>
          </cell>
          <cell r="AM152">
            <v>4.1275673576262571E-2</v>
          </cell>
          <cell r="AO152">
            <v>7228.8984545465773</v>
          </cell>
          <cell r="AP152">
            <v>0</v>
          </cell>
          <cell r="AQ152">
            <v>7228.8984545465773</v>
          </cell>
          <cell r="AR152">
            <v>726.05821585017304</v>
          </cell>
          <cell r="AS152">
            <v>69.900349770243452</v>
          </cell>
          <cell r="AY152">
            <v>15.180686754547812</v>
          </cell>
          <cell r="AZ152">
            <v>18</v>
          </cell>
          <cell r="BA152">
            <v>35</v>
          </cell>
        </row>
        <row r="153">
          <cell r="A153" t="str">
            <v>8160-01-255</v>
          </cell>
          <cell r="B153" t="str">
            <v>A.N.T - 10 LTD</v>
          </cell>
          <cell r="C153">
            <v>512903311</v>
          </cell>
          <cell r="D153">
            <v>512903311</v>
          </cell>
          <cell r="E153" t="str">
            <v>A.N.T - 10 LTD</v>
          </cell>
          <cell r="F153" t="str">
            <v>א.נ.ט - 10 בע"מ</v>
          </cell>
          <cell r="G153" t="str">
            <v>V</v>
          </cell>
          <cell r="I153">
            <v>300000</v>
          </cell>
          <cell r="J153">
            <v>4.0657393736107791E-3</v>
          </cell>
          <cell r="L153">
            <v>1.33422281521014E-2</v>
          </cell>
          <cell r="M153">
            <v>0</v>
          </cell>
          <cell r="N153">
            <v>6912.4684395287059</v>
          </cell>
          <cell r="O153">
            <v>1762.2097059271866</v>
          </cell>
          <cell r="P153">
            <v>8674.6781454558932</v>
          </cell>
          <cell r="X153">
            <v>0</v>
          </cell>
          <cell r="Y153">
            <v>0</v>
          </cell>
          <cell r="AA153">
            <v>799.07672302474145</v>
          </cell>
          <cell r="AD153" t="str">
            <v>V</v>
          </cell>
          <cell r="AE153">
            <v>799.07672302474145</v>
          </cell>
          <cell r="AF153">
            <v>799.07672302474145</v>
          </cell>
          <cell r="AG153">
            <v>8674.6781454558932</v>
          </cell>
          <cell r="AH153" t="e">
            <v>#N/A</v>
          </cell>
          <cell r="AI153" t="e">
            <v>#N/A</v>
          </cell>
          <cell r="AJ153" t="e">
            <v>#N/A</v>
          </cell>
          <cell r="AK153" t="e">
            <v>#N/A</v>
          </cell>
          <cell r="AL153" t="e">
            <v>#N/A</v>
          </cell>
          <cell r="AM153" t="str">
            <v>Zero investment in 2019</v>
          </cell>
          <cell r="AO153">
            <v>8674.6781454558932</v>
          </cell>
          <cell r="AP153">
            <v>0</v>
          </cell>
          <cell r="AQ153">
            <v>8674.6781454558932</v>
          </cell>
          <cell r="AS153">
            <v>799.07672302474145</v>
          </cell>
          <cell r="AY153">
            <v>18.216824105457373</v>
          </cell>
          <cell r="AZ153">
            <v>18.216824105457373</v>
          </cell>
          <cell r="BA153">
            <v>35</v>
          </cell>
        </row>
        <row r="154">
          <cell r="A154" t="str">
            <v>8160-01-257</v>
          </cell>
          <cell r="B154" t="str">
            <v>Arieh &amp; Varda Saban</v>
          </cell>
          <cell r="C154" t="str">
            <v>Arieh 064902083     Varda 050403963</v>
          </cell>
          <cell r="D154" t="str">
            <v>Arieh 064902083     Varda 050403963</v>
          </cell>
          <cell r="F154" t="str">
            <v>אריה סבן וורדה סבן</v>
          </cell>
          <cell r="G154" t="str">
            <v>V</v>
          </cell>
          <cell r="I154">
            <v>500000</v>
          </cell>
          <cell r="J154">
            <v>6.7762322893512991E-3</v>
          </cell>
          <cell r="L154">
            <v>2.2237046920169E-2</v>
          </cell>
          <cell r="M154">
            <v>0</v>
          </cell>
          <cell r="N154">
            <v>11520.780732547844</v>
          </cell>
          <cell r="O154">
            <v>2937.0161765453108</v>
          </cell>
          <cell r="P154">
            <v>14457.796909093155</v>
          </cell>
          <cell r="Y154">
            <v>0</v>
          </cell>
          <cell r="Z154">
            <v>2880.1951831369611</v>
          </cell>
          <cell r="AA154">
            <v>1331.7945383745691</v>
          </cell>
          <cell r="AB154">
            <v>-1331.7945383745691</v>
          </cell>
          <cell r="AC154">
            <v>1548.4006447623919</v>
          </cell>
          <cell r="AD154" t="str">
            <v>X</v>
          </cell>
          <cell r="AF154">
            <v>2880.1951831369611</v>
          </cell>
          <cell r="AG154">
            <v>12909.396264330762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350023</v>
          </cell>
          <cell r="AM154" t="str">
            <v>Zero investment in 2019</v>
          </cell>
          <cell r="AO154">
            <v>14457.796909093155</v>
          </cell>
          <cell r="AP154">
            <v>1548.4006447623919</v>
          </cell>
          <cell r="AQ154">
            <v>12909.396264330762</v>
          </cell>
          <cell r="AS154">
            <v>2880.1951831369611</v>
          </cell>
          <cell r="AY154">
            <v>27.109732155094598</v>
          </cell>
          <cell r="AZ154">
            <v>27.109732155094598</v>
          </cell>
          <cell r="BA154">
            <v>35</v>
          </cell>
        </row>
        <row r="155">
          <cell r="A155" t="str">
            <v>8160-01-258</v>
          </cell>
          <cell r="B155" t="str">
            <v>Atlas Lending Fund L.P</v>
          </cell>
          <cell r="C155" t="str">
            <v>OG-90357</v>
          </cell>
          <cell r="D155" t="str">
            <v>OG-90357</v>
          </cell>
          <cell r="E155" t="str">
            <v>Atlas Lending Fund L.P</v>
          </cell>
          <cell r="G155" t="str">
            <v>V</v>
          </cell>
          <cell r="I155">
            <v>500000</v>
          </cell>
          <cell r="J155">
            <v>6.7762322893512991E-3</v>
          </cell>
          <cell r="L155">
            <v>2.2237046920169E-2</v>
          </cell>
          <cell r="M155">
            <v>0</v>
          </cell>
          <cell r="N155">
            <v>11520.780732547844</v>
          </cell>
          <cell r="O155">
            <v>2937.0161765453108</v>
          </cell>
          <cell r="P155">
            <v>14457.796909093155</v>
          </cell>
          <cell r="Y155">
            <v>0</v>
          </cell>
          <cell r="AA155">
            <v>1331.7945383745691</v>
          </cell>
          <cell r="AC155">
            <v>0</v>
          </cell>
          <cell r="AD155" t="str">
            <v>V</v>
          </cell>
          <cell r="AF155">
            <v>1331.7945383745691</v>
          </cell>
          <cell r="AG155">
            <v>14457.796909093155</v>
          </cell>
          <cell r="AH155" t="e">
            <v>#N/A</v>
          </cell>
          <cell r="AI155" t="e">
            <v>#N/A</v>
          </cell>
          <cell r="AJ155" t="e">
            <v>#N/A</v>
          </cell>
          <cell r="AK155" t="e">
            <v>#N/A</v>
          </cell>
          <cell r="AL155" t="e">
            <v>#N/A</v>
          </cell>
          <cell r="AM155" t="str">
            <v>Zero investment in 2019</v>
          </cell>
          <cell r="AO155">
            <v>14457.796909093155</v>
          </cell>
          <cell r="AP155">
            <v>0</v>
          </cell>
          <cell r="AQ155">
            <v>14457.796909093155</v>
          </cell>
          <cell r="AS155">
            <v>1331.7945383745691</v>
          </cell>
          <cell r="AY155">
            <v>30.361373509095625</v>
          </cell>
          <cell r="AZ155">
            <v>30.361373509095625</v>
          </cell>
          <cell r="BA155">
            <v>35</v>
          </cell>
        </row>
        <row r="156">
          <cell r="A156" t="str">
            <v>8160-01-259</v>
          </cell>
          <cell r="B156" t="str">
            <v>Bibars Natcho</v>
          </cell>
          <cell r="C156">
            <v>301281531</v>
          </cell>
          <cell r="D156">
            <v>301281531</v>
          </cell>
          <cell r="F156" t="str">
            <v>נאתכו ביברס</v>
          </cell>
          <cell r="G156" t="str">
            <v>V</v>
          </cell>
          <cell r="I156">
            <v>500000</v>
          </cell>
          <cell r="J156">
            <v>6.7762322893512991E-3</v>
          </cell>
          <cell r="L156">
            <v>2.2237046920169E-2</v>
          </cell>
          <cell r="M156">
            <v>0</v>
          </cell>
          <cell r="N156">
            <v>11520.780732547844</v>
          </cell>
          <cell r="O156">
            <v>2937.0161765453108</v>
          </cell>
          <cell r="P156">
            <v>14457.796909093155</v>
          </cell>
          <cell r="Y156">
            <v>0</v>
          </cell>
          <cell r="Z156">
            <v>2880.1951831369611</v>
          </cell>
          <cell r="AA156">
            <v>1331.7945383745691</v>
          </cell>
          <cell r="AB156">
            <v>-1331.7945383745691</v>
          </cell>
          <cell r="AC156">
            <v>1548.4006447623919</v>
          </cell>
          <cell r="AD156" t="str">
            <v>ע"פ תקנות'</v>
          </cell>
          <cell r="AF156">
            <v>2880.1951831369611</v>
          </cell>
          <cell r="AG156">
            <v>12909.396264330762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350023</v>
          </cell>
          <cell r="AM156" t="str">
            <v>Zero investment in 2019</v>
          </cell>
          <cell r="AO156">
            <v>14457.796909093155</v>
          </cell>
          <cell r="AP156">
            <v>1548.4006447623919</v>
          </cell>
          <cell r="AQ156">
            <v>12909.396264330762</v>
          </cell>
          <cell r="AS156">
            <v>2880.1951831369611</v>
          </cell>
          <cell r="AY156">
            <v>27.109732155094598</v>
          </cell>
          <cell r="AZ156">
            <v>27.109732155094598</v>
          </cell>
          <cell r="BA156">
            <v>35</v>
          </cell>
        </row>
        <row r="157">
          <cell r="A157" t="str">
            <v>8160-01-260</v>
          </cell>
          <cell r="B157" t="str">
            <v>Haim Livne</v>
          </cell>
          <cell r="C157" t="str">
            <v>064561459</v>
          </cell>
          <cell r="D157">
            <v>64561459</v>
          </cell>
          <cell r="F157" t="str">
            <v>חיים לבנה</v>
          </cell>
          <cell r="G157" t="str">
            <v>V</v>
          </cell>
          <cell r="I157">
            <v>250000</v>
          </cell>
          <cell r="J157">
            <v>3.3881161446756495E-3</v>
          </cell>
          <cell r="L157">
            <v>1.11185234600845E-2</v>
          </cell>
          <cell r="M157">
            <v>0</v>
          </cell>
          <cell r="N157">
            <v>5760.3903662739222</v>
          </cell>
          <cell r="O157">
            <v>1468.5080882726554</v>
          </cell>
          <cell r="P157">
            <v>7228.8984545465773</v>
          </cell>
          <cell r="Y157">
            <v>0</v>
          </cell>
          <cell r="Z157">
            <v>1440.0975915684805</v>
          </cell>
          <cell r="AA157">
            <v>665.89726918728456</v>
          </cell>
          <cell r="AB157">
            <v>-665.89726918728456</v>
          </cell>
          <cell r="AC157">
            <v>774.20032238119597</v>
          </cell>
          <cell r="AD157" t="str">
            <v>ע"פ תקנות'</v>
          </cell>
          <cell r="AF157">
            <v>1440.0975915684805</v>
          </cell>
          <cell r="AG157">
            <v>6454.6981321653811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175011</v>
          </cell>
          <cell r="AM157" t="str">
            <v>Zero investment in 2019</v>
          </cell>
          <cell r="AO157">
            <v>7228.8984545465773</v>
          </cell>
          <cell r="AP157">
            <v>774.20032238119597</v>
          </cell>
          <cell r="AQ157">
            <v>6454.6981321653811</v>
          </cell>
          <cell r="AS157">
            <v>1440.0975915684805</v>
          </cell>
          <cell r="AY157">
            <v>13.554866077547299</v>
          </cell>
          <cell r="AZ157">
            <v>18</v>
          </cell>
          <cell r="BA157">
            <v>35</v>
          </cell>
        </row>
        <row r="158">
          <cell r="A158" t="str">
            <v>8160-01-261</v>
          </cell>
          <cell r="B158" t="str">
            <v>Ifat Zahava Fish</v>
          </cell>
          <cell r="C158" t="str">
            <v>024507048</v>
          </cell>
          <cell r="D158">
            <v>24507048</v>
          </cell>
          <cell r="F158" t="str">
            <v>יפעת זהבה פיש</v>
          </cell>
          <cell r="G158" t="str">
            <v>V</v>
          </cell>
          <cell r="I158">
            <v>300000</v>
          </cell>
          <cell r="J158">
            <v>4.0657393736107791E-3</v>
          </cell>
          <cell r="L158">
            <v>1.33422281521014E-2</v>
          </cell>
          <cell r="M158">
            <v>0</v>
          </cell>
          <cell r="N158">
            <v>6912.4684395287059</v>
          </cell>
          <cell r="O158">
            <v>1762.2097059271866</v>
          </cell>
          <cell r="P158">
            <v>8674.6781454558932</v>
          </cell>
          <cell r="Y158">
            <v>0</v>
          </cell>
          <cell r="Z158">
            <v>1728.1171098821765</v>
          </cell>
          <cell r="AA158">
            <v>799.07672302474145</v>
          </cell>
          <cell r="AB158">
            <v>-799.07672302474145</v>
          </cell>
          <cell r="AC158">
            <v>929.04038685743501</v>
          </cell>
          <cell r="AD158" t="str">
            <v>ע"פ תקנות'</v>
          </cell>
          <cell r="AF158">
            <v>1728.1171098821765</v>
          </cell>
          <cell r="AG158">
            <v>7745.6377585984583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210014</v>
          </cell>
          <cell r="AM158" t="str">
            <v>Zero investment in 2019</v>
          </cell>
          <cell r="AO158">
            <v>8674.6781454558932</v>
          </cell>
          <cell r="AP158">
            <v>929.04038685743501</v>
          </cell>
          <cell r="AQ158">
            <v>7745.6377585984583</v>
          </cell>
          <cell r="AS158">
            <v>1728.1171098821765</v>
          </cell>
          <cell r="AY158">
            <v>16.265839293056761</v>
          </cell>
          <cell r="AZ158">
            <v>18</v>
          </cell>
          <cell r="BA158">
            <v>35</v>
          </cell>
        </row>
        <row r="159">
          <cell r="A159" t="str">
            <v>8160-01-262</v>
          </cell>
          <cell r="B159" t="str">
            <v>Meron Man</v>
          </cell>
          <cell r="C159" t="str">
            <v>050699727</v>
          </cell>
          <cell r="D159">
            <v>520023185</v>
          </cell>
          <cell r="F159" t="str">
            <v>מירון מן</v>
          </cell>
          <cell r="G159" t="str">
            <v>V</v>
          </cell>
          <cell r="H159" t="str">
            <v>Phoenix</v>
          </cell>
          <cell r="I159">
            <v>700000</v>
          </cell>
          <cell r="J159">
            <v>9.4867252050918182E-3</v>
          </cell>
          <cell r="L159">
            <v>3.1131865688236601E-2</v>
          </cell>
          <cell r="M159">
            <v>0</v>
          </cell>
          <cell r="N159">
            <v>16129.093025566981</v>
          </cell>
          <cell r="O159">
            <v>4111.8226471634352</v>
          </cell>
          <cell r="P159">
            <v>20240.915672730414</v>
          </cell>
          <cell r="X159">
            <v>0</v>
          </cell>
          <cell r="Y159">
            <v>0</v>
          </cell>
          <cell r="AA159">
            <v>1864.5123537243967</v>
          </cell>
          <cell r="AC159">
            <v>0</v>
          </cell>
          <cell r="AE159">
            <v>1864.5123537243967</v>
          </cell>
          <cell r="AF159">
            <v>1864.5123537243967</v>
          </cell>
          <cell r="AG159">
            <v>20240.915672730414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350023</v>
          </cell>
          <cell r="AM159" t="str">
            <v>Zero investment in 2019</v>
          </cell>
          <cell r="AO159">
            <v>20240.915672730414</v>
          </cell>
          <cell r="AP159">
            <v>0</v>
          </cell>
          <cell r="AQ159">
            <v>20240.915672730414</v>
          </cell>
          <cell r="AS159">
            <v>1864.5123537243967</v>
          </cell>
          <cell r="AY159">
            <v>42.505922912733865</v>
          </cell>
          <cell r="AZ159">
            <v>42.505922912733865</v>
          </cell>
          <cell r="BA159">
            <v>35</v>
          </cell>
        </row>
        <row r="160">
          <cell r="A160" t="str">
            <v>8160-01-263</v>
          </cell>
          <cell r="B160" t="str">
            <v>Dan Schmorak</v>
          </cell>
          <cell r="C160" t="str">
            <v>006785984</v>
          </cell>
          <cell r="D160">
            <v>512065202</v>
          </cell>
          <cell r="F160" t="str">
            <v>דן שמורק</v>
          </cell>
          <cell r="G160" t="str">
            <v>V</v>
          </cell>
          <cell r="H160" t="str">
            <v>Meitav</v>
          </cell>
          <cell r="I160">
            <v>250000</v>
          </cell>
          <cell r="J160">
            <v>3.3881161446756495E-3</v>
          </cell>
          <cell r="L160">
            <v>1.11185234600845E-2</v>
          </cell>
          <cell r="M160">
            <v>0</v>
          </cell>
          <cell r="N160">
            <v>5760.3903662739222</v>
          </cell>
          <cell r="O160">
            <v>1468.5080882726554</v>
          </cell>
          <cell r="P160">
            <v>7228.8984545465773</v>
          </cell>
          <cell r="X160">
            <v>0</v>
          </cell>
          <cell r="Y160">
            <v>0</v>
          </cell>
          <cell r="AA160">
            <v>665.89726918728456</v>
          </cell>
          <cell r="AC160">
            <v>0</v>
          </cell>
          <cell r="AE160">
            <v>665.89726918728456</v>
          </cell>
          <cell r="AF160">
            <v>665.89726918728456</v>
          </cell>
          <cell r="AG160">
            <v>7228.8984545465773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175011</v>
          </cell>
          <cell r="AM160" t="str">
            <v>Zero investment in 2019</v>
          </cell>
          <cell r="AO160">
            <v>7228.8984545465773</v>
          </cell>
          <cell r="AP160">
            <v>0</v>
          </cell>
          <cell r="AQ160">
            <v>7228.8984545465773</v>
          </cell>
          <cell r="AS160">
            <v>665.89726918728456</v>
          </cell>
          <cell r="AY160">
            <v>15.180686754547812</v>
          </cell>
          <cell r="AZ160">
            <v>18</v>
          </cell>
          <cell r="BA160">
            <v>35</v>
          </cell>
        </row>
        <row r="161">
          <cell r="A161" t="str">
            <v>8160-01-264</v>
          </cell>
          <cell r="B161" t="str">
            <v>Eyal Amitai</v>
          </cell>
          <cell r="C161" t="str">
            <v>012159844</v>
          </cell>
          <cell r="D161">
            <v>512065202</v>
          </cell>
          <cell r="F161" t="str">
            <v>איל אמיתי</v>
          </cell>
          <cell r="G161" t="str">
            <v>V</v>
          </cell>
          <cell r="H161" t="str">
            <v>Meitav</v>
          </cell>
          <cell r="I161">
            <v>250000</v>
          </cell>
          <cell r="J161">
            <v>3.3881161446756495E-3</v>
          </cell>
          <cell r="L161">
            <v>1.11185234600845E-2</v>
          </cell>
          <cell r="M161">
            <v>0</v>
          </cell>
          <cell r="N161">
            <v>5760.3903662739222</v>
          </cell>
          <cell r="O161">
            <v>1468.5080882726554</v>
          </cell>
          <cell r="P161">
            <v>7228.8984545465773</v>
          </cell>
          <cell r="X161">
            <v>0</v>
          </cell>
          <cell r="Y161">
            <v>0</v>
          </cell>
          <cell r="AA161">
            <v>665.89726918728456</v>
          </cell>
          <cell r="AC161">
            <v>0</v>
          </cell>
          <cell r="AE161">
            <v>665.89726918728456</v>
          </cell>
          <cell r="AF161">
            <v>665.89726918728456</v>
          </cell>
          <cell r="AG161">
            <v>7228.8984545465773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175008.5</v>
          </cell>
          <cell r="AM161" t="str">
            <v>Zero investment in 2019</v>
          </cell>
          <cell r="AO161">
            <v>7228.8984545465773</v>
          </cell>
          <cell r="AP161">
            <v>0</v>
          </cell>
          <cell r="AQ161">
            <v>7228.8984545465773</v>
          </cell>
          <cell r="AS161">
            <v>665.89726918728456</v>
          </cell>
          <cell r="AY161">
            <v>15.180686754547812</v>
          </cell>
          <cell r="AZ161">
            <v>18</v>
          </cell>
          <cell r="BA161">
            <v>35</v>
          </cell>
        </row>
        <row r="162">
          <cell r="A162" t="str">
            <v>8160-01-265</v>
          </cell>
          <cell r="B162" t="str">
            <v>Gil Vardi</v>
          </cell>
          <cell r="C162" t="str">
            <v>001424928</v>
          </cell>
          <cell r="D162">
            <v>512065202</v>
          </cell>
          <cell r="F162" t="str">
            <v>גיל ורדי</v>
          </cell>
          <cell r="G162" t="str">
            <v>V</v>
          </cell>
          <cell r="H162" t="str">
            <v>Meitav</v>
          </cell>
          <cell r="I162">
            <v>300000</v>
          </cell>
          <cell r="J162">
            <v>4.0657393736107791E-3</v>
          </cell>
          <cell r="L162">
            <v>1.33422281521014E-2</v>
          </cell>
          <cell r="M162">
            <v>0</v>
          </cell>
          <cell r="N162">
            <v>6912.4684395287059</v>
          </cell>
          <cell r="O162">
            <v>1762.2097059271866</v>
          </cell>
          <cell r="P162">
            <v>8674.6781454558932</v>
          </cell>
          <cell r="X162">
            <v>0</v>
          </cell>
          <cell r="Y162">
            <v>0</v>
          </cell>
          <cell r="AA162">
            <v>799.07672302474145</v>
          </cell>
          <cell r="AC162">
            <v>0</v>
          </cell>
          <cell r="AE162">
            <v>799.07672302474145</v>
          </cell>
          <cell r="AF162">
            <v>799.07672302474145</v>
          </cell>
          <cell r="AG162">
            <v>8674.6781454558932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210014</v>
          </cell>
          <cell r="AM162" t="str">
            <v>Zero investment in 2019</v>
          </cell>
          <cell r="AO162">
            <v>8674.6781454558932</v>
          </cell>
          <cell r="AP162">
            <v>0</v>
          </cell>
          <cell r="AQ162">
            <v>8674.6781454558932</v>
          </cell>
          <cell r="AS162">
            <v>799.07672302474145</v>
          </cell>
          <cell r="AY162">
            <v>18.216824105457373</v>
          </cell>
          <cell r="AZ162">
            <v>18.216824105457373</v>
          </cell>
          <cell r="BA162">
            <v>35</v>
          </cell>
        </row>
        <row r="163">
          <cell r="A163" t="str">
            <v>8160-01-266</v>
          </cell>
          <cell r="B163" t="str">
            <v>Haim Shiniger</v>
          </cell>
          <cell r="C163" t="str">
            <v>043451640</v>
          </cell>
          <cell r="D163">
            <v>512065202</v>
          </cell>
          <cell r="F163" t="str">
            <v>חיים שיניגר</v>
          </cell>
          <cell r="G163" t="str">
            <v>V</v>
          </cell>
          <cell r="H163" t="str">
            <v>Meitav</v>
          </cell>
          <cell r="I163">
            <v>250000</v>
          </cell>
          <cell r="J163">
            <v>3.3881161446756495E-3</v>
          </cell>
          <cell r="L163">
            <v>1.11185234600845E-2</v>
          </cell>
          <cell r="M163">
            <v>0</v>
          </cell>
          <cell r="N163">
            <v>5760.3903662739222</v>
          </cell>
          <cell r="O163">
            <v>1468.5080882726554</v>
          </cell>
          <cell r="P163">
            <v>7228.8984545465773</v>
          </cell>
          <cell r="X163">
            <v>0</v>
          </cell>
          <cell r="Y163">
            <v>0</v>
          </cell>
          <cell r="AA163">
            <v>665.89726918728456</v>
          </cell>
          <cell r="AC163">
            <v>0</v>
          </cell>
          <cell r="AE163">
            <v>665.89726918728456</v>
          </cell>
          <cell r="AF163">
            <v>665.89726918728456</v>
          </cell>
          <cell r="AG163">
            <v>7228.8984545465773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175011</v>
          </cell>
          <cell r="AM163" t="str">
            <v>Zero investment in 2019</v>
          </cell>
          <cell r="AO163">
            <v>7228.8984545465773</v>
          </cell>
          <cell r="AP163">
            <v>0</v>
          </cell>
          <cell r="AQ163">
            <v>7228.8984545465773</v>
          </cell>
          <cell r="AS163">
            <v>665.89726918728456</v>
          </cell>
          <cell r="AY163">
            <v>15.180686754547812</v>
          </cell>
          <cell r="AZ163">
            <v>18</v>
          </cell>
          <cell r="BA163">
            <v>35</v>
          </cell>
        </row>
        <row r="164">
          <cell r="A164" t="str">
            <v>8160-01-267</v>
          </cell>
          <cell r="B164" t="str">
            <v>Dov Stempler</v>
          </cell>
          <cell r="C164" t="str">
            <v>050267475</v>
          </cell>
          <cell r="D164">
            <v>512065202</v>
          </cell>
          <cell r="F164" t="str">
            <v>דב סטמפלר</v>
          </cell>
          <cell r="G164" t="str">
            <v>V</v>
          </cell>
          <cell r="H164" t="str">
            <v>Meitav</v>
          </cell>
          <cell r="I164">
            <v>250000</v>
          </cell>
          <cell r="J164">
            <v>3.3881161446756495E-3</v>
          </cell>
          <cell r="L164">
            <v>1.11185234600845E-2</v>
          </cell>
          <cell r="M164">
            <v>0</v>
          </cell>
          <cell r="N164">
            <v>5760.3903662739222</v>
          </cell>
          <cell r="O164">
            <v>1468.5080882726554</v>
          </cell>
          <cell r="P164">
            <v>7228.8984545465773</v>
          </cell>
          <cell r="X164">
            <v>0</v>
          </cell>
          <cell r="Y164">
            <v>0</v>
          </cell>
          <cell r="AA164">
            <v>665.89726918728456</v>
          </cell>
          <cell r="AC164">
            <v>0</v>
          </cell>
          <cell r="AE164">
            <v>665.89726918728456</v>
          </cell>
          <cell r="AF164">
            <v>665.89726918728456</v>
          </cell>
          <cell r="AG164">
            <v>7228.8984545465773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175011</v>
          </cell>
          <cell r="AM164" t="str">
            <v>Zero investment in 2019</v>
          </cell>
          <cell r="AO164">
            <v>7228.8984545465773</v>
          </cell>
          <cell r="AP164">
            <v>0</v>
          </cell>
          <cell r="AQ164">
            <v>7228.8984545465773</v>
          </cell>
          <cell r="AS164">
            <v>665.89726918728456</v>
          </cell>
          <cell r="AY164">
            <v>15.180686754547812</v>
          </cell>
          <cell r="AZ164">
            <v>18</v>
          </cell>
          <cell r="BA164">
            <v>35</v>
          </cell>
        </row>
        <row r="165">
          <cell r="A165" t="str">
            <v>8160-01-269</v>
          </cell>
          <cell r="B165" t="str">
            <v>Rafael Yosef and Gila Aravot</v>
          </cell>
          <cell r="C165" t="str">
            <v>Rafael 052294170  Gila 054197835</v>
          </cell>
          <cell r="D165" t="str">
            <v>Rafael 052294170  Gila 054197835</v>
          </cell>
          <cell r="F165" t="str">
            <v>רפאל יוסף ערבות וגילה ערבות</v>
          </cell>
          <cell r="G165" t="str">
            <v>V</v>
          </cell>
          <cell r="I165">
            <v>150000</v>
          </cell>
          <cell r="J165">
            <v>2.0328696868053896E-3</v>
          </cell>
          <cell r="L165">
            <v>6.6711140760507001E-3</v>
          </cell>
          <cell r="M165">
            <v>0</v>
          </cell>
          <cell r="N165">
            <v>3456.2342197643529</v>
          </cell>
          <cell r="O165">
            <v>881.10485296359332</v>
          </cell>
          <cell r="P165">
            <v>4337.3390727279466</v>
          </cell>
          <cell r="Y165">
            <v>0</v>
          </cell>
          <cell r="Z165">
            <v>864.05855494108823</v>
          </cell>
          <cell r="AA165">
            <v>399.53836151237073</v>
          </cell>
          <cell r="AB165">
            <v>-399.53836151237073</v>
          </cell>
          <cell r="AC165">
            <v>464.5201934287175</v>
          </cell>
          <cell r="AD165" t="str">
            <v>X</v>
          </cell>
          <cell r="AF165">
            <v>864.05855494108823</v>
          </cell>
          <cell r="AG165">
            <v>3872.8188792992291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150000</v>
          </cell>
          <cell r="AM165" t="str">
            <v>Zero investment in 2019</v>
          </cell>
          <cell r="AO165">
            <v>4337.3390727279466</v>
          </cell>
          <cell r="AP165">
            <v>464.5201934287175</v>
          </cell>
          <cell r="AQ165">
            <v>3872.8188792992291</v>
          </cell>
          <cell r="AS165">
            <v>864.05855494108823</v>
          </cell>
          <cell r="AY165">
            <v>8.1329196465283804</v>
          </cell>
          <cell r="AZ165">
            <v>18</v>
          </cell>
          <cell r="BA165">
            <v>35</v>
          </cell>
        </row>
        <row r="166">
          <cell r="A166" t="str">
            <v>8160-01-271</v>
          </cell>
          <cell r="B166" t="str">
            <v>Sergio Edelsztein</v>
          </cell>
          <cell r="C166" t="str">
            <v>013834031</v>
          </cell>
          <cell r="D166">
            <v>13834031</v>
          </cell>
          <cell r="F166" t="str">
            <v>סרג'יו אדלשטיין</v>
          </cell>
          <cell r="G166" t="str">
            <v>V</v>
          </cell>
          <cell r="I166">
            <v>250000</v>
          </cell>
          <cell r="J166">
            <v>3.3881161446756495E-3</v>
          </cell>
          <cell r="L166">
            <v>1.11185234600845E-2</v>
          </cell>
          <cell r="M166">
            <v>0</v>
          </cell>
          <cell r="N166">
            <v>5760.3903662739222</v>
          </cell>
          <cell r="O166">
            <v>1468.5080882726554</v>
          </cell>
          <cell r="P166">
            <v>7228.8984545465773</v>
          </cell>
          <cell r="Y166">
            <v>0</v>
          </cell>
          <cell r="Z166">
            <v>1440.0975915684805</v>
          </cell>
          <cell r="AA166">
            <v>665.89726918728456</v>
          </cell>
          <cell r="AB166">
            <v>-665.89726918728456</v>
          </cell>
          <cell r="AC166">
            <v>774.20032238119597</v>
          </cell>
          <cell r="AD166" t="str">
            <v>X</v>
          </cell>
          <cell r="AF166">
            <v>1440.0975915684805</v>
          </cell>
          <cell r="AG166">
            <v>6454.6981321653811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175011</v>
          </cell>
          <cell r="AM166" t="str">
            <v>Zero investment in 2019</v>
          </cell>
          <cell r="AO166">
            <v>7228.8984545465773</v>
          </cell>
          <cell r="AP166">
            <v>774.20032238119597</v>
          </cell>
          <cell r="AQ166">
            <v>6454.6981321653811</v>
          </cell>
          <cell r="AS166">
            <v>1440.0975915684805</v>
          </cell>
          <cell r="AY166">
            <v>13.554866077547299</v>
          </cell>
          <cell r="AZ166">
            <v>18</v>
          </cell>
          <cell r="BA166">
            <v>35</v>
          </cell>
        </row>
        <row r="167">
          <cell r="A167" t="str">
            <v>8160-01-273</v>
          </cell>
          <cell r="B167" t="str">
            <v>Silvia &amp; Ehud Portiansky</v>
          </cell>
          <cell r="C167" t="str">
            <v>Silvia 017378886   Ehud 015133382</v>
          </cell>
          <cell r="D167" t="str">
            <v>Silvia 017378886   Ehud 015133382</v>
          </cell>
          <cell r="F167" t="str">
            <v>סילביה הלנה פורטיאנסקי ואהוד פורטיאנסקי</v>
          </cell>
          <cell r="G167" t="str">
            <v>V</v>
          </cell>
          <cell r="I167">
            <v>250000</v>
          </cell>
          <cell r="J167">
            <v>3.3881161446756495E-3</v>
          </cell>
          <cell r="L167">
            <v>1.11185234600845E-2</v>
          </cell>
          <cell r="M167">
            <v>0</v>
          </cell>
          <cell r="N167">
            <v>5760.3903662739222</v>
          </cell>
          <cell r="O167">
            <v>1468.5080882726554</v>
          </cell>
          <cell r="P167">
            <v>7228.8984545465773</v>
          </cell>
          <cell r="Y167">
            <v>0</v>
          </cell>
          <cell r="Z167">
            <v>1440.0975915684805</v>
          </cell>
          <cell r="AA167">
            <v>665.89726918728456</v>
          </cell>
          <cell r="AB167">
            <v>-665.89726918728456</v>
          </cell>
          <cell r="AC167">
            <v>774.20032238119597</v>
          </cell>
          <cell r="AD167" t="str">
            <v>X</v>
          </cell>
          <cell r="AF167">
            <v>1440.0975915684805</v>
          </cell>
          <cell r="AG167">
            <v>6454.6981321653811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175011</v>
          </cell>
          <cell r="AM167" t="str">
            <v>Zero investment in 2019</v>
          </cell>
          <cell r="AO167">
            <v>7228.8984545465773</v>
          </cell>
          <cell r="AP167">
            <v>774.20032238119597</v>
          </cell>
          <cell r="AQ167">
            <v>6454.6981321653811</v>
          </cell>
          <cell r="AS167">
            <v>1440.0975915684805</v>
          </cell>
          <cell r="AY167">
            <v>13.554866077547299</v>
          </cell>
          <cell r="AZ167">
            <v>18</v>
          </cell>
          <cell r="BA167">
            <v>35</v>
          </cell>
        </row>
        <row r="168">
          <cell r="A168" t="str">
            <v>8160-01-275</v>
          </cell>
          <cell r="B168" t="str">
            <v>Yishai Levanoni</v>
          </cell>
          <cell r="C168" t="str">
            <v>023634496</v>
          </cell>
          <cell r="D168">
            <v>23634496</v>
          </cell>
          <cell r="F168" t="str">
            <v>ישי לבנוני</v>
          </cell>
          <cell r="G168" t="str">
            <v>V</v>
          </cell>
          <cell r="I168">
            <v>120000</v>
          </cell>
          <cell r="J168">
            <v>1.6262957494443118E-3</v>
          </cell>
          <cell r="L168">
            <v>5.3368912608405599E-3</v>
          </cell>
          <cell r="M168">
            <v>0</v>
          </cell>
          <cell r="N168">
            <v>2764.9873758114823</v>
          </cell>
          <cell r="O168">
            <v>704.88388237087463</v>
          </cell>
          <cell r="P168">
            <v>3469.871258182357</v>
          </cell>
          <cell r="Y168">
            <v>0</v>
          </cell>
          <cell r="Z168">
            <v>691.24684395287056</v>
          </cell>
          <cell r="AA168">
            <v>319.63068920989656</v>
          </cell>
          <cell r="AB168">
            <v>-319.63068920989656</v>
          </cell>
          <cell r="AC168">
            <v>371.616154742974</v>
          </cell>
          <cell r="AD168" t="str">
            <v>ע"פ תקנות'</v>
          </cell>
          <cell r="AF168">
            <v>691.24684395287056</v>
          </cell>
          <cell r="AG168">
            <v>3098.2551034393828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84002.5</v>
          </cell>
          <cell r="AM168" t="str">
            <v>Zero investment in 2019</v>
          </cell>
          <cell r="AO168">
            <v>3469.871258182357</v>
          </cell>
          <cell r="AP168">
            <v>371.616154742974</v>
          </cell>
          <cell r="AQ168">
            <v>3098.2551034393828</v>
          </cell>
          <cell r="AS168">
            <v>691.24684395287056</v>
          </cell>
          <cell r="AY168">
            <v>6.5063357172227034</v>
          </cell>
          <cell r="AZ168">
            <v>18</v>
          </cell>
          <cell r="BA168">
            <v>35</v>
          </cell>
        </row>
        <row r="169">
          <cell r="A169" t="str">
            <v>8160-01-276</v>
          </cell>
          <cell r="B169" t="str">
            <v>Viatcheslav Brecht</v>
          </cell>
          <cell r="C169">
            <v>309826329</v>
          </cell>
          <cell r="D169">
            <v>309826329</v>
          </cell>
          <cell r="G169" t="str">
            <v>V</v>
          </cell>
          <cell r="I169">
            <v>500000</v>
          </cell>
          <cell r="J169">
            <v>6.7762322893512991E-3</v>
          </cell>
          <cell r="L169">
            <v>2.2237046920169E-2</v>
          </cell>
          <cell r="M169">
            <v>0</v>
          </cell>
          <cell r="N169">
            <v>11520.780732547844</v>
          </cell>
          <cell r="O169">
            <v>2937.0161765453108</v>
          </cell>
          <cell r="P169">
            <v>14457.796909093155</v>
          </cell>
          <cell r="Y169">
            <v>0</v>
          </cell>
          <cell r="Z169">
            <v>2880.1951831369611</v>
          </cell>
          <cell r="AA169">
            <v>1331.7945383745691</v>
          </cell>
          <cell r="AB169">
            <v>-1331.7945383745691</v>
          </cell>
          <cell r="AC169">
            <v>1548.4006447623919</v>
          </cell>
          <cell r="AD169" t="str">
            <v>ע"פ תקנות'</v>
          </cell>
          <cell r="AF169">
            <v>2880.1951831369611</v>
          </cell>
          <cell r="AG169">
            <v>12909.396264330762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350023</v>
          </cell>
          <cell r="AM169" t="str">
            <v>Zero investment in 2019</v>
          </cell>
          <cell r="AO169">
            <v>14457.796909093155</v>
          </cell>
          <cell r="AP169">
            <v>1548.4006447623919</v>
          </cell>
          <cell r="AQ169">
            <v>12909.396264330762</v>
          </cell>
          <cell r="AS169">
            <v>2880.1951831369611</v>
          </cell>
          <cell r="AY169">
            <v>27.109732155094598</v>
          </cell>
          <cell r="AZ169">
            <v>27.109732155094598</v>
          </cell>
          <cell r="BA169">
            <v>35</v>
          </cell>
        </row>
        <row r="170">
          <cell r="A170" t="str">
            <v>8160-01-278</v>
          </cell>
          <cell r="B170" t="str">
            <v>Ori Etkovitz</v>
          </cell>
          <cell r="C170" t="str">
            <v>024817801</v>
          </cell>
          <cell r="D170">
            <v>24817801</v>
          </cell>
          <cell r="F170" t="str">
            <v>אורי אטקוביץ</v>
          </cell>
          <cell r="G170" t="str">
            <v>V</v>
          </cell>
          <cell r="I170">
            <v>120000</v>
          </cell>
          <cell r="J170">
            <v>1.6262957494443118E-3</v>
          </cell>
          <cell r="L170">
            <v>5.3368912608405599E-3</v>
          </cell>
          <cell r="M170">
            <v>0</v>
          </cell>
          <cell r="N170">
            <v>2764.9873758114823</v>
          </cell>
          <cell r="O170">
            <v>704.88388237087463</v>
          </cell>
          <cell r="P170">
            <v>3469.871258182357</v>
          </cell>
          <cell r="Y170">
            <v>0</v>
          </cell>
          <cell r="Z170">
            <v>691.24684395287056</v>
          </cell>
          <cell r="AA170">
            <v>319.63068920989656</v>
          </cell>
          <cell r="AB170">
            <v>-319.63068920989656</v>
          </cell>
          <cell r="AC170">
            <v>371.616154742974</v>
          </cell>
          <cell r="AD170" t="str">
            <v>ע"פ תקנות'</v>
          </cell>
          <cell r="AF170">
            <v>691.24684395287056</v>
          </cell>
          <cell r="AG170">
            <v>3098.2551034393828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84002.5</v>
          </cell>
          <cell r="AM170" t="str">
            <v>Zero investment in 2019</v>
          </cell>
          <cell r="AO170">
            <v>3469.871258182357</v>
          </cell>
          <cell r="AP170">
            <v>371.616154742974</v>
          </cell>
          <cell r="AQ170">
            <v>3098.2551034393828</v>
          </cell>
          <cell r="AS170">
            <v>691.24684395287056</v>
          </cell>
          <cell r="AY170">
            <v>6.5063357172227034</v>
          </cell>
          <cell r="AZ170">
            <v>18</v>
          </cell>
          <cell r="BA170">
            <v>35</v>
          </cell>
        </row>
        <row r="171">
          <cell r="A171" t="str">
            <v>8160-01-279</v>
          </cell>
          <cell r="B171" t="str">
            <v>Jacob Ofnagel</v>
          </cell>
          <cell r="C171" t="str">
            <v>054604533</v>
          </cell>
          <cell r="D171">
            <v>54604533</v>
          </cell>
          <cell r="F171" t="str">
            <v>יעקב אופנגל</v>
          </cell>
          <cell r="G171" t="str">
            <v>V</v>
          </cell>
          <cell r="I171">
            <v>250000</v>
          </cell>
          <cell r="J171">
            <v>3.3881161446756495E-3</v>
          </cell>
          <cell r="L171">
            <v>1.11185234600845E-2</v>
          </cell>
          <cell r="M171">
            <v>0</v>
          </cell>
          <cell r="N171">
            <v>5760.3903662739222</v>
          </cell>
          <cell r="O171">
            <v>1468.5080882726554</v>
          </cell>
          <cell r="P171">
            <v>7228.8984545465773</v>
          </cell>
          <cell r="Y171">
            <v>0</v>
          </cell>
          <cell r="Z171">
            <v>1440.0975915684805</v>
          </cell>
          <cell r="AA171">
            <v>665.89726918728456</v>
          </cell>
          <cell r="AB171">
            <v>-665.89726918728456</v>
          </cell>
          <cell r="AC171">
            <v>774.20032238119597</v>
          </cell>
          <cell r="AD171" t="str">
            <v>X</v>
          </cell>
          <cell r="AF171">
            <v>1440.0975915684805</v>
          </cell>
          <cell r="AG171">
            <v>6454.6981321653811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175011</v>
          </cell>
          <cell r="AM171" t="str">
            <v>Zero investment in 2019</v>
          </cell>
          <cell r="AO171">
            <v>7228.8984545465773</v>
          </cell>
          <cell r="AP171">
            <v>774.20032238119597</v>
          </cell>
          <cell r="AQ171">
            <v>6454.6981321653811</v>
          </cell>
          <cell r="AS171">
            <v>1440.0975915684805</v>
          </cell>
          <cell r="AY171">
            <v>13.554866077547299</v>
          </cell>
          <cell r="AZ171">
            <v>18</v>
          </cell>
          <cell r="BA171">
            <v>35</v>
          </cell>
        </row>
        <row r="172">
          <cell r="A172" t="str">
            <v>8160-01-280</v>
          </cell>
          <cell r="B172" t="str">
            <v>Itzchak Rosenberg</v>
          </cell>
          <cell r="C172" t="str">
            <v>005288253</v>
          </cell>
          <cell r="D172">
            <v>512065202</v>
          </cell>
          <cell r="F172" t="str">
            <v>יצחק רוזנברג</v>
          </cell>
          <cell r="G172" t="str">
            <v>V</v>
          </cell>
          <cell r="H172" t="str">
            <v>Meitav</v>
          </cell>
          <cell r="I172">
            <v>600000</v>
          </cell>
          <cell r="J172">
            <v>8.1314787472215582E-3</v>
          </cell>
          <cell r="L172">
            <v>2.6684456304202801E-2</v>
          </cell>
          <cell r="M172">
            <v>0</v>
          </cell>
          <cell r="N172">
            <v>13824.936879057412</v>
          </cell>
          <cell r="O172">
            <v>3524.4194118543733</v>
          </cell>
          <cell r="P172">
            <v>17349.356290911786</v>
          </cell>
          <cell r="X172">
            <v>0</v>
          </cell>
          <cell r="Y172">
            <v>0</v>
          </cell>
          <cell r="AA172">
            <v>1598.1534460494829</v>
          </cell>
          <cell r="AC172">
            <v>0</v>
          </cell>
          <cell r="AE172">
            <v>1598.1534460494829</v>
          </cell>
          <cell r="AF172">
            <v>1598.1534460494829</v>
          </cell>
          <cell r="AG172">
            <v>17349.356290911786</v>
          </cell>
          <cell r="AH172" t="e">
            <v>#N/A</v>
          </cell>
          <cell r="AI172" t="e">
            <v>#N/A</v>
          </cell>
          <cell r="AJ172" t="e">
            <v>#N/A</v>
          </cell>
          <cell r="AK172" t="e">
            <v>#N/A</v>
          </cell>
          <cell r="AL172" t="e">
            <v>#N/A</v>
          </cell>
          <cell r="AM172" t="str">
            <v>Zero investment in 2019</v>
          </cell>
          <cell r="AO172">
            <v>17349.356290911786</v>
          </cell>
          <cell r="AP172">
            <v>0</v>
          </cell>
          <cell r="AQ172">
            <v>17349.356290911786</v>
          </cell>
          <cell r="AS172">
            <v>1598.1534460494829</v>
          </cell>
          <cell r="AY172">
            <v>36.433648210914747</v>
          </cell>
          <cell r="AZ172">
            <v>36.433648210914747</v>
          </cell>
          <cell r="BA172">
            <v>35</v>
          </cell>
        </row>
        <row r="173">
          <cell r="A173" t="str">
            <v>8160-01-281</v>
          </cell>
          <cell r="B173" t="str">
            <v>Liat Atlas</v>
          </cell>
          <cell r="C173" t="str">
            <v>024506933</v>
          </cell>
          <cell r="D173">
            <v>24506933</v>
          </cell>
          <cell r="F173" t="str">
            <v>חיה ליאת אטלס</v>
          </cell>
          <cell r="G173" t="str">
            <v>VI</v>
          </cell>
          <cell r="I173">
            <v>250000</v>
          </cell>
          <cell r="J173">
            <v>3.3881161446756495E-3</v>
          </cell>
          <cell r="L173">
            <v>1.11185234600845E-2</v>
          </cell>
          <cell r="M173">
            <v>0</v>
          </cell>
          <cell r="N173">
            <v>5760.3903662739222</v>
          </cell>
          <cell r="O173">
            <v>1468.5080882726554</v>
          </cell>
          <cell r="P173">
            <v>7228.8984545465773</v>
          </cell>
          <cell r="Y173">
            <v>0</v>
          </cell>
          <cell r="Z173">
            <v>1440.0975915684805</v>
          </cell>
          <cell r="AA173">
            <v>665.89726918728456</v>
          </cell>
          <cell r="AB173">
            <v>-665.89726918728456</v>
          </cell>
          <cell r="AC173">
            <v>774.20032238119597</v>
          </cell>
          <cell r="AD173" t="str">
            <v>X</v>
          </cell>
          <cell r="AF173">
            <v>1440.0975915684805</v>
          </cell>
          <cell r="AG173">
            <v>6454.6981321653811</v>
          </cell>
          <cell r="AM173" t="str">
            <v>Zero investment in 2019</v>
          </cell>
          <cell r="AO173">
            <v>7228.8984545465773</v>
          </cell>
          <cell r="AP173">
            <v>774.20032238119597</v>
          </cell>
          <cell r="AQ173">
            <v>6454.6981321653811</v>
          </cell>
          <cell r="AS173">
            <v>1440.0975915684805</v>
          </cell>
          <cell r="AT173" t="str">
            <v>לא מקבלים כסף</v>
          </cell>
          <cell r="AY173">
            <v>13.554866077547299</v>
          </cell>
          <cell r="AZ173">
            <v>18</v>
          </cell>
          <cell r="BA173">
            <v>35</v>
          </cell>
        </row>
        <row r="174">
          <cell r="A174" t="str">
            <v>8160-01-282</v>
          </cell>
          <cell r="B174" t="str">
            <v>Ron Gabor</v>
          </cell>
          <cell r="C174" t="str">
            <v>029641537</v>
          </cell>
          <cell r="D174">
            <v>29641537</v>
          </cell>
          <cell r="F174" t="str">
            <v>רון גבור</v>
          </cell>
          <cell r="G174" t="str">
            <v>VI</v>
          </cell>
          <cell r="I174">
            <v>150000</v>
          </cell>
          <cell r="J174">
            <v>2.0328696868053896E-3</v>
          </cell>
          <cell r="L174">
            <v>6.6711140760507001E-3</v>
          </cell>
          <cell r="M174">
            <v>0</v>
          </cell>
          <cell r="N174">
            <v>3456.2342197643529</v>
          </cell>
          <cell r="O174">
            <v>881.10485296359332</v>
          </cell>
          <cell r="P174">
            <v>4337.3390727279466</v>
          </cell>
          <cell r="Y174">
            <v>0</v>
          </cell>
          <cell r="Z174">
            <v>864.05855494108823</v>
          </cell>
          <cell r="AA174">
            <v>399.53836151237073</v>
          </cell>
          <cell r="AB174">
            <v>-399.53836151237073</v>
          </cell>
          <cell r="AC174">
            <v>464.5201934287175</v>
          </cell>
          <cell r="AD174" t="str">
            <v>ע"פ תקנות'</v>
          </cell>
          <cell r="AF174">
            <v>864.05855494108823</v>
          </cell>
          <cell r="AG174">
            <v>3872.8188792992291</v>
          </cell>
          <cell r="AM174" t="str">
            <v>Zero investment in 2019</v>
          </cell>
          <cell r="AO174">
            <v>4337.3390727279466</v>
          </cell>
          <cell r="AP174">
            <v>464.5201934287175</v>
          </cell>
          <cell r="AQ174">
            <v>3872.8188792992291</v>
          </cell>
          <cell r="AS174">
            <v>864.05855494108823</v>
          </cell>
          <cell r="AT174" t="str">
            <v>לא מקבלים כסף</v>
          </cell>
          <cell r="AY174">
            <v>8.1329196465283804</v>
          </cell>
          <cell r="AZ174">
            <v>18</v>
          </cell>
          <cell r="BA174">
            <v>35</v>
          </cell>
        </row>
        <row r="175">
          <cell r="A175" t="str">
            <v>8160-01-283</v>
          </cell>
          <cell r="B175" t="str">
            <v>Yair Liel</v>
          </cell>
          <cell r="C175" t="str">
            <v>030380372</v>
          </cell>
          <cell r="D175">
            <v>30380372</v>
          </cell>
          <cell r="F175" t="str">
            <v>יאיר אברהם ליאל</v>
          </cell>
          <cell r="G175" t="str">
            <v>VI</v>
          </cell>
          <cell r="I175">
            <v>200000</v>
          </cell>
          <cell r="J175">
            <v>2.7104929157405195E-3</v>
          </cell>
          <cell r="L175">
            <v>8.8948187680676014E-3</v>
          </cell>
          <cell r="M175">
            <v>0</v>
          </cell>
          <cell r="N175">
            <v>4608.3122930191385</v>
          </cell>
          <cell r="O175">
            <v>1174.8064706181244</v>
          </cell>
          <cell r="P175">
            <v>5783.1187636372633</v>
          </cell>
          <cell r="Y175">
            <v>0</v>
          </cell>
          <cell r="Z175">
            <v>1152.0780732547846</v>
          </cell>
          <cell r="AA175">
            <v>532.71781534982767</v>
          </cell>
          <cell r="AB175">
            <v>-532.71781534982767</v>
          </cell>
          <cell r="AC175">
            <v>619.36025790495694</v>
          </cell>
          <cell r="AD175" t="str">
            <v>X</v>
          </cell>
          <cell r="AF175">
            <v>1152.0780732547846</v>
          </cell>
          <cell r="AG175">
            <v>5163.7585057323067</v>
          </cell>
          <cell r="AM175" t="str">
            <v>Zero investment in 2019</v>
          </cell>
          <cell r="AO175">
            <v>5783.1187636372633</v>
          </cell>
          <cell r="AP175">
            <v>619.36025790495694</v>
          </cell>
          <cell r="AQ175">
            <v>5163.7585057323067</v>
          </cell>
          <cell r="AS175">
            <v>1152.0780732547846</v>
          </cell>
          <cell r="AT175" t="str">
            <v>לא מקבלים כסף</v>
          </cell>
          <cell r="AY175">
            <v>10.843892862037844</v>
          </cell>
          <cell r="AZ175">
            <v>18</v>
          </cell>
          <cell r="BA175">
            <v>35</v>
          </cell>
        </row>
        <row r="176">
          <cell r="A176" t="str">
            <v>8160-01-284</v>
          </cell>
          <cell r="B176" t="str">
            <v xml:space="preserve">AMI - Government Employees Provident Fund Management Company Ltd
</v>
          </cell>
          <cell r="C176">
            <v>520042581</v>
          </cell>
          <cell r="D176">
            <v>520042581</v>
          </cell>
          <cell r="E176" t="str">
            <v xml:space="preserve">AMI - Government Employees Provident Fund Management Company Ltd
</v>
          </cell>
          <cell r="F176" t="str">
            <v>עמ"י - חברה לניהול קופת גמל מפעלית בע"מ</v>
          </cell>
          <cell r="G176" t="str">
            <v>VI</v>
          </cell>
          <cell r="I176">
            <v>1380000</v>
          </cell>
          <cell r="J176">
            <v>1.8702401118609584E-2</v>
          </cell>
          <cell r="L176">
            <v>6.1374249499666446E-2</v>
          </cell>
          <cell r="M176">
            <v>0</v>
          </cell>
          <cell r="N176">
            <v>31797.35482183205</v>
          </cell>
          <cell r="O176">
            <v>8106.1646472650591</v>
          </cell>
          <cell r="P176">
            <v>39903.519469097111</v>
          </cell>
          <cell r="X176">
            <v>0</v>
          </cell>
          <cell r="Y176">
            <v>0</v>
          </cell>
          <cell r="AA176">
            <v>3675.7529259138109</v>
          </cell>
          <cell r="AD176" t="str">
            <v>V</v>
          </cell>
          <cell r="AE176">
            <v>3675.7529259138109</v>
          </cell>
          <cell r="AF176">
            <v>3675.7529259138109</v>
          </cell>
          <cell r="AG176">
            <v>39903.519469097111</v>
          </cell>
          <cell r="AM176" t="str">
            <v>Zero investment in 2019</v>
          </cell>
          <cell r="AO176">
            <v>39903.519469097111</v>
          </cell>
          <cell r="AP176">
            <v>0</v>
          </cell>
          <cell r="AQ176">
            <v>39903.519469097111</v>
          </cell>
          <cell r="AS176">
            <v>3675.7529259138109</v>
          </cell>
          <cell r="AT176" t="str">
            <v>לא מקבלים כסף</v>
          </cell>
          <cell r="AY176">
            <v>83.797390885103923</v>
          </cell>
          <cell r="AZ176">
            <v>83.797390885103923</v>
          </cell>
          <cell r="BA176">
            <v>35</v>
          </cell>
        </row>
        <row r="177">
          <cell r="A177" t="str">
            <v>8160-01-285</v>
          </cell>
          <cell r="B177" t="str">
            <v>Machar - Hevra Lenihul Kupot Gamal Ltd - obo Kupat Gemel Machar</v>
          </cell>
          <cell r="C177">
            <v>500601568</v>
          </cell>
          <cell r="D177">
            <v>500601568</v>
          </cell>
          <cell r="E177" t="str">
            <v>Machar - Hevra Lenihul Kupot Gamal Ltd - obo Kupat Gemel Machar</v>
          </cell>
          <cell r="F177" t="str">
            <v>מחר - חברה לניהול קופות גמל בע"מ</v>
          </cell>
          <cell r="G177" t="str">
            <v>VI</v>
          </cell>
          <cell r="I177">
            <v>1000000</v>
          </cell>
          <cell r="J177">
            <v>1.3552464578702598E-2</v>
          </cell>
          <cell r="L177">
            <v>4.4474093840338E-2</v>
          </cell>
          <cell r="M177">
            <v>0</v>
          </cell>
          <cell r="N177">
            <v>23041.561465095689</v>
          </cell>
          <cell r="O177">
            <v>5874.0323530906217</v>
          </cell>
          <cell r="P177">
            <v>28915.593818186309</v>
          </cell>
          <cell r="Y177">
            <v>0</v>
          </cell>
          <cell r="AA177">
            <v>2663.5890767491383</v>
          </cell>
          <cell r="AC177">
            <v>0</v>
          </cell>
          <cell r="AD177" t="str">
            <v>V</v>
          </cell>
          <cell r="AE177">
            <v>2663.5890767491383</v>
          </cell>
          <cell r="AF177">
            <v>2663.5890767491383</v>
          </cell>
          <cell r="AG177">
            <v>28915.593818186309</v>
          </cell>
          <cell r="AM177" t="str">
            <v>Zero investment in 2019</v>
          </cell>
          <cell r="AO177">
            <v>28915.593818186309</v>
          </cell>
          <cell r="AP177">
            <v>0</v>
          </cell>
          <cell r="AQ177">
            <v>28915.593818186309</v>
          </cell>
          <cell r="AS177">
            <v>2663.5890767491383</v>
          </cell>
          <cell r="AT177" t="str">
            <v>לא מקבלים כסף</v>
          </cell>
          <cell r="AY177">
            <v>60.722747018191249</v>
          </cell>
          <cell r="AZ177">
            <v>60.722747018191249</v>
          </cell>
          <cell r="BA177">
            <v>35</v>
          </cell>
        </row>
        <row r="178">
          <cell r="A178" t="str">
            <v>8160-01-286</v>
          </cell>
          <cell r="B178" t="str">
            <v xml:space="preserve">I Argento Funds in Israel LP
</v>
          </cell>
          <cell r="C178">
            <v>550244180</v>
          </cell>
          <cell r="D178">
            <v>550244180</v>
          </cell>
          <cell r="E178" t="str">
            <v xml:space="preserve">I Argento Funds in Israel LP
</v>
          </cell>
          <cell r="F178" t="str">
            <v>קרן איגרא ארגנטו מנייתית, שותפות מוגבלת</v>
          </cell>
          <cell r="G178" t="str">
            <v>VI</v>
          </cell>
          <cell r="I178">
            <v>1500000</v>
          </cell>
          <cell r="J178">
            <v>2.0328696868053896E-2</v>
          </cell>
          <cell r="L178">
            <v>6.6711140760507007E-2</v>
          </cell>
          <cell r="M178">
            <v>0</v>
          </cell>
          <cell r="N178">
            <v>34562.342197643535</v>
          </cell>
          <cell r="O178">
            <v>8811.0485296359329</v>
          </cell>
          <cell r="P178">
            <v>43373.390727279468</v>
          </cell>
          <cell r="Y178">
            <v>0</v>
          </cell>
          <cell r="Z178">
            <v>8640.5855494108837</v>
          </cell>
          <cell r="AA178">
            <v>3995.3836151237074</v>
          </cell>
          <cell r="AB178">
            <v>-3995.3836151237074</v>
          </cell>
          <cell r="AC178">
            <v>4645.2019342871763</v>
          </cell>
          <cell r="AD178" t="str">
            <v>X</v>
          </cell>
          <cell r="AF178">
            <v>8640.5855494108837</v>
          </cell>
          <cell r="AG178">
            <v>38728.188792992289</v>
          </cell>
          <cell r="AM178" t="str">
            <v>Zero investment in 2019</v>
          </cell>
          <cell r="AO178">
            <v>43373.390727279468</v>
          </cell>
          <cell r="AP178">
            <v>4645.2019342871763</v>
          </cell>
          <cell r="AQ178">
            <v>38728.188792992289</v>
          </cell>
          <cell r="AS178">
            <v>8640.5855494108837</v>
          </cell>
          <cell r="AT178" t="str">
            <v>לא מקבלים כסף</v>
          </cell>
          <cell r="AY178">
            <v>81.3291964652838</v>
          </cell>
          <cell r="AZ178">
            <v>81.3291964652838</v>
          </cell>
          <cell r="BA178">
            <v>35</v>
          </cell>
        </row>
        <row r="179">
          <cell r="A179" t="str">
            <v>8160-01-287</v>
          </cell>
          <cell r="B179" t="str">
            <v xml:space="preserve">Kela - Social Workers Study Fund Management Company Ltd
</v>
          </cell>
          <cell r="C179" t="str">
            <v>52003094-1</v>
          </cell>
          <cell r="D179" t="str">
            <v>52003094-1</v>
          </cell>
          <cell r="E179" t="str">
            <v xml:space="preserve">Kela - Social Workers Study Fund Management Company Ltd
</v>
          </cell>
          <cell r="F179" t="str">
            <v>ק.ל.ע חברה לניהול קרן השתלמות לעובדים סוציאלים בע"מ</v>
          </cell>
          <cell r="G179" t="str">
            <v>VI</v>
          </cell>
          <cell r="I179">
            <v>560000</v>
          </cell>
          <cell r="J179">
            <v>7.5893801640734542E-3</v>
          </cell>
          <cell r="L179">
            <v>2.490549255058928E-2</v>
          </cell>
          <cell r="M179">
            <v>0</v>
          </cell>
          <cell r="N179">
            <v>12903.274420453585</v>
          </cell>
          <cell r="O179">
            <v>3289.4581177307482</v>
          </cell>
          <cell r="P179">
            <v>16192.732538184333</v>
          </cell>
          <cell r="X179">
            <v>0</v>
          </cell>
          <cell r="Y179">
            <v>0</v>
          </cell>
          <cell r="AA179">
            <v>1491.6098829795174</v>
          </cell>
          <cell r="AD179" t="str">
            <v>V</v>
          </cell>
          <cell r="AE179">
            <v>1491.6098829795174</v>
          </cell>
          <cell r="AF179">
            <v>1491.6098829795174</v>
          </cell>
          <cell r="AG179">
            <v>16192.732538184333</v>
          </cell>
          <cell r="AM179" t="str">
            <v>Zero investment in 2019</v>
          </cell>
          <cell r="AO179">
            <v>16192.732538184333</v>
          </cell>
          <cell r="AP179">
            <v>0</v>
          </cell>
          <cell r="AQ179">
            <v>16192.732538184333</v>
          </cell>
          <cell r="AS179">
            <v>1491.6098829795174</v>
          </cell>
          <cell r="AT179" t="str">
            <v>לא מקבלים כסף</v>
          </cell>
          <cell r="AY179">
            <v>34.004738330187095</v>
          </cell>
          <cell r="AZ179">
            <v>34.004738330187095</v>
          </cell>
          <cell r="BA179">
            <v>35</v>
          </cell>
        </row>
        <row r="180">
          <cell r="A180" t="str">
            <v>8160-01-288</v>
          </cell>
          <cell r="B180" t="str">
            <v>Michael Lutzky - IRA</v>
          </cell>
          <cell r="C180" t="str">
            <v>017518861</v>
          </cell>
          <cell r="D180">
            <v>512065202</v>
          </cell>
          <cell r="F180" t="str">
            <v>מיכאל לוצקי</v>
          </cell>
          <cell r="G180" t="str">
            <v>VI</v>
          </cell>
          <cell r="H180" t="str">
            <v>Meitav</v>
          </cell>
          <cell r="I180">
            <v>200000</v>
          </cell>
          <cell r="J180">
            <v>2.7104929157405195E-3</v>
          </cell>
          <cell r="L180">
            <v>8.8948187680676014E-3</v>
          </cell>
          <cell r="M180">
            <v>0</v>
          </cell>
          <cell r="N180">
            <v>4608.3122930191385</v>
          </cell>
          <cell r="O180">
            <v>1174.8064706181244</v>
          </cell>
          <cell r="P180">
            <v>5783.1187636372633</v>
          </cell>
          <cell r="X180">
            <v>0</v>
          </cell>
          <cell r="Y180">
            <v>0</v>
          </cell>
          <cell r="AA180">
            <v>532.71781534982767</v>
          </cell>
          <cell r="AC180">
            <v>0</v>
          </cell>
          <cell r="AE180">
            <v>532.71781534982767</v>
          </cell>
          <cell r="AF180">
            <v>532.71781534982767</v>
          </cell>
          <cell r="AG180">
            <v>5783.1187636372633</v>
          </cell>
          <cell r="AM180" t="str">
            <v>Zero investment in 2019</v>
          </cell>
          <cell r="AO180">
            <v>5783.1187636372633</v>
          </cell>
          <cell r="AP180">
            <v>0</v>
          </cell>
          <cell r="AQ180">
            <v>5783.1187636372633</v>
          </cell>
          <cell r="AS180">
            <v>532.71781534982767</v>
          </cell>
          <cell r="AT180" t="str">
            <v>לא מקבלים כסף</v>
          </cell>
          <cell r="AY180">
            <v>12.144549403638253</v>
          </cell>
          <cell r="AZ180">
            <v>18</v>
          </cell>
          <cell r="BA180">
            <v>35</v>
          </cell>
        </row>
        <row r="181">
          <cell r="A181" t="str">
            <v>8160-01-289</v>
          </cell>
          <cell r="B181" t="str">
            <v>Avner Shaham</v>
          </cell>
          <cell r="C181" t="str">
            <v>051669745</v>
          </cell>
          <cell r="D181">
            <v>512065202</v>
          </cell>
          <cell r="F181" t="str">
            <v>אבנר שחם</v>
          </cell>
          <cell r="G181" t="str">
            <v>I</v>
          </cell>
          <cell r="H181" t="str">
            <v>Meitav</v>
          </cell>
          <cell r="I181">
            <v>300000</v>
          </cell>
          <cell r="J181">
            <v>4.0657393736107791E-3</v>
          </cell>
          <cell r="K181">
            <v>5.8476891014493555E-3</v>
          </cell>
          <cell r="M181">
            <v>6186.8550693334182</v>
          </cell>
          <cell r="N181">
            <v>725.61337019528958</v>
          </cell>
          <cell r="O181">
            <v>1762.2097059271848</v>
          </cell>
          <cell r="P181">
            <v>8674.6781454558932</v>
          </cell>
          <cell r="Q181">
            <v>461.88733368434271</v>
          </cell>
          <cell r="R181">
            <v>6648.7424030177608</v>
          </cell>
          <cell r="T181">
            <v>871.2698590202076</v>
          </cell>
          <cell r="V181">
            <v>0</v>
          </cell>
          <cell r="X181">
            <v>871.2698590202076</v>
          </cell>
          <cell r="Y181">
            <v>871.2698590202076</v>
          </cell>
          <cell r="AA181">
            <v>83.880419724292139</v>
          </cell>
          <cell r="AC181">
            <v>0</v>
          </cell>
          <cell r="AE181">
            <v>83.880419724292139</v>
          </cell>
          <cell r="AF181">
            <v>83.880419724292139</v>
          </cell>
          <cell r="AG181">
            <v>8674.6781454558932</v>
          </cell>
          <cell r="AH181">
            <v>83333.332999999999</v>
          </cell>
          <cell r="AI181">
            <v>47900.25</v>
          </cell>
          <cell r="AJ181">
            <v>10625</v>
          </cell>
          <cell r="AK181">
            <v>0</v>
          </cell>
          <cell r="AL181">
            <v>33153</v>
          </cell>
          <cell r="AM181">
            <v>4.9530741749870065E-2</v>
          </cell>
          <cell r="AN181" t="str">
            <v>הגדלה ב- Subscription</v>
          </cell>
          <cell r="AO181">
            <v>8674.6781454558932</v>
          </cell>
          <cell r="AP181">
            <v>0</v>
          </cell>
          <cell r="AQ181">
            <v>8674.6781454558932</v>
          </cell>
          <cell r="AR181">
            <v>871.2698590202076</v>
          </cell>
          <cell r="AS181">
            <v>83.880419724292139</v>
          </cell>
          <cell r="AY181">
            <v>18.216824105457373</v>
          </cell>
          <cell r="AZ181">
            <v>18.216824105457373</v>
          </cell>
          <cell r="BA181">
            <v>35</v>
          </cell>
        </row>
        <row r="182">
          <cell r="A182" t="str">
            <v>8160-01-290</v>
          </cell>
          <cell r="B182" t="str">
            <v>Tomer Shacham</v>
          </cell>
          <cell r="C182" t="str">
            <v>Tomer: 039070487
Avner: 051669745</v>
          </cell>
          <cell r="D182" t="str">
            <v>Tomer: 039070487
Avner: 051669745</v>
          </cell>
          <cell r="F182" t="str">
            <v>תומר שחם</v>
          </cell>
          <cell r="G182" t="str">
            <v>VI</v>
          </cell>
          <cell r="I182">
            <v>75000</v>
          </cell>
          <cell r="J182">
            <v>1.0164348434026948E-3</v>
          </cell>
          <cell r="L182">
            <v>3.3355570380253501E-3</v>
          </cell>
          <cell r="M182">
            <v>0</v>
          </cell>
          <cell r="N182">
            <v>1728.1171098821765</v>
          </cell>
          <cell r="O182">
            <v>440.55242648179666</v>
          </cell>
          <cell r="P182">
            <v>2168.6695363639733</v>
          </cell>
          <cell r="Y182">
            <v>0</v>
          </cell>
          <cell r="Z182">
            <v>432.02927747054412</v>
          </cell>
          <cell r="AA182">
            <v>199.76918075618536</v>
          </cell>
          <cell r="AB182">
            <v>-199.76918075618536</v>
          </cell>
          <cell r="AC182">
            <v>232.26009671435875</v>
          </cell>
          <cell r="AD182" t="str">
            <v>ע"פ תקנות'</v>
          </cell>
          <cell r="AF182">
            <v>432.02927747054412</v>
          </cell>
          <cell r="AG182">
            <v>1936.4094396496146</v>
          </cell>
          <cell r="AM182" t="str">
            <v>Zero investment in 2019</v>
          </cell>
          <cell r="AO182">
            <v>2168.6695363639733</v>
          </cell>
          <cell r="AP182">
            <v>232.26009671435875</v>
          </cell>
          <cell r="AQ182">
            <v>1936.4094396496146</v>
          </cell>
          <cell r="AS182">
            <v>432.02927747054412</v>
          </cell>
          <cell r="AT182" t="str">
            <v>לא מקבלים כסף</v>
          </cell>
          <cell r="AY182">
            <v>4.0664598232641902</v>
          </cell>
          <cell r="AZ182">
            <v>18</v>
          </cell>
          <cell r="BA182">
            <v>35</v>
          </cell>
        </row>
        <row r="183">
          <cell r="A183" t="e">
            <v>#N/A</v>
          </cell>
          <cell r="I183">
            <v>73787317</v>
          </cell>
          <cell r="J183">
            <v>1</v>
          </cell>
          <cell r="K183">
            <v>0.99999999999999956</v>
          </cell>
          <cell r="L183">
            <v>0.99999999999999978</v>
          </cell>
          <cell r="M183">
            <v>1058000.0000000012</v>
          </cell>
          <cell r="N183">
            <v>642175.00000000058</v>
          </cell>
          <cell r="O183">
            <v>433429.08730575256</v>
          </cell>
          <cell r="P183">
            <v>2133604.0873057544</v>
          </cell>
          <cell r="R183">
            <v>1136986.3013698626</v>
          </cell>
          <cell r="S183">
            <v>100330.16637435684</v>
          </cell>
          <cell r="T183">
            <v>148993.87500000026</v>
          </cell>
          <cell r="U183">
            <v>-56516.37152177743</v>
          </cell>
          <cell r="V183">
            <v>43813.794852579405</v>
          </cell>
          <cell r="X183">
            <v>80134.513808769596</v>
          </cell>
          <cell r="Y183">
            <v>192807.66985257983</v>
          </cell>
          <cell r="Z183">
            <v>67037.975717731926</v>
          </cell>
          <cell r="AA183">
            <v>74234.999999999971</v>
          </cell>
          <cell r="AB183">
            <v>-30998.18041752373</v>
          </cell>
          <cell r="AC183">
            <v>36039.795300208192</v>
          </cell>
          <cell r="AE183">
            <v>40716.719098007547</v>
          </cell>
          <cell r="AF183">
            <v>110274.79530020822</v>
          </cell>
          <cell r="AG183">
            <v>2053750.4971529667</v>
          </cell>
          <cell r="AH183" t="e">
            <v>#N/A</v>
          </cell>
          <cell r="AI183" t="e">
            <v>#N/A</v>
          </cell>
          <cell r="AJ183" t="e">
            <v>#N/A</v>
          </cell>
          <cell r="AK183" t="e">
            <v>#N/A</v>
          </cell>
          <cell r="AL183" t="e">
            <v>#N/A</v>
          </cell>
          <cell r="AO183">
            <v>2133604.0873057474</v>
          </cell>
          <cell r="AP183">
            <v>79853.590152787598</v>
          </cell>
          <cell r="AQ183">
            <v>2053750.4971529646</v>
          </cell>
          <cell r="AR183">
            <v>192807.66985257983</v>
          </cell>
          <cell r="AS183">
            <v>110274.79530020822</v>
          </cell>
          <cell r="AY183">
            <v>4312.8760440212254</v>
          </cell>
          <cell r="AZ183">
            <v>4548.9964935043563</v>
          </cell>
          <cell r="BA183">
            <v>6300</v>
          </cell>
          <cell r="BB183">
            <v>1751.0035064956437</v>
          </cell>
        </row>
        <row r="184">
          <cell r="M184">
            <v>1.1641532182693481E-9</v>
          </cell>
          <cell r="O184">
            <v>-8.149072527885437E-10</v>
          </cell>
          <cell r="T184">
            <v>2.6193447411060333E-10</v>
          </cell>
          <cell r="U184">
            <v>-12342.989669452974</v>
          </cell>
          <cell r="AA184">
            <v>0</v>
          </cell>
          <cell r="AB184">
            <v>-2520.1004844687268</v>
          </cell>
          <cell r="AF184">
            <v>74235.000000000029</v>
          </cell>
          <cell r="AI184" t="str">
            <v>Not Collected amount</v>
          </cell>
          <cell r="AJ184" t="e">
            <v>#N/A</v>
          </cell>
          <cell r="AK184" t="e">
            <v>#N/A</v>
          </cell>
          <cell r="AL184" t="e">
            <v>#N/A</v>
          </cell>
          <cell r="AO184">
            <v>-6.0535967350006104E-9</v>
          </cell>
          <cell r="AQ184">
            <v>-4.6566128730773926E-9</v>
          </cell>
          <cell r="AR184">
            <v>4.3655745685100555E-10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ors List"/>
      <sheetName val="Amount to distribute"/>
      <sheetName val="Distribution"/>
      <sheetName val="Net Dist."/>
      <sheetName val="Dis ratio check"/>
      <sheetName val="Invetments"/>
      <sheetName val="WHT Apr19-Mar 20"/>
      <sheetName val="WHT Apr20-Sep20"/>
      <sheetName val="Same Investor"/>
      <sheetName val="Profit Allocation"/>
      <sheetName val="Investors ID"/>
      <sheetName val="Personal ID"/>
    </sheetNames>
    <sheetDataSet>
      <sheetData sheetId="0" refreshError="1"/>
      <sheetData sheetId="1" refreshError="1"/>
      <sheetData sheetId="2" refreshError="1">
        <row r="1">
          <cell r="M1" t="str">
            <v>October Distribution</v>
          </cell>
          <cell r="T1" t="str">
            <v>2020 Tax</v>
          </cell>
        </row>
        <row r="2">
          <cell r="A2" t="str">
            <v>Investors' ID</v>
          </cell>
          <cell r="B2" t="str">
            <v>LP</v>
          </cell>
          <cell r="C2" t="str">
            <v>Investors' Personal  ID/RN (Text)</v>
          </cell>
          <cell r="D2" t="str">
            <v>Investors' Personal  ID/RN</v>
          </cell>
          <cell r="E2" t="str">
            <v>Company Name (optional)</v>
          </cell>
          <cell r="F2" t="str">
            <v>Hebrew Name</v>
          </cell>
          <cell r="G2" t="str">
            <v>Closing</v>
          </cell>
          <cell r="H2" t="str">
            <v>IRA</v>
          </cell>
          <cell r="I2" t="str">
            <v>Commitment  Amount</v>
          </cell>
          <cell r="J2" t="str">
            <v>Ratio From all Investors</v>
          </cell>
          <cell r="K2" t="str">
            <v>Distribution Amount Interest 1-9/2020</v>
          </cell>
          <cell r="L2" t="str">
            <v>Distribution Amount Interest 1-3/2020</v>
          </cell>
          <cell r="M2" t="str">
            <v>Distribution Amount Interest 4-9/2020</v>
          </cell>
          <cell r="N2" t="str">
            <v>Interest Surplus from Q1 2020</v>
          </cell>
          <cell r="O2" t="str">
            <v>Total Interest distributed October 2020</v>
          </cell>
          <cell r="P2" t="str">
            <v>October Principle Distribution</v>
          </cell>
          <cell r="Q2" t="str">
            <v>Principle Surplus from Q1 2020</v>
          </cell>
          <cell r="R2" t="str">
            <v>Total Principle distributed October 2020</v>
          </cell>
          <cell r="S2" t="str">
            <v>Total Distribution</v>
          </cell>
          <cell r="T2" t="str">
            <v>Tax (25%)</v>
          </cell>
          <cell r="U2" t="str">
            <v>WHT Allocation 4-9/2020</v>
          </cell>
          <cell r="V2" t="str">
            <v>WHT (From Companies) Surplus from Q1 2020</v>
          </cell>
          <cell r="W2" t="str">
            <v>Total WHT (From Companies) October 2020 Distribution</v>
          </cell>
          <cell r="X2" t="str">
            <v>WHT</v>
          </cell>
          <cell r="Y2" t="str">
            <v>Tax Payment, net 4-9/2020</v>
          </cell>
          <cell r="Z2" t="str">
            <v>Tax Payment Surplus from Q1 2020</v>
          </cell>
          <cell r="AA2" t="str">
            <v>Total Tax Payment October 2020 Distribution</v>
          </cell>
          <cell r="AB2" t="str">
            <v>WHT Exemption</v>
          </cell>
          <cell r="AC2" t="str">
            <v>Tax Refund (IRA and exempted Investors will receive from the tax authorities)</v>
          </cell>
          <cell r="AD2" t="str">
            <v>WHT Allocation 1-3/2020</v>
          </cell>
          <cell r="AE2" t="str">
            <v>Tax Payment, net 1-3/2020</v>
          </cell>
          <cell r="AF2" t="str">
            <v>Total tax withheld by Liquidity in 2020</v>
          </cell>
          <cell r="AG2" t="str">
            <v>Total tax withheld by companies in 2020</v>
          </cell>
          <cell r="AH2" t="str">
            <v xml:space="preserve">Total Tax Withheld </v>
          </cell>
          <cell r="AI2" t="str">
            <v>Net Distribution</v>
          </cell>
          <cell r="AJ2" t="str">
            <v>Payment 1 - April 2019</v>
          </cell>
          <cell r="AK2" t="str">
            <v>Payment 2 -
 August 2019</v>
          </cell>
          <cell r="AL2" t="str">
            <v>Payment 3 -
 January 2020</v>
          </cell>
          <cell r="AM2" t="str">
            <v>Payment 4 -"CatchUp"
March 1st 2020</v>
          </cell>
          <cell r="AN2" t="str">
            <v>Payment 5 -"4th Call"
March 12th 2020</v>
          </cell>
          <cell r="AO2" t="str">
            <v xml:space="preserve">% From Capital Call represents Yearly % </v>
          </cell>
          <cell r="AP2" t="str">
            <v>Total Distribution May 2020</v>
          </cell>
          <cell r="AQ2" t="str">
            <v>Total 2019 Payment</v>
          </cell>
          <cell r="AR2" t="str">
            <v>Total 2020 Distribution</v>
          </cell>
          <cell r="AS2" t="str">
            <v>A- Distribution</v>
          </cell>
          <cell r="AT2" t="str">
            <v xml:space="preserve">B- Distribution Tax Withholding </v>
          </cell>
          <cell r="AU2" t="str">
            <v>C- Net Payment</v>
          </cell>
          <cell r="AV2" t="str">
            <v>D-  2020 Tax Withholding for the LP benefit</v>
          </cell>
        </row>
        <row r="3">
          <cell r="A3" t="str">
            <v>8160-01-100</v>
          </cell>
          <cell r="B3" t="str">
            <v>Orna Hazan</v>
          </cell>
          <cell r="C3" t="str">
            <v>052595188</v>
          </cell>
          <cell r="D3">
            <v>52595188</v>
          </cell>
          <cell r="F3" t="str">
            <v>אורנה אריאן תירוש חזן</v>
          </cell>
          <cell r="G3" t="str">
            <v>I</v>
          </cell>
          <cell r="I3">
            <v>350000</v>
          </cell>
          <cell r="J3">
            <v>4.7806156362081532E-3</v>
          </cell>
          <cell r="K3">
            <v>11960.796454812205</v>
          </cell>
          <cell r="L3">
            <v>3069.9918461819721</v>
          </cell>
          <cell r="M3">
            <v>8890.8046086302329</v>
          </cell>
          <cell r="N3">
            <v>63</v>
          </cell>
          <cell r="O3">
            <v>8953.8046086302329</v>
          </cell>
          <cell r="P3">
            <v>15536.265373411043</v>
          </cell>
          <cell r="Q3">
            <v>16</v>
          </cell>
          <cell r="R3">
            <v>15552.265373411043</v>
          </cell>
          <cell r="S3">
            <v>24506.069982041277</v>
          </cell>
          <cell r="T3">
            <v>2238.4511521575582</v>
          </cell>
          <cell r="U3">
            <v>371.75596984158176</v>
          </cell>
          <cell r="V3">
            <v>7</v>
          </cell>
          <cell r="W3">
            <v>378.75596984158176</v>
          </cell>
          <cell r="X3">
            <v>-378.75596984158176</v>
          </cell>
          <cell r="Y3">
            <v>1859.6951823159766</v>
          </cell>
          <cell r="Z3">
            <v>9</v>
          </cell>
          <cell r="AA3">
            <v>1868.6951823159766</v>
          </cell>
          <cell r="AB3" t="str">
            <v>X</v>
          </cell>
          <cell r="AD3">
            <v>98</v>
          </cell>
          <cell r="AE3">
            <v>114</v>
          </cell>
          <cell r="AF3">
            <v>1982.6951823159766</v>
          </cell>
          <cell r="AG3">
            <v>476.75596984158176</v>
          </cell>
          <cell r="AH3">
            <v>2459.4511521575582</v>
          </cell>
          <cell r="AI3">
            <v>22637.374799725301</v>
          </cell>
          <cell r="AJ3">
            <v>116666.66619999999</v>
          </cell>
          <cell r="AK3">
            <v>67060.349999999991</v>
          </cell>
          <cell r="AL3">
            <v>14875</v>
          </cell>
          <cell r="AM3">
            <v>0</v>
          </cell>
          <cell r="AN3">
            <v>46414</v>
          </cell>
          <cell r="AO3" t="e">
            <v>#DIV/0!</v>
          </cell>
          <cell r="AP3">
            <v>10120</v>
          </cell>
          <cell r="AQ3">
            <v>7757</v>
          </cell>
          <cell r="AR3">
            <v>26869.069982041277</v>
          </cell>
          <cell r="AS3">
            <v>24506.069982041277</v>
          </cell>
          <cell r="AT3">
            <v>1859.6951823159766</v>
          </cell>
          <cell r="AU3">
            <v>22637.374799725301</v>
          </cell>
          <cell r="AV3">
            <v>2459.4511521575582</v>
          </cell>
          <cell r="BB3">
            <v>47.538487079423128</v>
          </cell>
          <cell r="BC3">
            <v>47.538487079423128</v>
          </cell>
          <cell r="BD3">
            <v>35</v>
          </cell>
        </row>
        <row r="4">
          <cell r="A4" t="str">
            <v>8160-01-101</v>
          </cell>
          <cell r="B4" t="str">
            <v>Arik Aberjel</v>
          </cell>
          <cell r="C4" t="str">
            <v>032358285</v>
          </cell>
          <cell r="D4">
            <v>32358285</v>
          </cell>
          <cell r="F4" t="str">
            <v>אריה אברגל</v>
          </cell>
          <cell r="G4" t="str">
            <v>I</v>
          </cell>
          <cell r="I4">
            <v>250000</v>
          </cell>
          <cell r="J4">
            <v>3.4147254544343955E-3</v>
          </cell>
          <cell r="K4">
            <v>8543.4260391515745</v>
          </cell>
          <cell r="L4">
            <v>2192.8513187014087</v>
          </cell>
          <cell r="M4">
            <v>6350.5747204501668</v>
          </cell>
          <cell r="N4">
            <v>45</v>
          </cell>
          <cell r="O4">
            <v>6395.5747204501668</v>
          </cell>
          <cell r="P4">
            <v>11097.332409579318</v>
          </cell>
          <cell r="Q4">
            <v>12</v>
          </cell>
          <cell r="R4">
            <v>11109.332409579318</v>
          </cell>
          <cell r="S4">
            <v>17504.907130029485</v>
          </cell>
          <cell r="T4">
            <v>1598.8936801125417</v>
          </cell>
          <cell r="U4">
            <v>265.53997845827274</v>
          </cell>
          <cell r="V4">
            <v>5</v>
          </cell>
          <cell r="W4">
            <v>270.53997845827274</v>
          </cell>
          <cell r="X4">
            <v>-270.53997845827274</v>
          </cell>
          <cell r="Y4">
            <v>1328.3537016542689</v>
          </cell>
          <cell r="Z4">
            <v>6</v>
          </cell>
          <cell r="AA4">
            <v>1334.3537016542689</v>
          </cell>
          <cell r="AB4" t="str">
            <v>X</v>
          </cell>
          <cell r="AD4">
            <v>70</v>
          </cell>
          <cell r="AE4">
            <v>81</v>
          </cell>
          <cell r="AF4">
            <v>1415.3537016542689</v>
          </cell>
          <cell r="AG4">
            <v>340.53997845827274</v>
          </cell>
          <cell r="AH4">
            <v>1755.8936801125417</v>
          </cell>
          <cell r="AI4">
            <v>16170.553428375217</v>
          </cell>
          <cell r="AJ4">
            <v>83333.332999999999</v>
          </cell>
          <cell r="AK4">
            <v>47900.25</v>
          </cell>
          <cell r="AL4">
            <v>10625</v>
          </cell>
          <cell r="AM4">
            <v>0</v>
          </cell>
          <cell r="AN4">
            <v>33153</v>
          </cell>
          <cell r="AO4" t="e">
            <v>#DIV/0!</v>
          </cell>
          <cell r="AP4">
            <v>7229</v>
          </cell>
          <cell r="AQ4">
            <v>5541</v>
          </cell>
          <cell r="AR4">
            <v>19192.907130029485</v>
          </cell>
          <cell r="AS4">
            <v>17504.907130029485</v>
          </cell>
          <cell r="AT4">
            <v>1328.3537016542689</v>
          </cell>
          <cell r="AU4">
            <v>16170.553428375217</v>
          </cell>
          <cell r="AV4">
            <v>1755.8936801125417</v>
          </cell>
          <cell r="BB4">
            <v>33.958162199587953</v>
          </cell>
          <cell r="BC4">
            <v>33.958162199587953</v>
          </cell>
          <cell r="BD4">
            <v>35</v>
          </cell>
        </row>
        <row r="5">
          <cell r="A5" t="str">
            <v>8160-01-103</v>
          </cell>
          <cell r="B5" t="str">
            <v>Boaz Goldman</v>
          </cell>
          <cell r="C5" t="str">
            <v>023860315</v>
          </cell>
          <cell r="D5">
            <v>23860315</v>
          </cell>
          <cell r="F5" t="str">
            <v>בועז גולדמן</v>
          </cell>
          <cell r="G5" t="str">
            <v>I</v>
          </cell>
          <cell r="I5">
            <v>250000</v>
          </cell>
          <cell r="J5">
            <v>3.4147254544343955E-3</v>
          </cell>
          <cell r="K5">
            <v>8543.4260391515745</v>
          </cell>
          <cell r="L5">
            <v>2192.8513187014087</v>
          </cell>
          <cell r="M5">
            <v>6350.5747204501668</v>
          </cell>
          <cell r="N5">
            <v>45</v>
          </cell>
          <cell r="O5">
            <v>6395.5747204501668</v>
          </cell>
          <cell r="P5">
            <v>11097.332409579318</v>
          </cell>
          <cell r="Q5">
            <v>12</v>
          </cell>
          <cell r="R5">
            <v>11109.332409579318</v>
          </cell>
          <cell r="S5">
            <v>17504.907130029485</v>
          </cell>
          <cell r="T5">
            <v>1598.8936801125417</v>
          </cell>
          <cell r="U5">
            <v>265.53997845827274</v>
          </cell>
          <cell r="V5">
            <v>5</v>
          </cell>
          <cell r="W5">
            <v>270.53997845827274</v>
          </cell>
          <cell r="X5">
            <v>-270.53997845827274</v>
          </cell>
          <cell r="Y5">
            <v>1328.3537016542689</v>
          </cell>
          <cell r="Z5">
            <v>6</v>
          </cell>
          <cell r="AA5">
            <v>1334.3537016542689</v>
          </cell>
          <cell r="AB5" t="str">
            <v>X</v>
          </cell>
          <cell r="AD5">
            <v>70</v>
          </cell>
          <cell r="AE5">
            <v>81</v>
          </cell>
          <cell r="AF5">
            <v>1415.3537016542689</v>
          </cell>
          <cell r="AG5">
            <v>340.53997845827274</v>
          </cell>
          <cell r="AH5">
            <v>1755.8936801125417</v>
          </cell>
          <cell r="AI5">
            <v>16170.553428375217</v>
          </cell>
          <cell r="AJ5">
            <v>83333.332999999999</v>
          </cell>
          <cell r="AK5">
            <v>47900.25</v>
          </cell>
          <cell r="AL5">
            <v>10625</v>
          </cell>
          <cell r="AM5">
            <v>0</v>
          </cell>
          <cell r="AN5">
            <v>33153</v>
          </cell>
          <cell r="AO5" t="e">
            <v>#DIV/0!</v>
          </cell>
          <cell r="AP5">
            <v>7229</v>
          </cell>
          <cell r="AQ5">
            <v>5541</v>
          </cell>
          <cell r="AR5">
            <v>19192.907130029485</v>
          </cell>
          <cell r="AS5">
            <v>17504.907130029485</v>
          </cell>
          <cell r="AT5">
            <v>1328.3537016542689</v>
          </cell>
          <cell r="AU5">
            <v>16170.553428375217</v>
          </cell>
          <cell r="AV5">
            <v>1755.8936801125417</v>
          </cell>
          <cell r="AZ5" t="str">
            <v>Index חריגים</v>
          </cell>
          <cell r="BB5">
            <v>33.958162199587953</v>
          </cell>
          <cell r="BC5">
            <v>33.958162199587953</v>
          </cell>
          <cell r="BD5">
            <v>35</v>
          </cell>
        </row>
        <row r="6">
          <cell r="A6" t="str">
            <v>8160-01-104</v>
          </cell>
          <cell r="B6" t="str">
            <v>BPF Investments LLC</v>
          </cell>
          <cell r="C6" t="str">
            <v>46-4986191</v>
          </cell>
          <cell r="D6" t="str">
            <v>46-4986191</v>
          </cell>
          <cell r="E6" t="str">
            <v>BPF Investments LLC</v>
          </cell>
          <cell r="G6" t="str">
            <v>I</v>
          </cell>
          <cell r="I6">
            <v>1000000</v>
          </cell>
          <cell r="J6">
            <v>1.3658901817737582E-2</v>
          </cell>
          <cell r="K6">
            <v>34173.704156606298</v>
          </cell>
          <cell r="L6">
            <v>8771.4052748056347</v>
          </cell>
          <cell r="M6">
            <v>25402.298881800667</v>
          </cell>
          <cell r="N6">
            <v>181</v>
          </cell>
          <cell r="O6">
            <v>25583.298881800667</v>
          </cell>
          <cell r="P6">
            <v>44389.329638317271</v>
          </cell>
          <cell r="Q6">
            <v>46</v>
          </cell>
          <cell r="R6">
            <v>44435.329638317271</v>
          </cell>
          <cell r="S6">
            <v>70018.628520117942</v>
          </cell>
          <cell r="T6">
            <v>6395.8247204501668</v>
          </cell>
          <cell r="U6">
            <v>1062.159913833091</v>
          </cell>
          <cell r="V6">
            <v>21</v>
          </cell>
          <cell r="W6">
            <v>1083.159913833091</v>
          </cell>
          <cell r="X6">
            <v>-1083.159913833091</v>
          </cell>
          <cell r="Y6">
            <v>5312.6648066170756</v>
          </cell>
          <cell r="Z6">
            <v>24</v>
          </cell>
          <cell r="AA6">
            <v>5336.6648066170756</v>
          </cell>
          <cell r="AB6" t="str">
            <v>X</v>
          </cell>
          <cell r="AD6">
            <v>280</v>
          </cell>
          <cell r="AE6">
            <v>325</v>
          </cell>
          <cell r="AF6">
            <v>5661.6648066170756</v>
          </cell>
          <cell r="AG6">
            <v>1363.159913833091</v>
          </cell>
          <cell r="AH6">
            <v>7024.8247204501668</v>
          </cell>
          <cell r="AI6">
            <v>64681.963713500867</v>
          </cell>
          <cell r="AJ6" t="e">
            <v>#N/A</v>
          </cell>
          <cell r="AK6" t="e">
            <v>#N/A</v>
          </cell>
          <cell r="AL6" t="e">
            <v>#N/A</v>
          </cell>
          <cell r="AM6" t="e">
            <v>#N/A</v>
          </cell>
          <cell r="AN6" t="e">
            <v>#N/A</v>
          </cell>
          <cell r="AO6" t="e">
            <v>#N/A</v>
          </cell>
          <cell r="AP6">
            <v>28916</v>
          </cell>
          <cell r="AQ6">
            <v>22162</v>
          </cell>
          <cell r="AR6">
            <v>76772.628520117942</v>
          </cell>
          <cell r="AS6">
            <v>70018.628520117942</v>
          </cell>
          <cell r="AT6">
            <v>5312.6648066170756</v>
          </cell>
          <cell r="AU6">
            <v>64681.963713500867</v>
          </cell>
          <cell r="AV6">
            <v>7024.8247204501668</v>
          </cell>
          <cell r="AZ6" t="str">
            <v>טרם העביר קריאה אחרונה ובסכנת דיפולטינג / הקטנה  והעביר קריאות קודמות</v>
          </cell>
          <cell r="BB6">
            <v>135.8321237983518</v>
          </cell>
          <cell r="BC6">
            <v>135.8321237983518</v>
          </cell>
          <cell r="BD6">
            <v>35</v>
          </cell>
        </row>
        <row r="7">
          <cell r="A7" t="str">
            <v>8160-01-105</v>
          </cell>
          <cell r="B7" t="str">
            <v>Daniel Itzhaki</v>
          </cell>
          <cell r="C7" t="str">
            <v>054029095</v>
          </cell>
          <cell r="D7">
            <v>54029095</v>
          </cell>
          <cell r="F7" t="str">
            <v>דניאל יצחקי</v>
          </cell>
          <cell r="G7" t="str">
            <v>I</v>
          </cell>
          <cell r="I7">
            <v>250000</v>
          </cell>
          <cell r="J7">
            <v>3.4147254544343955E-3</v>
          </cell>
          <cell r="K7">
            <v>8543.4260391515745</v>
          </cell>
          <cell r="L7">
            <v>2192.8513187014087</v>
          </cell>
          <cell r="M7">
            <v>6350.5747204501668</v>
          </cell>
          <cell r="N7">
            <v>45</v>
          </cell>
          <cell r="O7">
            <v>6395.5747204501668</v>
          </cell>
          <cell r="P7">
            <v>11097.332409579318</v>
          </cell>
          <cell r="Q7">
            <v>12</v>
          </cell>
          <cell r="R7">
            <v>11109.332409579318</v>
          </cell>
          <cell r="S7">
            <v>17504.907130029485</v>
          </cell>
          <cell r="T7">
            <v>1598.8936801125417</v>
          </cell>
          <cell r="U7">
            <v>265.53997845827274</v>
          </cell>
          <cell r="V7">
            <v>5</v>
          </cell>
          <cell r="W7">
            <v>270.53997845827274</v>
          </cell>
          <cell r="X7">
            <v>-270.53997845827274</v>
          </cell>
          <cell r="Y7">
            <v>1328.3537016542689</v>
          </cell>
          <cell r="Z7">
            <v>6</v>
          </cell>
          <cell r="AA7">
            <v>1334.3537016542689</v>
          </cell>
          <cell r="AB7" t="str">
            <v>X</v>
          </cell>
          <cell r="AD7">
            <v>70</v>
          </cell>
          <cell r="AE7">
            <v>81</v>
          </cell>
          <cell r="AF7">
            <v>1415.3537016542689</v>
          </cell>
          <cell r="AG7">
            <v>340.53997845827274</v>
          </cell>
          <cell r="AH7">
            <v>1755.8936801125417</v>
          </cell>
          <cell r="AI7">
            <v>16170.553428375217</v>
          </cell>
          <cell r="AJ7">
            <v>83333.332999999999</v>
          </cell>
          <cell r="AK7">
            <v>47900.25</v>
          </cell>
          <cell r="AL7">
            <v>10628</v>
          </cell>
          <cell r="AM7">
            <v>0</v>
          </cell>
          <cell r="AN7">
            <v>33150.5</v>
          </cell>
          <cell r="AO7" t="e">
            <v>#DIV/0!</v>
          </cell>
          <cell r="AP7">
            <v>7229</v>
          </cell>
          <cell r="AQ7">
            <v>5541</v>
          </cell>
          <cell r="AR7">
            <v>19192.907130029485</v>
          </cell>
          <cell r="AS7">
            <v>17504.907130029485</v>
          </cell>
          <cell r="AT7">
            <v>1328.3537016542689</v>
          </cell>
          <cell r="AU7">
            <v>16170.553428375217</v>
          </cell>
          <cell r="AV7">
            <v>1755.8936801125417</v>
          </cell>
          <cell r="AZ7" t="str">
            <v xml:space="preserve">טרם העביר כספים  - טכני ולא בסכנת דיפולטינג </v>
          </cell>
          <cell r="BB7">
            <v>33.958162199587953</v>
          </cell>
          <cell r="BC7">
            <v>33.958162199587953</v>
          </cell>
          <cell r="BD7">
            <v>35</v>
          </cell>
        </row>
        <row r="8">
          <cell r="A8" t="str">
            <v>8160-01-107</v>
          </cell>
          <cell r="B8" t="str">
            <v>Eran Tamari</v>
          </cell>
          <cell r="C8" t="str">
            <v>059742098</v>
          </cell>
          <cell r="D8">
            <v>59742098</v>
          </cell>
          <cell r="F8" t="str">
            <v>ערן תמרי</v>
          </cell>
          <cell r="G8" t="str">
            <v>I</v>
          </cell>
          <cell r="I8">
            <v>250000</v>
          </cell>
          <cell r="J8">
            <v>3.4147254544343955E-3</v>
          </cell>
          <cell r="K8">
            <v>8543.4260391515745</v>
          </cell>
          <cell r="L8">
            <v>2192.8513187014087</v>
          </cell>
          <cell r="M8">
            <v>6350.5747204501668</v>
          </cell>
          <cell r="N8">
            <v>45</v>
          </cell>
          <cell r="O8">
            <v>6395.5747204501668</v>
          </cell>
          <cell r="P8">
            <v>11097.332409579318</v>
          </cell>
          <cell r="Q8">
            <v>12</v>
          </cell>
          <cell r="R8">
            <v>11109.332409579318</v>
          </cell>
          <cell r="S8">
            <v>17504.907130029485</v>
          </cell>
          <cell r="T8">
            <v>1598.8936801125417</v>
          </cell>
          <cell r="U8">
            <v>265.53997845827274</v>
          </cell>
          <cell r="V8">
            <v>5</v>
          </cell>
          <cell r="W8">
            <v>270.53997845827274</v>
          </cell>
          <cell r="X8">
            <v>-270.53997845827274</v>
          </cell>
          <cell r="Y8">
            <v>1328.3537016542689</v>
          </cell>
          <cell r="Z8">
            <v>6</v>
          </cell>
          <cell r="AA8">
            <v>1334.3537016542689</v>
          </cell>
          <cell r="AB8" t="str">
            <v>X</v>
          </cell>
          <cell r="AD8">
            <v>70</v>
          </cell>
          <cell r="AE8">
            <v>81</v>
          </cell>
          <cell r="AF8">
            <v>1415.3537016542689</v>
          </cell>
          <cell r="AG8">
            <v>340.53997845827274</v>
          </cell>
          <cell r="AH8">
            <v>1755.8936801125417</v>
          </cell>
          <cell r="AI8">
            <v>16170.553428375217</v>
          </cell>
          <cell r="AJ8">
            <v>83333.332999999999</v>
          </cell>
          <cell r="AK8">
            <v>47900.25</v>
          </cell>
          <cell r="AL8">
            <v>10625</v>
          </cell>
          <cell r="AM8">
            <v>0</v>
          </cell>
          <cell r="AN8">
            <v>33153</v>
          </cell>
          <cell r="AO8" t="e">
            <v>#DIV/0!</v>
          </cell>
          <cell r="AP8">
            <v>7229</v>
          </cell>
          <cell r="AQ8">
            <v>5541</v>
          </cell>
          <cell r="AR8">
            <v>19192.907130029485</v>
          </cell>
          <cell r="AS8">
            <v>17504.907130029485</v>
          </cell>
          <cell r="AT8">
            <v>1328.3537016542689</v>
          </cell>
          <cell r="AU8">
            <v>16170.553428375217</v>
          </cell>
          <cell r="AV8">
            <v>1755.8936801125417</v>
          </cell>
          <cell r="AZ8" t="str">
            <v>טרם העביר כספים - סגירה ששית</v>
          </cell>
          <cell r="BB8">
            <v>33.958162199587953</v>
          </cell>
          <cell r="BC8">
            <v>33.958162199587953</v>
          </cell>
          <cell r="BD8">
            <v>35</v>
          </cell>
        </row>
        <row r="9">
          <cell r="A9" t="str">
            <v>8160-01-108</v>
          </cell>
          <cell r="B9" t="str">
            <v>Hanan Weiss</v>
          </cell>
          <cell r="C9" t="str">
            <v>041159559</v>
          </cell>
          <cell r="D9">
            <v>41159559</v>
          </cell>
          <cell r="F9" t="str">
            <v>חנן ווייס</v>
          </cell>
          <cell r="G9" t="str">
            <v>I</v>
          </cell>
          <cell r="I9">
            <v>250000</v>
          </cell>
          <cell r="J9">
            <v>3.4147254544343955E-3</v>
          </cell>
          <cell r="K9">
            <v>8543.4260391515745</v>
          </cell>
          <cell r="L9">
            <v>2192.8513187014087</v>
          </cell>
          <cell r="M9">
            <v>6350.5747204501668</v>
          </cell>
          <cell r="N9">
            <v>45</v>
          </cell>
          <cell r="O9">
            <v>6395.5747204501668</v>
          </cell>
          <cell r="P9">
            <v>11097.332409579318</v>
          </cell>
          <cell r="Q9">
            <v>12</v>
          </cell>
          <cell r="R9">
            <v>11109.332409579318</v>
          </cell>
          <cell r="S9">
            <v>17504.907130029485</v>
          </cell>
          <cell r="T9">
            <v>1598.8936801125417</v>
          </cell>
          <cell r="U9">
            <v>265.53997845827274</v>
          </cell>
          <cell r="V9">
            <v>5</v>
          </cell>
          <cell r="W9">
            <v>270.53997845827274</v>
          </cell>
          <cell r="X9">
            <v>-270.53997845827274</v>
          </cell>
          <cell r="Y9">
            <v>1328.3537016542689</v>
          </cell>
          <cell r="Z9">
            <v>6</v>
          </cell>
          <cell r="AA9">
            <v>1334.3537016542689</v>
          </cell>
          <cell r="AB9" t="str">
            <v>X</v>
          </cell>
          <cell r="AD9">
            <v>70</v>
          </cell>
          <cell r="AE9">
            <v>81</v>
          </cell>
          <cell r="AF9">
            <v>1415.3537016542689</v>
          </cell>
          <cell r="AG9">
            <v>340.53997845827274</v>
          </cell>
          <cell r="AH9">
            <v>1755.8936801125417</v>
          </cell>
          <cell r="AI9">
            <v>16170.553428375217</v>
          </cell>
          <cell r="AJ9">
            <v>83333.332999999999</v>
          </cell>
          <cell r="AK9">
            <v>47900.25</v>
          </cell>
          <cell r="AL9">
            <v>10625</v>
          </cell>
          <cell r="AM9">
            <v>0</v>
          </cell>
          <cell r="AN9">
            <v>33150.5</v>
          </cell>
          <cell r="AO9" t="e">
            <v>#DIV/0!</v>
          </cell>
          <cell r="AP9">
            <v>7229</v>
          </cell>
          <cell r="AQ9">
            <v>5541</v>
          </cell>
          <cell r="AR9">
            <v>19192.907130029485</v>
          </cell>
          <cell r="AS9">
            <v>17504.907130029485</v>
          </cell>
          <cell r="AT9">
            <v>1328.3537016542689</v>
          </cell>
          <cell r="AU9">
            <v>16170.553428375217</v>
          </cell>
          <cell r="AV9">
            <v>1755.8936801125417</v>
          </cell>
          <cell r="AZ9" t="str">
            <v>טרם העביר כספים - סכנת דיפולטינג</v>
          </cell>
          <cell r="BB9">
            <v>33.958162199587953</v>
          </cell>
          <cell r="BC9">
            <v>33.958162199587953</v>
          </cell>
          <cell r="BD9">
            <v>35</v>
          </cell>
        </row>
        <row r="10">
          <cell r="A10" t="str">
            <v>8160-01-109</v>
          </cell>
          <cell r="B10" t="str">
            <v>Inwood Investment Group Limited</v>
          </cell>
          <cell r="C10" t="str">
            <v>175 3862</v>
          </cell>
          <cell r="D10" t="str">
            <v>175 3862</v>
          </cell>
          <cell r="E10" t="str">
            <v>Inwood Investment Group Limited</v>
          </cell>
          <cell r="G10" t="str">
            <v>I</v>
          </cell>
          <cell r="I10">
            <v>775000</v>
          </cell>
          <cell r="J10">
            <v>1.0585648908746626E-2</v>
          </cell>
          <cell r="K10">
            <v>26484.620721369884</v>
          </cell>
          <cell r="L10">
            <v>6797.8390879743674</v>
          </cell>
          <cell r="M10">
            <v>19686.781633395516</v>
          </cell>
          <cell r="N10">
            <v>140</v>
          </cell>
          <cell r="O10">
            <v>19826.781633395516</v>
          </cell>
          <cell r="P10">
            <v>34401.730469695882</v>
          </cell>
          <cell r="Q10">
            <v>36</v>
          </cell>
          <cell r="R10">
            <v>34437.730469695882</v>
          </cell>
          <cell r="S10">
            <v>54264.512103091402</v>
          </cell>
          <cell r="T10">
            <v>4956.695408348879</v>
          </cell>
          <cell r="U10">
            <v>823.17393322064549</v>
          </cell>
          <cell r="V10">
            <v>16</v>
          </cell>
          <cell r="W10">
            <v>839.17393322064549</v>
          </cell>
          <cell r="X10">
            <v>-839.17393322064549</v>
          </cell>
          <cell r="Y10">
            <v>4117.5214751282338</v>
          </cell>
          <cell r="Z10">
            <v>19</v>
          </cell>
          <cell r="AA10">
            <v>4136.5214751282338</v>
          </cell>
          <cell r="AB10" t="str">
            <v>X</v>
          </cell>
          <cell r="AD10">
            <v>217</v>
          </cell>
          <cell r="AE10">
            <v>252</v>
          </cell>
          <cell r="AF10">
            <v>4388.5214751282338</v>
          </cell>
          <cell r="AG10">
            <v>1056.1739332206455</v>
          </cell>
          <cell r="AH10">
            <v>5444.695408348879</v>
          </cell>
          <cell r="AI10">
            <v>50127.990627963169</v>
          </cell>
          <cell r="AJ10" t="e">
            <v>#N/A</v>
          </cell>
          <cell r="AK10" t="e">
            <v>#N/A</v>
          </cell>
          <cell r="AL10" t="e">
            <v>#N/A</v>
          </cell>
          <cell r="AM10" t="e">
            <v>#N/A</v>
          </cell>
          <cell r="AN10" t="e">
            <v>#N/A</v>
          </cell>
          <cell r="AO10" t="e">
            <v>#N/A</v>
          </cell>
          <cell r="AP10">
            <v>22410</v>
          </cell>
          <cell r="AQ10">
            <v>17176</v>
          </cell>
          <cell r="AR10">
            <v>59498.512103091402</v>
          </cell>
          <cell r="AS10">
            <v>54264.512103091402</v>
          </cell>
          <cell r="AT10">
            <v>4117.5214751282338</v>
          </cell>
          <cell r="AU10">
            <v>50127.990627963169</v>
          </cell>
          <cell r="AV10">
            <v>5444.695408348879</v>
          </cell>
          <cell r="BB10">
            <v>105.26878031872265</v>
          </cell>
          <cell r="BC10">
            <v>105.26878031872265</v>
          </cell>
          <cell r="BD10">
            <v>35</v>
          </cell>
        </row>
        <row r="11">
          <cell r="A11" t="str">
            <v>8160-01-110</v>
          </cell>
          <cell r="B11" t="str">
            <v>Ira Holtzer</v>
          </cell>
          <cell r="C11" t="str">
            <v>033515081</v>
          </cell>
          <cell r="D11">
            <v>33515081</v>
          </cell>
          <cell r="F11" t="str">
            <v>עירא הולצר</v>
          </cell>
          <cell r="G11" t="str">
            <v>I</v>
          </cell>
          <cell r="I11">
            <v>350000</v>
          </cell>
          <cell r="J11">
            <v>4.7806156362081532E-3</v>
          </cell>
          <cell r="K11">
            <v>11960.796454812205</v>
          </cell>
          <cell r="L11">
            <v>3069.9918461819721</v>
          </cell>
          <cell r="M11">
            <v>8890.8046086302329</v>
          </cell>
          <cell r="N11">
            <v>63</v>
          </cell>
          <cell r="O11">
            <v>8953.8046086302329</v>
          </cell>
          <cell r="P11">
            <v>15536.265373411043</v>
          </cell>
          <cell r="Q11">
            <v>16</v>
          </cell>
          <cell r="R11">
            <v>15552.265373411043</v>
          </cell>
          <cell r="S11">
            <v>24506.069982041277</v>
          </cell>
          <cell r="T11">
            <v>2238.4511521575582</v>
          </cell>
          <cell r="U11">
            <v>371.75596984158176</v>
          </cell>
          <cell r="V11">
            <v>7</v>
          </cell>
          <cell r="W11">
            <v>378.75596984158176</v>
          </cell>
          <cell r="X11">
            <v>-378.75596984158176</v>
          </cell>
          <cell r="Y11">
            <v>1859.6951823159766</v>
          </cell>
          <cell r="Z11">
            <v>9</v>
          </cell>
          <cell r="AA11">
            <v>1868.6951823159766</v>
          </cell>
          <cell r="AB11" t="str">
            <v>X</v>
          </cell>
          <cell r="AD11">
            <v>98</v>
          </cell>
          <cell r="AE11">
            <v>114</v>
          </cell>
          <cell r="AF11">
            <v>1982.6951823159766</v>
          </cell>
          <cell r="AG11">
            <v>476.75596984158176</v>
          </cell>
          <cell r="AH11">
            <v>2459.4511521575582</v>
          </cell>
          <cell r="AI11">
            <v>22637.374799725301</v>
          </cell>
          <cell r="AJ11">
            <v>116666.66619999999</v>
          </cell>
          <cell r="AK11">
            <v>67060.349999999991</v>
          </cell>
          <cell r="AL11">
            <v>14875</v>
          </cell>
          <cell r="AM11">
            <v>0</v>
          </cell>
          <cell r="AN11">
            <v>46414</v>
          </cell>
          <cell r="AO11" t="e">
            <v>#DIV/0!</v>
          </cell>
          <cell r="AP11">
            <v>10120</v>
          </cell>
          <cell r="AQ11">
            <v>7757</v>
          </cell>
          <cell r="AR11">
            <v>26869.069982041277</v>
          </cell>
          <cell r="AS11">
            <v>24506.069982041277</v>
          </cell>
          <cell r="AT11">
            <v>1859.6951823159766</v>
          </cell>
          <cell r="AU11">
            <v>22637.374799725301</v>
          </cell>
          <cell r="AV11">
            <v>2459.4511521575582</v>
          </cell>
          <cell r="BB11">
            <v>47.538487079423128</v>
          </cell>
          <cell r="BC11">
            <v>47.538487079423128</v>
          </cell>
          <cell r="BD11">
            <v>35</v>
          </cell>
        </row>
        <row r="12">
          <cell r="A12" t="str">
            <v>8160-01-111</v>
          </cell>
          <cell r="B12" t="str">
            <v>Yuval &amp; Yael Lavon</v>
          </cell>
          <cell r="C12" t="str">
            <v>069962553</v>
          </cell>
          <cell r="D12">
            <v>514767490</v>
          </cell>
          <cell r="F12" t="str">
            <v>יעל לבון</v>
          </cell>
          <cell r="G12" t="str">
            <v>I</v>
          </cell>
          <cell r="H12" t="str">
            <v>Kal-Gemel</v>
          </cell>
          <cell r="I12">
            <v>400000</v>
          </cell>
          <cell r="J12">
            <v>5.4635607270950327E-3</v>
          </cell>
          <cell r="K12">
            <v>13669.48166264252</v>
          </cell>
          <cell r="L12">
            <v>3508.562109922254</v>
          </cell>
          <cell r="M12">
            <v>10160.919552720266</v>
          </cell>
          <cell r="N12">
            <v>72</v>
          </cell>
          <cell r="O12">
            <v>10232.919552720266</v>
          </cell>
          <cell r="P12">
            <v>17755.731855326907</v>
          </cell>
          <cell r="Q12">
            <v>18</v>
          </cell>
          <cell r="R12">
            <v>17773.731855326907</v>
          </cell>
          <cell r="S12">
            <v>28006.651408047175</v>
          </cell>
          <cell r="U12">
            <v>424.86396553323635</v>
          </cell>
          <cell r="V12">
            <v>8</v>
          </cell>
          <cell r="W12">
            <v>432.86396553323635</v>
          </cell>
          <cell r="AB12" t="str">
            <v>IRA</v>
          </cell>
          <cell r="AC12">
            <v>424.86396553323635</v>
          </cell>
          <cell r="AD12">
            <v>112</v>
          </cell>
          <cell r="AE12">
            <v>0</v>
          </cell>
          <cell r="AF12">
            <v>0</v>
          </cell>
          <cell r="AG12">
            <v>544.8639655332363</v>
          </cell>
          <cell r="AH12">
            <v>544.8639655332363</v>
          </cell>
          <cell r="AI12">
            <v>28006.651408047175</v>
          </cell>
          <cell r="AJ12">
            <v>133333.3328</v>
          </cell>
          <cell r="AK12">
            <v>76640</v>
          </cell>
          <cell r="AL12">
            <v>17000</v>
          </cell>
          <cell r="AM12">
            <v>0</v>
          </cell>
          <cell r="AN12">
            <v>53045</v>
          </cell>
          <cell r="AO12" t="e">
            <v>#DIV/0!</v>
          </cell>
          <cell r="AP12">
            <v>11566</v>
          </cell>
          <cell r="AQ12">
            <v>8865</v>
          </cell>
          <cell r="AR12">
            <v>30707.651408047175</v>
          </cell>
          <cell r="AS12">
            <v>28006.651408047175</v>
          </cell>
          <cell r="AT12">
            <v>0</v>
          </cell>
          <cell r="AU12">
            <v>28006.651408047175</v>
          </cell>
          <cell r="AV12">
            <v>544.8639655332363</v>
          </cell>
          <cell r="BB12">
            <v>58.813967956899063</v>
          </cell>
          <cell r="BC12">
            <v>58.813967956899063</v>
          </cell>
          <cell r="BD12">
            <v>35</v>
          </cell>
        </row>
        <row r="13">
          <cell r="A13" t="str">
            <v>8160-01-112</v>
          </cell>
          <cell r="B13" t="str">
            <v>Yehezkel Flomin</v>
          </cell>
          <cell r="C13" t="str">
            <v>004066379</v>
          </cell>
          <cell r="D13">
            <v>514767490</v>
          </cell>
          <cell r="F13" t="str">
            <v>יחזקאל פלומין</v>
          </cell>
          <cell r="G13" t="str">
            <v>I</v>
          </cell>
          <cell r="H13" t="str">
            <v>Kal-Gemel</v>
          </cell>
          <cell r="I13">
            <v>400000</v>
          </cell>
          <cell r="J13">
            <v>5.4635607270950327E-3</v>
          </cell>
          <cell r="K13">
            <v>13669.48166264252</v>
          </cell>
          <cell r="L13">
            <v>3508.562109922254</v>
          </cell>
          <cell r="M13">
            <v>10160.919552720266</v>
          </cell>
          <cell r="N13">
            <v>72</v>
          </cell>
          <cell r="O13">
            <v>10232.919552720266</v>
          </cell>
          <cell r="P13">
            <v>17755.731855326907</v>
          </cell>
          <cell r="Q13">
            <v>18</v>
          </cell>
          <cell r="R13">
            <v>17773.731855326907</v>
          </cell>
          <cell r="S13">
            <v>28006.651408047175</v>
          </cell>
          <cell r="U13">
            <v>424.86396553323635</v>
          </cell>
          <cell r="V13">
            <v>8</v>
          </cell>
          <cell r="W13">
            <v>432.86396553323635</v>
          </cell>
          <cell r="AB13" t="str">
            <v>IRA</v>
          </cell>
          <cell r="AC13">
            <v>424.86396553323635</v>
          </cell>
          <cell r="AD13">
            <v>112</v>
          </cell>
          <cell r="AE13">
            <v>0</v>
          </cell>
          <cell r="AF13">
            <v>0</v>
          </cell>
          <cell r="AG13">
            <v>544.8639655332363</v>
          </cell>
          <cell r="AH13">
            <v>544.8639655332363</v>
          </cell>
          <cell r="AI13">
            <v>28006.651408047175</v>
          </cell>
          <cell r="AJ13">
            <v>133333.3328</v>
          </cell>
          <cell r="AK13">
            <v>76640</v>
          </cell>
          <cell r="AL13">
            <v>17000</v>
          </cell>
          <cell r="AM13">
            <v>0</v>
          </cell>
          <cell r="AN13">
            <v>53045</v>
          </cell>
          <cell r="AO13" t="e">
            <v>#DIV/0!</v>
          </cell>
          <cell r="AP13">
            <v>11566</v>
          </cell>
          <cell r="AQ13">
            <v>8865</v>
          </cell>
          <cell r="AR13">
            <v>30707.651408047175</v>
          </cell>
          <cell r="AS13">
            <v>28006.651408047175</v>
          </cell>
          <cell r="AT13">
            <v>0</v>
          </cell>
          <cell r="AU13">
            <v>28006.651408047175</v>
          </cell>
          <cell r="AV13">
            <v>544.8639655332363</v>
          </cell>
          <cell r="BB13">
            <v>58.813967956899063</v>
          </cell>
          <cell r="BC13">
            <v>58.813967956899063</v>
          </cell>
          <cell r="BD13">
            <v>35</v>
          </cell>
        </row>
        <row r="14">
          <cell r="A14" t="str">
            <v>8160-01-113</v>
          </cell>
          <cell r="B14" t="str">
            <v>Kotlicki Investments Ltd</v>
          </cell>
          <cell r="C14">
            <v>514838358</v>
          </cell>
          <cell r="D14">
            <v>514838358</v>
          </cell>
          <cell r="E14" t="str">
            <v>Kotlicki Investments Ltd</v>
          </cell>
          <cell r="F14" t="str">
            <v>קוטליצקי השקעות בע"צ</v>
          </cell>
          <cell r="G14" t="str">
            <v>I</v>
          </cell>
          <cell r="I14">
            <v>500000</v>
          </cell>
          <cell r="J14">
            <v>6.8294509088687909E-3</v>
          </cell>
          <cell r="K14">
            <v>17086.852078303149</v>
          </cell>
          <cell r="L14">
            <v>4385.7026374028173</v>
          </cell>
          <cell r="M14">
            <v>12701.149440900334</v>
          </cell>
          <cell r="N14">
            <v>90</v>
          </cell>
          <cell r="O14">
            <v>12791.149440900334</v>
          </cell>
          <cell r="P14">
            <v>22194.664819158636</v>
          </cell>
          <cell r="Q14">
            <v>23</v>
          </cell>
          <cell r="R14">
            <v>22217.664819158636</v>
          </cell>
          <cell r="S14">
            <v>35008.814260058971</v>
          </cell>
          <cell r="U14">
            <v>531.07995691654548</v>
          </cell>
          <cell r="V14">
            <v>10</v>
          </cell>
          <cell r="W14">
            <v>541.07995691654548</v>
          </cell>
          <cell r="AB14" t="str">
            <v>V</v>
          </cell>
          <cell r="AC14">
            <v>531.07995691654548</v>
          </cell>
          <cell r="AD14">
            <v>140</v>
          </cell>
          <cell r="AF14">
            <v>0</v>
          </cell>
          <cell r="AG14">
            <v>681.07995691654548</v>
          </cell>
          <cell r="AH14">
            <v>681.07995691654548</v>
          </cell>
          <cell r="AI14">
            <v>35008.814260058971</v>
          </cell>
          <cell r="AJ14" t="e">
            <v>#N/A</v>
          </cell>
          <cell r="AK14" t="e">
            <v>#N/A</v>
          </cell>
          <cell r="AL14" t="e">
            <v>#N/A</v>
          </cell>
          <cell r="AM14" t="e">
            <v>#N/A</v>
          </cell>
          <cell r="AN14" t="e">
            <v>#N/A</v>
          </cell>
          <cell r="AO14" t="e">
            <v>#N/A</v>
          </cell>
          <cell r="AP14">
            <v>14458</v>
          </cell>
          <cell r="AQ14">
            <v>11081</v>
          </cell>
          <cell r="AR14">
            <v>38385.814260058971</v>
          </cell>
          <cell r="AS14">
            <v>35008.814260058971</v>
          </cell>
          <cell r="AT14">
            <v>0</v>
          </cell>
          <cell r="AU14">
            <v>35008.814260058971</v>
          </cell>
          <cell r="AV14">
            <v>681.07995691654548</v>
          </cell>
          <cell r="BB14">
            <v>73.518509946123828</v>
          </cell>
          <cell r="BC14">
            <v>73.518509946123828</v>
          </cell>
          <cell r="BD14">
            <v>35</v>
          </cell>
        </row>
        <row r="15">
          <cell r="A15" t="str">
            <v>8160-01-114</v>
          </cell>
          <cell r="B15" t="str">
            <v>Levyor Trading LTD</v>
          </cell>
          <cell r="C15">
            <v>514706720</v>
          </cell>
          <cell r="D15">
            <v>514706720</v>
          </cell>
          <cell r="E15" t="str">
            <v>Levyor Trading LTD</v>
          </cell>
          <cell r="F15" t="str">
            <v>לויור מסחר בע"מ</v>
          </cell>
          <cell r="G15" t="str">
            <v>I</v>
          </cell>
          <cell r="I15">
            <v>800000</v>
          </cell>
          <cell r="J15">
            <v>1.0927121454190065E-2</v>
          </cell>
          <cell r="K15">
            <v>27338.96332528504</v>
          </cell>
          <cell r="L15">
            <v>7017.1242198445079</v>
          </cell>
          <cell r="M15">
            <v>20321.839105440533</v>
          </cell>
          <cell r="N15">
            <v>145</v>
          </cell>
          <cell r="O15">
            <v>20466.839105440533</v>
          </cell>
          <cell r="P15">
            <v>35511.463710653814</v>
          </cell>
          <cell r="Q15">
            <v>37</v>
          </cell>
          <cell r="R15">
            <v>35548.463710653814</v>
          </cell>
          <cell r="S15">
            <v>56015.30281609435</v>
          </cell>
          <cell r="U15">
            <v>849.72793106647271</v>
          </cell>
          <cell r="V15">
            <v>17</v>
          </cell>
          <cell r="W15">
            <v>866.72793106647271</v>
          </cell>
          <cell r="AB15" t="str">
            <v>V</v>
          </cell>
          <cell r="AC15">
            <v>849.72793106647271</v>
          </cell>
          <cell r="AD15">
            <v>224</v>
          </cell>
          <cell r="AF15">
            <v>0</v>
          </cell>
          <cell r="AG15">
            <v>1090.7279310664726</v>
          </cell>
          <cell r="AH15">
            <v>1090.7279310664726</v>
          </cell>
          <cell r="AI15">
            <v>56015.30281609435</v>
          </cell>
          <cell r="AJ15" t="e">
            <v>#N/A</v>
          </cell>
          <cell r="AK15" t="e">
            <v>#N/A</v>
          </cell>
          <cell r="AL15" t="e">
            <v>#N/A</v>
          </cell>
          <cell r="AM15" t="e">
            <v>#N/A</v>
          </cell>
          <cell r="AN15" t="e">
            <v>#N/A</v>
          </cell>
          <cell r="AO15" t="e">
            <v>#N/A</v>
          </cell>
          <cell r="AP15">
            <v>23132</v>
          </cell>
          <cell r="AQ15">
            <v>17730</v>
          </cell>
          <cell r="AR15">
            <v>61417.30281609435</v>
          </cell>
          <cell r="AS15">
            <v>56015.30281609435</v>
          </cell>
          <cell r="AT15">
            <v>0</v>
          </cell>
          <cell r="AU15">
            <v>56015.30281609435</v>
          </cell>
          <cell r="AV15">
            <v>1090.7279310664726</v>
          </cell>
          <cell r="BB15">
            <v>117.63213591379812</v>
          </cell>
          <cell r="BC15">
            <v>117.63213591379812</v>
          </cell>
          <cell r="BD15">
            <v>35</v>
          </cell>
        </row>
        <row r="16">
          <cell r="A16" t="str">
            <v>8160-01-115</v>
          </cell>
          <cell r="B16" t="str">
            <v>M.B Sherman</v>
          </cell>
          <cell r="C16">
            <v>513136622</v>
          </cell>
          <cell r="D16">
            <v>513136622</v>
          </cell>
          <cell r="E16" t="str">
            <v>M.B Sherman</v>
          </cell>
          <cell r="F16" t="str">
            <v>מ.ב שרמן בע"מ</v>
          </cell>
          <cell r="G16" t="str">
            <v>I</v>
          </cell>
          <cell r="I16">
            <v>250000</v>
          </cell>
          <cell r="J16">
            <v>3.4147254544343955E-3</v>
          </cell>
          <cell r="K16">
            <v>8543.4260391515745</v>
          </cell>
          <cell r="L16">
            <v>2192.8513187014087</v>
          </cell>
          <cell r="M16">
            <v>6350.5747204501668</v>
          </cell>
          <cell r="N16">
            <v>45</v>
          </cell>
          <cell r="O16">
            <v>6395.5747204501668</v>
          </cell>
          <cell r="P16">
            <v>11097.332409579318</v>
          </cell>
          <cell r="Q16">
            <v>12</v>
          </cell>
          <cell r="R16">
            <v>11109.332409579318</v>
          </cell>
          <cell r="S16">
            <v>17504.907130029485</v>
          </cell>
          <cell r="U16">
            <v>265.53997845827274</v>
          </cell>
          <cell r="V16">
            <v>5</v>
          </cell>
          <cell r="W16">
            <v>270.53997845827274</v>
          </cell>
          <cell r="AB16" t="str">
            <v>V</v>
          </cell>
          <cell r="AC16">
            <v>265.53997845827274</v>
          </cell>
          <cell r="AD16">
            <v>70</v>
          </cell>
          <cell r="AF16">
            <v>0</v>
          </cell>
          <cell r="AG16">
            <v>340.53997845827274</v>
          </cell>
          <cell r="AH16">
            <v>340.53997845827274</v>
          </cell>
          <cell r="AI16">
            <v>17504.907130029485</v>
          </cell>
          <cell r="AJ16" t="e">
            <v>#N/A</v>
          </cell>
          <cell r="AK16" t="e">
            <v>#N/A</v>
          </cell>
          <cell r="AL16" t="e">
            <v>#N/A</v>
          </cell>
          <cell r="AM16" t="e">
            <v>#N/A</v>
          </cell>
          <cell r="AN16" t="e">
            <v>#N/A</v>
          </cell>
          <cell r="AO16" t="e">
            <v>#N/A</v>
          </cell>
          <cell r="AP16">
            <v>7229</v>
          </cell>
          <cell r="AQ16">
            <v>5541</v>
          </cell>
          <cell r="AR16">
            <v>19192.907130029485</v>
          </cell>
          <cell r="AS16">
            <v>17504.907130029485</v>
          </cell>
          <cell r="AT16">
            <v>0</v>
          </cell>
          <cell r="AU16">
            <v>17504.907130029485</v>
          </cell>
          <cell r="AV16">
            <v>340.53997845827274</v>
          </cell>
          <cell r="BB16">
            <v>36.76030497306192</v>
          </cell>
          <cell r="BC16">
            <v>36.76030497306192</v>
          </cell>
          <cell r="BD16">
            <v>35</v>
          </cell>
        </row>
        <row r="17">
          <cell r="A17" t="str">
            <v>8160-01-116</v>
          </cell>
          <cell r="B17" t="str">
            <v>Meitav Dash Investments Ltd</v>
          </cell>
          <cell r="C17">
            <v>520043795</v>
          </cell>
          <cell r="D17">
            <v>520043795</v>
          </cell>
          <cell r="E17" t="str">
            <v>Meitav Dash Investments Ltd</v>
          </cell>
          <cell r="F17" t="str">
            <v>מיטב דש השקעות בע"מ</v>
          </cell>
          <cell r="G17" t="str">
            <v>I</v>
          </cell>
          <cell r="I17">
            <v>7000000</v>
          </cell>
          <cell r="J17">
            <v>9.5612312724163068E-2</v>
          </cell>
          <cell r="K17">
            <v>239215.9290962441</v>
          </cell>
          <cell r="L17">
            <v>61399.836923639443</v>
          </cell>
          <cell r="M17">
            <v>177816.09217260467</v>
          </cell>
          <cell r="N17">
            <v>1267</v>
          </cell>
          <cell r="O17">
            <v>179083.09217260467</v>
          </cell>
          <cell r="P17">
            <v>310725.30746822088</v>
          </cell>
          <cell r="Q17">
            <v>323</v>
          </cell>
          <cell r="R17">
            <v>311048.30746822088</v>
          </cell>
          <cell r="S17">
            <v>490131.39964082558</v>
          </cell>
          <cell r="U17">
            <v>7435.1193968316356</v>
          </cell>
          <cell r="V17">
            <v>146</v>
          </cell>
          <cell r="W17">
            <v>7581.1193968316356</v>
          </cell>
          <cell r="AB17" t="str">
            <v>V</v>
          </cell>
          <cell r="AC17">
            <v>7435.1193968316356</v>
          </cell>
          <cell r="AD17">
            <v>1957</v>
          </cell>
          <cell r="AF17">
            <v>0</v>
          </cell>
          <cell r="AG17">
            <v>9538.1193968316365</v>
          </cell>
          <cell r="AH17">
            <v>9538.1193968316365</v>
          </cell>
          <cell r="AI17">
            <v>490131.39964082558</v>
          </cell>
          <cell r="AJ17" t="e">
            <v>#N/A</v>
          </cell>
          <cell r="AK17" t="e">
            <v>#N/A</v>
          </cell>
          <cell r="AL17" t="e">
            <v>#N/A</v>
          </cell>
          <cell r="AM17" t="e">
            <v>#N/A</v>
          </cell>
          <cell r="AN17" t="e">
            <v>#N/A</v>
          </cell>
          <cell r="AO17" t="e">
            <v>#N/A</v>
          </cell>
          <cell r="AP17">
            <v>202409</v>
          </cell>
          <cell r="AQ17">
            <v>155137</v>
          </cell>
          <cell r="AR17">
            <v>537403.39964082558</v>
          </cell>
          <cell r="AS17">
            <v>490131.39964082558</v>
          </cell>
          <cell r="AT17">
            <v>0</v>
          </cell>
          <cell r="AU17">
            <v>490131.39964082558</v>
          </cell>
          <cell r="AV17">
            <v>9538.1193968316365</v>
          </cell>
          <cell r="BB17">
            <v>1029.2759392457338</v>
          </cell>
          <cell r="BC17">
            <v>170</v>
          </cell>
          <cell r="BD17">
            <v>35</v>
          </cell>
        </row>
        <row r="18">
          <cell r="A18" t="str">
            <v>8160-01-117</v>
          </cell>
          <cell r="B18" t="str">
            <v>Nissim Zarfati</v>
          </cell>
          <cell r="C18" t="str">
            <v>058240565</v>
          </cell>
          <cell r="D18">
            <v>58240565</v>
          </cell>
          <cell r="F18" t="str">
            <v>נסים צרפתי</v>
          </cell>
          <cell r="G18" t="str">
            <v>I</v>
          </cell>
          <cell r="I18">
            <v>450000</v>
          </cell>
          <cell r="J18">
            <v>6.1465058179819114E-3</v>
          </cell>
          <cell r="K18">
            <v>15378.166870472836</v>
          </cell>
          <cell r="L18">
            <v>3947.1323736625354</v>
          </cell>
          <cell r="M18">
            <v>11431.0344968103</v>
          </cell>
          <cell r="N18">
            <v>81</v>
          </cell>
          <cell r="O18">
            <v>11512.0344968103</v>
          </cell>
          <cell r="P18">
            <v>19975.198337242771</v>
          </cell>
          <cell r="Q18">
            <v>21</v>
          </cell>
          <cell r="R18">
            <v>19996.198337242771</v>
          </cell>
          <cell r="S18">
            <v>31508.232834053073</v>
          </cell>
          <cell r="T18">
            <v>2878.008624202575</v>
          </cell>
          <cell r="U18">
            <v>477.97196122489089</v>
          </cell>
          <cell r="V18">
            <v>9</v>
          </cell>
          <cell r="W18">
            <v>486.97196122489089</v>
          </cell>
          <cell r="X18">
            <v>-486.97196122489089</v>
          </cell>
          <cell r="Y18">
            <v>2391.036662977684</v>
          </cell>
          <cell r="Z18">
            <v>11</v>
          </cell>
          <cell r="AA18">
            <v>2402.036662977684</v>
          </cell>
          <cell r="AB18" t="str">
            <v>X</v>
          </cell>
          <cell r="AD18">
            <v>126</v>
          </cell>
          <cell r="AE18">
            <v>146</v>
          </cell>
          <cell r="AF18">
            <v>2548.036662977684</v>
          </cell>
          <cell r="AG18">
            <v>612.97196122489095</v>
          </cell>
          <cell r="AH18">
            <v>3161.008624202575</v>
          </cell>
          <cell r="AI18">
            <v>29106.196171075389</v>
          </cell>
          <cell r="AJ18">
            <v>149999.9994</v>
          </cell>
          <cell r="AK18">
            <v>86220.45</v>
          </cell>
          <cell r="AL18">
            <v>19128</v>
          </cell>
          <cell r="AM18">
            <v>0</v>
          </cell>
          <cell r="AN18">
            <v>59675</v>
          </cell>
          <cell r="AO18" t="e">
            <v>#DIV/0!</v>
          </cell>
          <cell r="AP18">
            <v>13012</v>
          </cell>
          <cell r="AQ18">
            <v>9973</v>
          </cell>
          <cell r="AR18">
            <v>34547.232834053073</v>
          </cell>
          <cell r="AS18">
            <v>31508.232834053073</v>
          </cell>
          <cell r="AT18">
            <v>2391.036662977684</v>
          </cell>
          <cell r="AU18">
            <v>29106.196171075389</v>
          </cell>
          <cell r="AV18">
            <v>3161.008624202575</v>
          </cell>
          <cell r="BB18">
            <v>61.123011959258314</v>
          </cell>
          <cell r="BC18">
            <v>61.123011959258314</v>
          </cell>
          <cell r="BD18">
            <v>35</v>
          </cell>
        </row>
        <row r="19">
          <cell r="A19" t="str">
            <v>8160-01-118</v>
          </cell>
          <cell r="B19" t="str">
            <v>Ofer David Kinberg</v>
          </cell>
          <cell r="C19" t="str">
            <v>036125334</v>
          </cell>
          <cell r="D19">
            <v>36125334</v>
          </cell>
          <cell r="F19" t="str">
            <v>עופר דוד קינברג</v>
          </cell>
          <cell r="G19" t="str">
            <v>I</v>
          </cell>
          <cell r="I19">
            <v>400000</v>
          </cell>
          <cell r="J19">
            <v>5.4635607270950327E-3</v>
          </cell>
          <cell r="K19">
            <v>13669.48166264252</v>
          </cell>
          <cell r="L19">
            <v>3508.562109922254</v>
          </cell>
          <cell r="M19">
            <v>10160.919552720266</v>
          </cell>
          <cell r="N19">
            <v>72</v>
          </cell>
          <cell r="O19">
            <v>10232.919552720266</v>
          </cell>
          <cell r="P19">
            <v>17755.731855326907</v>
          </cell>
          <cell r="Q19">
            <v>18</v>
          </cell>
          <cell r="R19">
            <v>17773.731855326907</v>
          </cell>
          <cell r="S19">
            <v>28006.651408047175</v>
          </cell>
          <cell r="T19">
            <v>2558.2298881800666</v>
          </cell>
          <cell r="U19">
            <v>424.86396553323635</v>
          </cell>
          <cell r="V19">
            <v>8</v>
          </cell>
          <cell r="W19">
            <v>432.86396553323635</v>
          </cell>
          <cell r="X19">
            <v>-432.86396553323635</v>
          </cell>
          <cell r="Y19">
            <v>2125.3659226468303</v>
          </cell>
          <cell r="Z19">
            <v>10</v>
          </cell>
          <cell r="AA19">
            <v>2135.3659226468303</v>
          </cell>
          <cell r="AB19" t="str">
            <v>X</v>
          </cell>
          <cell r="AD19">
            <v>112</v>
          </cell>
          <cell r="AE19">
            <v>130</v>
          </cell>
          <cell r="AF19">
            <v>2265.3659226468303</v>
          </cell>
          <cell r="AG19">
            <v>544.8639655332363</v>
          </cell>
          <cell r="AH19">
            <v>2810.2298881800666</v>
          </cell>
          <cell r="AI19">
            <v>25871.285485400345</v>
          </cell>
          <cell r="AJ19">
            <v>133333.3328</v>
          </cell>
          <cell r="AK19">
            <v>76640.399999999994</v>
          </cell>
          <cell r="AL19">
            <v>17000</v>
          </cell>
          <cell r="AM19">
            <v>0</v>
          </cell>
          <cell r="AN19">
            <v>53045</v>
          </cell>
          <cell r="AO19" t="e">
            <v>#DIV/0!</v>
          </cell>
          <cell r="AP19">
            <v>11566</v>
          </cell>
          <cell r="AQ19">
            <v>8865</v>
          </cell>
          <cell r="AR19">
            <v>30707.651408047175</v>
          </cell>
          <cell r="AS19">
            <v>28006.651408047175</v>
          </cell>
          <cell r="AT19">
            <v>2125.3659226468303</v>
          </cell>
          <cell r="AU19">
            <v>25871.285485400345</v>
          </cell>
          <cell r="AV19">
            <v>2810.2298881800666</v>
          </cell>
          <cell r="BB19">
            <v>54.329699519340721</v>
          </cell>
          <cell r="BC19">
            <v>54.329699519340721</v>
          </cell>
          <cell r="BD19">
            <v>35</v>
          </cell>
        </row>
        <row r="20">
          <cell r="A20" t="str">
            <v>8160-01-119</v>
          </cell>
          <cell r="B20" t="str">
            <v>Olga Ashurov</v>
          </cell>
          <cell r="C20">
            <v>305831232</v>
          </cell>
          <cell r="D20">
            <v>305831232</v>
          </cell>
          <cell r="F20" t="str">
            <v>אולגה אושרוב</v>
          </cell>
          <cell r="G20" t="str">
            <v>I</v>
          </cell>
          <cell r="I20">
            <v>250000</v>
          </cell>
          <cell r="J20">
            <v>3.4147254544343955E-3</v>
          </cell>
          <cell r="K20">
            <v>8543.4260391515745</v>
          </cell>
          <cell r="L20">
            <v>2192.8513187014087</v>
          </cell>
          <cell r="M20">
            <v>6350.5747204501668</v>
          </cell>
          <cell r="N20">
            <v>45</v>
          </cell>
          <cell r="O20">
            <v>6395.5747204501668</v>
          </cell>
          <cell r="P20">
            <v>11097.332409579318</v>
          </cell>
          <cell r="Q20">
            <v>12</v>
          </cell>
          <cell r="R20">
            <v>11109.332409579318</v>
          </cell>
          <cell r="S20">
            <v>17504.907130029485</v>
          </cell>
          <cell r="T20">
            <v>1598.8936801125417</v>
          </cell>
          <cell r="U20">
            <v>265.53997845827274</v>
          </cell>
          <cell r="V20">
            <v>5</v>
          </cell>
          <cell r="W20">
            <v>270.53997845827274</v>
          </cell>
          <cell r="X20">
            <v>-270.53997845827274</v>
          </cell>
          <cell r="Y20">
            <v>1328.3537016542689</v>
          </cell>
          <cell r="Z20">
            <v>6</v>
          </cell>
          <cell r="AA20">
            <v>1334.3537016542689</v>
          </cell>
          <cell r="AB20" t="str">
            <v>X</v>
          </cell>
          <cell r="AD20">
            <v>70</v>
          </cell>
          <cell r="AE20">
            <v>81</v>
          </cell>
          <cell r="AF20">
            <v>1415.3537016542689</v>
          </cell>
          <cell r="AG20">
            <v>340.53997845827274</v>
          </cell>
          <cell r="AH20">
            <v>1755.8936801125417</v>
          </cell>
          <cell r="AI20">
            <v>16170.553428375217</v>
          </cell>
          <cell r="AJ20">
            <v>83333.332999999999</v>
          </cell>
          <cell r="AK20">
            <v>47900.25</v>
          </cell>
          <cell r="AL20">
            <v>10650.5</v>
          </cell>
          <cell r="AM20">
            <v>0</v>
          </cell>
          <cell r="AN20">
            <v>33153.5</v>
          </cell>
          <cell r="AO20" t="e">
            <v>#DIV/0!</v>
          </cell>
          <cell r="AP20">
            <v>7229</v>
          </cell>
          <cell r="AQ20">
            <v>5541</v>
          </cell>
          <cell r="AR20">
            <v>19192.907130029485</v>
          </cell>
          <cell r="AS20">
            <v>17504.907130029485</v>
          </cell>
          <cell r="AT20">
            <v>1328.3537016542689</v>
          </cell>
          <cell r="AU20">
            <v>16170.553428375217</v>
          </cell>
          <cell r="AV20">
            <v>1755.8936801125417</v>
          </cell>
          <cell r="BB20">
            <v>33.958162199587953</v>
          </cell>
          <cell r="BC20">
            <v>33.958162199587953</v>
          </cell>
          <cell r="BD20">
            <v>35</v>
          </cell>
        </row>
        <row r="21">
          <cell r="A21" t="str">
            <v>8160-01-120</v>
          </cell>
          <cell r="B21" t="str">
            <v>Orna Barkat</v>
          </cell>
          <cell r="C21" t="str">
            <v>057258675</v>
          </cell>
          <cell r="D21">
            <v>57258675</v>
          </cell>
          <cell r="F21" t="str">
            <v>אורנה ברקת</v>
          </cell>
          <cell r="G21" t="str">
            <v>I</v>
          </cell>
          <cell r="I21">
            <v>400000</v>
          </cell>
          <cell r="J21">
            <v>5.4635607270950327E-3</v>
          </cell>
          <cell r="K21">
            <v>13669.48166264252</v>
          </cell>
          <cell r="L21">
            <v>3508.562109922254</v>
          </cell>
          <cell r="M21">
            <v>10160.919552720266</v>
          </cell>
          <cell r="N21">
            <v>72</v>
          </cell>
          <cell r="O21">
            <v>10232.919552720266</v>
          </cell>
          <cell r="P21">
            <v>17755.731855326907</v>
          </cell>
          <cell r="Q21">
            <v>18</v>
          </cell>
          <cell r="R21">
            <v>17773.731855326907</v>
          </cell>
          <cell r="S21">
            <v>28006.651408047175</v>
          </cell>
          <cell r="T21">
            <v>2558.2298881800666</v>
          </cell>
          <cell r="U21">
            <v>424.86396553323635</v>
          </cell>
          <cell r="V21">
            <v>8</v>
          </cell>
          <cell r="W21">
            <v>432.86396553323635</v>
          </cell>
          <cell r="X21">
            <v>-432.86396553323635</v>
          </cell>
          <cell r="Y21">
            <v>2125.3659226468303</v>
          </cell>
          <cell r="Z21">
            <v>10</v>
          </cell>
          <cell r="AA21">
            <v>2135.3659226468303</v>
          </cell>
          <cell r="AB21" t="str">
            <v>X</v>
          </cell>
          <cell r="AD21">
            <v>112</v>
          </cell>
          <cell r="AE21">
            <v>130</v>
          </cell>
          <cell r="AF21">
            <v>2265.3659226468303</v>
          </cell>
          <cell r="AG21">
            <v>544.8639655332363</v>
          </cell>
          <cell r="AH21">
            <v>2810.2298881800666</v>
          </cell>
          <cell r="AI21">
            <v>25871.285485400345</v>
          </cell>
          <cell r="AJ21">
            <v>133333.3328</v>
          </cell>
          <cell r="AK21">
            <v>76640.399999999994</v>
          </cell>
          <cell r="AL21">
            <v>17000</v>
          </cell>
          <cell r="AM21">
            <v>0</v>
          </cell>
          <cell r="AN21">
            <v>53045</v>
          </cell>
          <cell r="AO21" t="e">
            <v>#DIV/0!</v>
          </cell>
          <cell r="AP21">
            <v>11566</v>
          </cell>
          <cell r="AQ21">
            <v>8865</v>
          </cell>
          <cell r="AR21">
            <v>30707.651408047175</v>
          </cell>
          <cell r="AS21">
            <v>28006.651408047175</v>
          </cell>
          <cell r="AT21">
            <v>2125.3659226468303</v>
          </cell>
          <cell r="AU21">
            <v>25871.285485400345</v>
          </cell>
          <cell r="AV21">
            <v>2810.2298881800666</v>
          </cell>
          <cell r="BB21">
            <v>54.329699519340721</v>
          </cell>
          <cell r="BC21">
            <v>54.329699519340721</v>
          </cell>
          <cell r="BD21">
            <v>35</v>
          </cell>
        </row>
        <row r="22">
          <cell r="A22" t="str">
            <v>8160-01-121</v>
          </cell>
          <cell r="B22" t="str">
            <v>Plata Trading Co. Inc</v>
          </cell>
          <cell r="C22">
            <v>2601848</v>
          </cell>
          <cell r="D22">
            <v>2601848</v>
          </cell>
          <cell r="E22" t="str">
            <v>Plata Trading Co. Inc</v>
          </cell>
          <cell r="G22" t="str">
            <v>I</v>
          </cell>
          <cell r="I22">
            <v>300000</v>
          </cell>
          <cell r="J22">
            <v>4.0976705453212746E-3</v>
          </cell>
          <cell r="K22">
            <v>10252.111246981891</v>
          </cell>
          <cell r="L22">
            <v>2631.4215824416906</v>
          </cell>
          <cell r="M22">
            <v>7620.6896645402003</v>
          </cell>
          <cell r="N22">
            <v>54</v>
          </cell>
          <cell r="O22">
            <v>7674.6896645402003</v>
          </cell>
          <cell r="P22">
            <v>13316.798891495182</v>
          </cell>
          <cell r="Q22">
            <v>14</v>
          </cell>
          <cell r="R22">
            <v>13330.798891495182</v>
          </cell>
          <cell r="S22">
            <v>21005.488556035383</v>
          </cell>
          <cell r="T22">
            <v>1918.6724161350501</v>
          </cell>
          <cell r="U22">
            <v>318.64797414992728</v>
          </cell>
          <cell r="V22">
            <v>6</v>
          </cell>
          <cell r="W22">
            <v>324.64797414992728</v>
          </cell>
          <cell r="X22">
            <v>-324.64797414992728</v>
          </cell>
          <cell r="Y22">
            <v>1594.0244419851228</v>
          </cell>
          <cell r="Z22">
            <v>7</v>
          </cell>
          <cell r="AA22">
            <v>1601.0244419851228</v>
          </cell>
          <cell r="AB22" t="str">
            <v>X</v>
          </cell>
          <cell r="AD22">
            <v>84</v>
          </cell>
          <cell r="AE22">
            <v>98</v>
          </cell>
          <cell r="AF22">
            <v>1699.0244419851228</v>
          </cell>
          <cell r="AG22">
            <v>408.64797414992728</v>
          </cell>
          <cell r="AH22">
            <v>2107.6724161350503</v>
          </cell>
          <cell r="AI22">
            <v>19404.464114050261</v>
          </cell>
          <cell r="AJ22" t="e">
            <v>#N/A</v>
          </cell>
          <cell r="AK22" t="e">
            <v>#N/A</v>
          </cell>
          <cell r="AL22" t="e">
            <v>#N/A</v>
          </cell>
          <cell r="AM22" t="e">
            <v>#N/A</v>
          </cell>
          <cell r="AN22" t="e">
            <v>#N/A</v>
          </cell>
          <cell r="AO22" t="e">
            <v>#N/A</v>
          </cell>
          <cell r="AP22">
            <v>8675</v>
          </cell>
          <cell r="AQ22">
            <v>6649</v>
          </cell>
          <cell r="AR22">
            <v>23031.488556035383</v>
          </cell>
          <cell r="AS22">
            <v>21005.488556035383</v>
          </cell>
          <cell r="AT22">
            <v>1594.0244419851228</v>
          </cell>
          <cell r="AU22">
            <v>19404.464114050261</v>
          </cell>
          <cell r="AV22">
            <v>2107.6724161350503</v>
          </cell>
          <cell r="BB22">
            <v>40.749374639505547</v>
          </cell>
          <cell r="BC22">
            <v>40.749374639505547</v>
          </cell>
          <cell r="BD22">
            <v>35</v>
          </cell>
        </row>
        <row r="23">
          <cell r="A23" t="str">
            <v>8160-01-123</v>
          </cell>
          <cell r="B23" t="str">
            <v>Raz Freidman</v>
          </cell>
          <cell r="C23" t="str">
            <v>034522615</v>
          </cell>
          <cell r="D23">
            <v>34522615</v>
          </cell>
          <cell r="F23" t="str">
            <v>רז פרידמן</v>
          </cell>
          <cell r="G23" t="str">
            <v>I</v>
          </cell>
          <cell r="I23">
            <v>400000</v>
          </cell>
          <cell r="J23">
            <v>5.4635607270950327E-3</v>
          </cell>
          <cell r="K23">
            <v>13669.48166264252</v>
          </cell>
          <cell r="L23">
            <v>3508.562109922254</v>
          </cell>
          <cell r="M23">
            <v>10160.919552720266</v>
          </cell>
          <cell r="N23">
            <v>72</v>
          </cell>
          <cell r="O23">
            <v>10232.919552720266</v>
          </cell>
          <cell r="P23">
            <v>17755.731855326907</v>
          </cell>
          <cell r="Q23">
            <v>18</v>
          </cell>
          <cell r="R23">
            <v>17773.731855326907</v>
          </cell>
          <cell r="S23">
            <v>28006.651408047175</v>
          </cell>
          <cell r="T23">
            <v>2558.2298881800666</v>
          </cell>
          <cell r="U23">
            <v>424.86396553323635</v>
          </cell>
          <cell r="V23">
            <v>8</v>
          </cell>
          <cell r="W23">
            <v>432.86396553323635</v>
          </cell>
          <cell r="X23">
            <v>-432.86396553323635</v>
          </cell>
          <cell r="Y23">
            <v>2125.3659226468303</v>
          </cell>
          <cell r="Z23">
            <v>10</v>
          </cell>
          <cell r="AA23">
            <v>2135.3659226468303</v>
          </cell>
          <cell r="AB23" t="str">
            <v>X</v>
          </cell>
          <cell r="AD23">
            <v>112</v>
          </cell>
          <cell r="AE23">
            <v>130</v>
          </cell>
          <cell r="AF23">
            <v>2265.3659226468303</v>
          </cell>
          <cell r="AG23">
            <v>544.8639655332363</v>
          </cell>
          <cell r="AH23">
            <v>2810.2298881800666</v>
          </cell>
          <cell r="AI23">
            <v>25871.285485400345</v>
          </cell>
          <cell r="AJ23">
            <v>133333.3328</v>
          </cell>
          <cell r="AK23">
            <v>76640.399999999994</v>
          </cell>
          <cell r="AL23">
            <v>17000</v>
          </cell>
          <cell r="AM23">
            <v>0</v>
          </cell>
          <cell r="AN23">
            <v>53045</v>
          </cell>
          <cell r="AO23" t="e">
            <v>#DIV/0!</v>
          </cell>
          <cell r="AP23">
            <v>11566</v>
          </cell>
          <cell r="AQ23">
            <v>8865</v>
          </cell>
          <cell r="AR23">
            <v>30707.651408047175</v>
          </cell>
          <cell r="AS23">
            <v>28006.651408047175</v>
          </cell>
          <cell r="AT23">
            <v>2125.3659226468303</v>
          </cell>
          <cell r="AU23">
            <v>25871.285485400345</v>
          </cell>
          <cell r="AV23">
            <v>2810.2298881800666</v>
          </cell>
          <cell r="BB23">
            <v>54.329699519340721</v>
          </cell>
          <cell r="BC23">
            <v>54.329699519340721</v>
          </cell>
          <cell r="BD23">
            <v>35</v>
          </cell>
        </row>
        <row r="24">
          <cell r="A24" t="str">
            <v>8160-01-124</v>
          </cell>
          <cell r="B24" t="str">
            <v>Robert Antokol</v>
          </cell>
          <cell r="C24" t="str">
            <v>014552855</v>
          </cell>
          <cell r="D24">
            <v>14552855</v>
          </cell>
          <cell r="F24" t="str">
            <v>רוברט אנטוקול</v>
          </cell>
          <cell r="G24" t="str">
            <v>I</v>
          </cell>
          <cell r="I24">
            <v>2000000</v>
          </cell>
          <cell r="J24">
            <v>2.7317803635475164E-2</v>
          </cell>
          <cell r="K24">
            <v>68347.408313212596</v>
          </cell>
          <cell r="L24">
            <v>17542.810549611269</v>
          </cell>
          <cell r="M24">
            <v>50804.597763601334</v>
          </cell>
          <cell r="N24">
            <v>362</v>
          </cell>
          <cell r="O24">
            <v>51166.597763601334</v>
          </cell>
          <cell r="P24">
            <v>88778.659276634542</v>
          </cell>
          <cell r="Q24">
            <v>92</v>
          </cell>
          <cell r="R24">
            <v>88870.659276634542</v>
          </cell>
          <cell r="S24">
            <v>140037.25704023588</v>
          </cell>
          <cell r="T24">
            <v>12791.649440900334</v>
          </cell>
          <cell r="U24">
            <v>2124.3198276661819</v>
          </cell>
          <cell r="V24">
            <v>42</v>
          </cell>
          <cell r="W24">
            <v>2166.3198276661819</v>
          </cell>
          <cell r="X24">
            <v>-2166.3198276661819</v>
          </cell>
          <cell r="Y24">
            <v>10625.329613234151</v>
          </cell>
          <cell r="Z24">
            <v>49</v>
          </cell>
          <cell r="AA24">
            <v>10674.329613234151</v>
          </cell>
          <cell r="AB24" t="str">
            <v>X</v>
          </cell>
          <cell r="AD24">
            <v>559</v>
          </cell>
          <cell r="AE24">
            <v>650</v>
          </cell>
          <cell r="AF24">
            <v>11324.329613234151</v>
          </cell>
          <cell r="AG24">
            <v>2725.3198276661819</v>
          </cell>
          <cell r="AH24">
            <v>14049.649440900334</v>
          </cell>
          <cell r="AI24">
            <v>129362.92742700173</v>
          </cell>
          <cell r="AJ24">
            <v>666666.66399999999</v>
          </cell>
          <cell r="AK24">
            <v>383202</v>
          </cell>
          <cell r="AL24">
            <v>84998</v>
          </cell>
          <cell r="AM24">
            <v>0</v>
          </cell>
          <cell r="AN24">
            <v>265226</v>
          </cell>
          <cell r="AO24" t="e">
            <v>#DIV/0!</v>
          </cell>
          <cell r="AP24">
            <v>57831</v>
          </cell>
          <cell r="AQ24">
            <v>44325</v>
          </cell>
          <cell r="AR24">
            <v>153543.25704023588</v>
          </cell>
          <cell r="AS24">
            <v>140037.25704023588</v>
          </cell>
          <cell r="AT24">
            <v>10625.329613234151</v>
          </cell>
          <cell r="AU24">
            <v>129362.92742700173</v>
          </cell>
          <cell r="AV24">
            <v>14049.649440900334</v>
          </cell>
          <cell r="BB24">
            <v>271.66214759670362</v>
          </cell>
          <cell r="BC24">
            <v>271.66214759670362</v>
          </cell>
          <cell r="BD24">
            <v>35</v>
          </cell>
        </row>
        <row r="25">
          <cell r="A25" t="str">
            <v>8160-01-125</v>
          </cell>
          <cell r="B25" t="str">
            <v>Roy Oron</v>
          </cell>
          <cell r="C25" t="str">
            <v>024367021</v>
          </cell>
          <cell r="D25">
            <v>24367021</v>
          </cell>
          <cell r="F25" t="str">
            <v>רועי אורון</v>
          </cell>
          <cell r="G25" t="str">
            <v>I</v>
          </cell>
          <cell r="I25">
            <v>500000</v>
          </cell>
          <cell r="J25">
            <v>6.8294509088687909E-3</v>
          </cell>
          <cell r="K25">
            <v>17086.852078303149</v>
          </cell>
          <cell r="L25">
            <v>4385.7026374028173</v>
          </cell>
          <cell r="M25">
            <v>12701.149440900334</v>
          </cell>
          <cell r="N25">
            <v>90</v>
          </cell>
          <cell r="O25">
            <v>12791.149440900334</v>
          </cell>
          <cell r="P25">
            <v>22194.664819158636</v>
          </cell>
          <cell r="Q25">
            <v>23</v>
          </cell>
          <cell r="R25">
            <v>22217.664819158636</v>
          </cell>
          <cell r="S25">
            <v>35008.814260058971</v>
          </cell>
          <cell r="T25">
            <v>3197.7873602250834</v>
          </cell>
          <cell r="U25">
            <v>531.07995691654548</v>
          </cell>
          <cell r="V25">
            <v>10</v>
          </cell>
          <cell r="W25">
            <v>541.07995691654548</v>
          </cell>
          <cell r="X25">
            <v>-541.07995691654548</v>
          </cell>
          <cell r="Y25">
            <v>2656.7074033085378</v>
          </cell>
          <cell r="Z25">
            <v>12</v>
          </cell>
          <cell r="AA25">
            <v>2668.7074033085378</v>
          </cell>
          <cell r="AB25" t="str">
            <v>X</v>
          </cell>
          <cell r="AD25">
            <v>140</v>
          </cell>
          <cell r="AE25">
            <v>163</v>
          </cell>
          <cell r="AF25">
            <v>2831.7074033085378</v>
          </cell>
          <cell r="AG25">
            <v>681.07995691654548</v>
          </cell>
          <cell r="AH25">
            <v>3512.7873602250834</v>
          </cell>
          <cell r="AI25">
            <v>32340.106856750434</v>
          </cell>
          <cell r="AJ25">
            <v>166666.666</v>
          </cell>
          <cell r="AK25">
            <v>95800.5</v>
          </cell>
          <cell r="AL25">
            <v>21250</v>
          </cell>
          <cell r="AM25">
            <v>0</v>
          </cell>
          <cell r="AN25">
            <v>66306</v>
          </cell>
          <cell r="AO25" t="e">
            <v>#DIV/0!</v>
          </cell>
          <cell r="AP25">
            <v>14458</v>
          </cell>
          <cell r="AQ25">
            <v>11081</v>
          </cell>
          <cell r="AR25">
            <v>38385.814260058971</v>
          </cell>
          <cell r="AS25">
            <v>35008.814260058971</v>
          </cell>
          <cell r="AT25">
            <v>2656.7074033085378</v>
          </cell>
          <cell r="AU25">
            <v>32340.106856750434</v>
          </cell>
          <cell r="AV25">
            <v>3512.7873602250834</v>
          </cell>
          <cell r="BB25">
            <v>67.914224399175907</v>
          </cell>
          <cell r="BC25">
            <v>67.914224399175907</v>
          </cell>
          <cell r="BD25">
            <v>35</v>
          </cell>
        </row>
        <row r="26">
          <cell r="A26" t="str">
            <v>8160-01-126</v>
          </cell>
          <cell r="B26" t="str">
            <v>Shai Reshef</v>
          </cell>
          <cell r="C26" t="str">
            <v>053560108</v>
          </cell>
          <cell r="D26">
            <v>53560108</v>
          </cell>
          <cell r="F26" t="str">
            <v>שי רשף</v>
          </cell>
          <cell r="G26" t="str">
            <v>I</v>
          </cell>
          <cell r="I26">
            <v>500000</v>
          </cell>
          <cell r="J26">
            <v>6.8294509088687909E-3</v>
          </cell>
          <cell r="K26">
            <v>17086.852078303149</v>
          </cell>
          <cell r="L26">
            <v>4385.7026374028173</v>
          </cell>
          <cell r="M26">
            <v>12701.149440900334</v>
          </cell>
          <cell r="N26">
            <v>90</v>
          </cell>
          <cell r="O26">
            <v>12791.149440900334</v>
          </cell>
          <cell r="P26">
            <v>22194.664819158636</v>
          </cell>
          <cell r="Q26">
            <v>23</v>
          </cell>
          <cell r="R26">
            <v>22217.664819158636</v>
          </cell>
          <cell r="S26">
            <v>35008.814260058971</v>
          </cell>
          <cell r="T26">
            <v>3197.7873602250834</v>
          </cell>
          <cell r="U26">
            <v>531.07995691654548</v>
          </cell>
          <cell r="V26">
            <v>10</v>
          </cell>
          <cell r="W26">
            <v>541.07995691654548</v>
          </cell>
          <cell r="X26">
            <v>-541.07995691654548</v>
          </cell>
          <cell r="Y26">
            <v>2656.7074033085378</v>
          </cell>
          <cell r="Z26">
            <v>12</v>
          </cell>
          <cell r="AA26">
            <v>2668.7074033085378</v>
          </cell>
          <cell r="AB26" t="str">
            <v>X</v>
          </cell>
          <cell r="AD26">
            <v>140</v>
          </cell>
          <cell r="AE26">
            <v>163</v>
          </cell>
          <cell r="AF26">
            <v>2831.7074033085378</v>
          </cell>
          <cell r="AG26">
            <v>681.07995691654548</v>
          </cell>
          <cell r="AH26">
            <v>3512.7873602250834</v>
          </cell>
          <cell r="AI26">
            <v>32340.106856750434</v>
          </cell>
          <cell r="AJ26">
            <v>166666.666</v>
          </cell>
          <cell r="AK26">
            <v>95800.5</v>
          </cell>
          <cell r="AL26">
            <v>21250</v>
          </cell>
          <cell r="AM26">
            <v>0</v>
          </cell>
          <cell r="AN26">
            <v>66306</v>
          </cell>
          <cell r="AO26" t="e">
            <v>#DIV/0!</v>
          </cell>
          <cell r="AP26">
            <v>14458</v>
          </cell>
          <cell r="AQ26">
            <v>11081</v>
          </cell>
          <cell r="AR26">
            <v>38385.814260058971</v>
          </cell>
          <cell r="AS26">
            <v>35008.814260058971</v>
          </cell>
          <cell r="AT26">
            <v>2656.7074033085378</v>
          </cell>
          <cell r="AU26">
            <v>32340.106856750434</v>
          </cell>
          <cell r="AV26">
            <v>3512.7873602250834</v>
          </cell>
          <cell r="BB26">
            <v>67.914224399175907</v>
          </cell>
          <cell r="BC26">
            <v>67.914224399175907</v>
          </cell>
          <cell r="BD26">
            <v>35</v>
          </cell>
        </row>
        <row r="27">
          <cell r="A27" t="str">
            <v>8160-01-127</v>
          </cell>
          <cell r="B27" t="str">
            <v>Yishayahu Shai Sheffer</v>
          </cell>
          <cell r="C27" t="str">
            <v>07004476</v>
          </cell>
          <cell r="D27">
            <v>7004476</v>
          </cell>
          <cell r="F27" t="str">
            <v>שי ישעיהו שפר</v>
          </cell>
          <cell r="G27" t="str">
            <v>I</v>
          </cell>
          <cell r="I27">
            <v>250000</v>
          </cell>
          <cell r="J27">
            <v>3.4147254544343955E-3</v>
          </cell>
          <cell r="K27">
            <v>8543.4260391515745</v>
          </cell>
          <cell r="L27">
            <v>2192.8513187014087</v>
          </cell>
          <cell r="M27">
            <v>6350.5747204501668</v>
          </cell>
          <cell r="N27">
            <v>45</v>
          </cell>
          <cell r="O27">
            <v>6395.5747204501668</v>
          </cell>
          <cell r="P27">
            <v>11097.332409579318</v>
          </cell>
          <cell r="Q27">
            <v>12</v>
          </cell>
          <cell r="R27">
            <v>11109.332409579318</v>
          </cell>
          <cell r="S27">
            <v>17504.907130029485</v>
          </cell>
          <cell r="T27">
            <v>1598.8936801125417</v>
          </cell>
          <cell r="U27">
            <v>265.53997845827274</v>
          </cell>
          <cell r="V27">
            <v>5</v>
          </cell>
          <cell r="W27">
            <v>270.53997845827274</v>
          </cell>
          <cell r="X27">
            <v>-270.53997845827274</v>
          </cell>
          <cell r="Y27">
            <v>1328.3537016542689</v>
          </cell>
          <cell r="Z27">
            <v>6</v>
          </cell>
          <cell r="AA27">
            <v>1334.3537016542689</v>
          </cell>
          <cell r="AB27" t="str">
            <v>X</v>
          </cell>
          <cell r="AD27">
            <v>70</v>
          </cell>
          <cell r="AE27">
            <v>81</v>
          </cell>
          <cell r="AF27">
            <v>1415.3537016542689</v>
          </cell>
          <cell r="AG27">
            <v>340.53997845827274</v>
          </cell>
          <cell r="AH27">
            <v>1755.8936801125417</v>
          </cell>
          <cell r="AI27">
            <v>16170.553428375217</v>
          </cell>
          <cell r="AJ27">
            <v>83333.332999999999</v>
          </cell>
          <cell r="AK27">
            <v>47900</v>
          </cell>
          <cell r="AL27">
            <v>10625</v>
          </cell>
          <cell r="AM27">
            <v>0</v>
          </cell>
          <cell r="AN27">
            <v>33153.5</v>
          </cell>
          <cell r="AO27" t="e">
            <v>#DIV/0!</v>
          </cell>
          <cell r="AP27">
            <v>7229</v>
          </cell>
          <cell r="AQ27">
            <v>5541</v>
          </cell>
          <cell r="AR27">
            <v>19192.907130029485</v>
          </cell>
          <cell r="AS27">
            <v>17504.907130029485</v>
          </cell>
          <cell r="AT27">
            <v>1328.3537016542689</v>
          </cell>
          <cell r="AU27">
            <v>16170.553428375217</v>
          </cell>
          <cell r="AV27">
            <v>1755.8936801125417</v>
          </cell>
          <cell r="BB27">
            <v>33.958162199587953</v>
          </cell>
          <cell r="BC27">
            <v>33.958162199587953</v>
          </cell>
          <cell r="BD27">
            <v>35</v>
          </cell>
        </row>
        <row r="28">
          <cell r="A28" t="str">
            <v>8160-01-128</v>
          </cell>
          <cell r="B28" t="str">
            <v>Shlomi Aizenberg</v>
          </cell>
          <cell r="C28" t="str">
            <v>036397297</v>
          </cell>
          <cell r="D28">
            <v>36397297</v>
          </cell>
          <cell r="F28" t="str">
            <v>שלומי אייזנברג</v>
          </cell>
          <cell r="G28" t="str">
            <v>I</v>
          </cell>
          <cell r="I28">
            <v>200000</v>
          </cell>
          <cell r="J28">
            <v>2.7317803635475164E-3</v>
          </cell>
          <cell r="K28">
            <v>6834.74083132126</v>
          </cell>
          <cell r="L28">
            <v>1754.281054961127</v>
          </cell>
          <cell r="M28">
            <v>5080.4597763601332</v>
          </cell>
          <cell r="N28">
            <v>36</v>
          </cell>
          <cell r="O28">
            <v>5116.4597763601332</v>
          </cell>
          <cell r="P28">
            <v>8877.8659276634535</v>
          </cell>
          <cell r="Q28">
            <v>9</v>
          </cell>
          <cell r="R28">
            <v>8886.8659276634535</v>
          </cell>
          <cell r="S28">
            <v>14003.325704023588</v>
          </cell>
          <cell r="T28">
            <v>1279.1149440900333</v>
          </cell>
          <cell r="U28">
            <v>212.43198276661818</v>
          </cell>
          <cell r="V28">
            <v>4</v>
          </cell>
          <cell r="W28">
            <v>216.43198276661818</v>
          </cell>
          <cell r="X28">
            <v>-216.43198276661818</v>
          </cell>
          <cell r="Y28">
            <v>1062.6829613234152</v>
          </cell>
          <cell r="Z28">
            <v>5</v>
          </cell>
          <cell r="AA28">
            <v>1067.6829613234152</v>
          </cell>
          <cell r="AB28" t="str">
            <v>X</v>
          </cell>
          <cell r="AD28">
            <v>56</v>
          </cell>
          <cell r="AE28">
            <v>65</v>
          </cell>
          <cell r="AF28">
            <v>1132.6829613234152</v>
          </cell>
          <cell r="AG28">
            <v>272.43198276661815</v>
          </cell>
          <cell r="AH28">
            <v>1405.1149440900333</v>
          </cell>
          <cell r="AI28">
            <v>12935.642742700173</v>
          </cell>
          <cell r="AJ28">
            <v>66666.666400000002</v>
          </cell>
          <cell r="AK28">
            <v>38320</v>
          </cell>
          <cell r="AL28">
            <v>8500</v>
          </cell>
          <cell r="AM28">
            <v>0</v>
          </cell>
          <cell r="AN28">
            <v>26522</v>
          </cell>
          <cell r="AO28" t="e">
            <v>#DIV/0!</v>
          </cell>
          <cell r="AP28">
            <v>5783</v>
          </cell>
          <cell r="AQ28">
            <v>4432</v>
          </cell>
          <cell r="AR28">
            <v>15354.325704023588</v>
          </cell>
          <cell r="AS28">
            <v>14003.325704023588</v>
          </cell>
          <cell r="AT28">
            <v>1062.6829613234152</v>
          </cell>
          <cell r="AU28">
            <v>12935.642742700173</v>
          </cell>
          <cell r="AV28">
            <v>1405.1149440900333</v>
          </cell>
          <cell r="BB28">
            <v>27.164849759670361</v>
          </cell>
          <cell r="BC28">
            <v>27.164849759670361</v>
          </cell>
          <cell r="BD28">
            <v>35</v>
          </cell>
        </row>
        <row r="29">
          <cell r="A29" t="str">
            <v>8160-01-129</v>
          </cell>
          <cell r="B29" t="str">
            <v>Shy Datika</v>
          </cell>
          <cell r="C29" t="str">
            <v>023942162</v>
          </cell>
          <cell r="D29">
            <v>23942162</v>
          </cell>
          <cell r="F29" t="str">
            <v>שי דתיקה</v>
          </cell>
          <cell r="G29" t="str">
            <v>I</v>
          </cell>
          <cell r="I29">
            <v>500000</v>
          </cell>
          <cell r="J29">
            <v>6.8294509088687909E-3</v>
          </cell>
          <cell r="K29">
            <v>17086.852078303149</v>
          </cell>
          <cell r="L29">
            <v>4385.7026374028173</v>
          </cell>
          <cell r="M29">
            <v>12701.149440900334</v>
          </cell>
          <cell r="N29">
            <v>90</v>
          </cell>
          <cell r="O29">
            <v>12791.149440900334</v>
          </cell>
          <cell r="P29">
            <v>22194.664819158636</v>
          </cell>
          <cell r="Q29">
            <v>23</v>
          </cell>
          <cell r="R29">
            <v>22217.664819158636</v>
          </cell>
          <cell r="S29">
            <v>35008.814260058971</v>
          </cell>
          <cell r="T29">
            <v>3197.7873602250834</v>
          </cell>
          <cell r="U29">
            <v>531.07995691654548</v>
          </cell>
          <cell r="V29">
            <v>10</v>
          </cell>
          <cell r="W29">
            <v>541.07995691654548</v>
          </cell>
          <cell r="X29">
            <v>-541.07995691654548</v>
          </cell>
          <cell r="Y29">
            <v>2656.7074033085378</v>
          </cell>
          <cell r="Z29">
            <v>12</v>
          </cell>
          <cell r="AA29">
            <v>2668.7074033085378</v>
          </cell>
          <cell r="AB29" t="str">
            <v>X</v>
          </cell>
          <cell r="AD29">
            <v>140</v>
          </cell>
          <cell r="AE29">
            <v>163</v>
          </cell>
          <cell r="AF29">
            <v>2831.7074033085378</v>
          </cell>
          <cell r="AG29">
            <v>681.07995691654548</v>
          </cell>
          <cell r="AH29">
            <v>3512.7873602250834</v>
          </cell>
          <cell r="AI29">
            <v>32340.106856750434</v>
          </cell>
          <cell r="AJ29">
            <v>166666.666</v>
          </cell>
          <cell r="AK29">
            <v>95800.5</v>
          </cell>
          <cell r="AL29">
            <v>21250</v>
          </cell>
          <cell r="AM29">
            <v>0</v>
          </cell>
          <cell r="AN29">
            <v>66306</v>
          </cell>
          <cell r="AO29" t="e">
            <v>#DIV/0!</v>
          </cell>
          <cell r="AP29">
            <v>14458</v>
          </cell>
          <cell r="AQ29">
            <v>11081</v>
          </cell>
          <cell r="AR29">
            <v>38385.814260058971</v>
          </cell>
          <cell r="AS29">
            <v>35008.814260058971</v>
          </cell>
          <cell r="AT29">
            <v>2656.7074033085378</v>
          </cell>
          <cell r="AU29">
            <v>32340.106856750434</v>
          </cell>
          <cell r="AV29">
            <v>3512.7873602250834</v>
          </cell>
          <cell r="BB29">
            <v>67.914224399175907</v>
          </cell>
          <cell r="BC29">
            <v>67.914224399175907</v>
          </cell>
          <cell r="BD29">
            <v>35</v>
          </cell>
        </row>
        <row r="30">
          <cell r="A30" t="str">
            <v>8160-01-130</v>
          </cell>
          <cell r="B30" t="str">
            <v>Solog Industrial Buildings LTD</v>
          </cell>
          <cell r="C30">
            <v>512170234</v>
          </cell>
          <cell r="D30">
            <v>512170234</v>
          </cell>
          <cell r="E30" t="str">
            <v>Solog Industrial Buildings LTD</v>
          </cell>
          <cell r="F30" t="str">
            <v>סולוג מבני תעשייה (1995) בע"מ</v>
          </cell>
          <cell r="G30" t="str">
            <v>I</v>
          </cell>
          <cell r="I30">
            <v>300000</v>
          </cell>
          <cell r="J30">
            <v>4.0976705453212746E-3</v>
          </cell>
          <cell r="K30">
            <v>10252.111246981891</v>
          </cell>
          <cell r="L30">
            <v>2631.4215824416906</v>
          </cell>
          <cell r="M30">
            <v>7620.6896645402003</v>
          </cell>
          <cell r="N30">
            <v>54</v>
          </cell>
          <cell r="O30">
            <v>7674.6896645402003</v>
          </cell>
          <cell r="P30">
            <v>13316.798891495182</v>
          </cell>
          <cell r="Q30">
            <v>14</v>
          </cell>
          <cell r="R30">
            <v>13330.798891495182</v>
          </cell>
          <cell r="S30">
            <v>21005.488556035383</v>
          </cell>
          <cell r="U30">
            <v>318.64797414992728</v>
          </cell>
          <cell r="V30">
            <v>6</v>
          </cell>
          <cell r="W30">
            <v>324.64797414992728</v>
          </cell>
          <cell r="AB30" t="str">
            <v>V</v>
          </cell>
          <cell r="AC30">
            <v>318.64797414992728</v>
          </cell>
          <cell r="AD30">
            <v>84</v>
          </cell>
          <cell r="AF30">
            <v>0</v>
          </cell>
          <cell r="AG30">
            <v>408.64797414992728</v>
          </cell>
          <cell r="AH30">
            <v>408.64797414992728</v>
          </cell>
          <cell r="AI30">
            <v>21005.488556035383</v>
          </cell>
          <cell r="AJ30" t="e">
            <v>#N/A</v>
          </cell>
          <cell r="AK30" t="e">
            <v>#N/A</v>
          </cell>
          <cell r="AL30" t="e">
            <v>#N/A</v>
          </cell>
          <cell r="AM30" t="e">
            <v>#N/A</v>
          </cell>
          <cell r="AN30" t="e">
            <v>#N/A</v>
          </cell>
          <cell r="AO30" t="e">
            <v>#N/A</v>
          </cell>
          <cell r="AP30">
            <v>8675</v>
          </cell>
          <cell r="AQ30">
            <v>6649</v>
          </cell>
          <cell r="AR30">
            <v>23031.488556035383</v>
          </cell>
          <cell r="AS30">
            <v>21005.488556035383</v>
          </cell>
          <cell r="AT30">
            <v>0</v>
          </cell>
          <cell r="AU30">
            <v>21005.488556035383</v>
          </cell>
          <cell r="AV30">
            <v>408.64797414992728</v>
          </cell>
          <cell r="BB30">
            <v>44.111525967674304</v>
          </cell>
          <cell r="BC30">
            <v>44.111525967674304</v>
          </cell>
          <cell r="BD30">
            <v>35</v>
          </cell>
        </row>
        <row r="31">
          <cell r="A31" t="str">
            <v>8160-01-131</v>
          </cell>
          <cell r="B31" t="str">
            <v>The Ehud Sol Company</v>
          </cell>
          <cell r="C31">
            <v>514299676</v>
          </cell>
          <cell r="D31">
            <v>514299676</v>
          </cell>
          <cell r="E31" t="str">
            <v>The Ehud Sol Company</v>
          </cell>
          <cell r="F31" t="str">
            <v>חברת אהוד סול</v>
          </cell>
          <cell r="G31" t="str">
            <v>I</v>
          </cell>
          <cell r="I31">
            <v>250000</v>
          </cell>
          <cell r="J31">
            <v>3.4147254544343955E-3</v>
          </cell>
          <cell r="K31">
            <v>8543.4260391515745</v>
          </cell>
          <cell r="L31">
            <v>2192.8513187014087</v>
          </cell>
          <cell r="M31">
            <v>6350.5747204501668</v>
          </cell>
          <cell r="N31">
            <v>45</v>
          </cell>
          <cell r="O31">
            <v>6395.5747204501668</v>
          </cell>
          <cell r="P31">
            <v>11097.332409579318</v>
          </cell>
          <cell r="Q31">
            <v>12</v>
          </cell>
          <cell r="R31">
            <v>11109.332409579318</v>
          </cell>
          <cell r="S31">
            <v>17504.907130029485</v>
          </cell>
          <cell r="T31">
            <v>1598.8936801125417</v>
          </cell>
          <cell r="U31">
            <v>265.53997845827274</v>
          </cell>
          <cell r="V31">
            <v>5</v>
          </cell>
          <cell r="W31">
            <v>270.53997845827274</v>
          </cell>
          <cell r="X31">
            <v>-270.53997845827274</v>
          </cell>
          <cell r="Y31">
            <v>1328.3537016542689</v>
          </cell>
          <cell r="Z31">
            <v>6</v>
          </cell>
          <cell r="AA31">
            <v>1334.3537016542689</v>
          </cell>
          <cell r="AB31" t="str">
            <v>X</v>
          </cell>
          <cell r="AD31">
            <v>70</v>
          </cell>
          <cell r="AE31">
            <v>81</v>
          </cell>
          <cell r="AF31">
            <v>1415.3537016542689</v>
          </cell>
          <cell r="AG31">
            <v>340.53997845827274</v>
          </cell>
          <cell r="AH31">
            <v>1755.8936801125417</v>
          </cell>
          <cell r="AI31">
            <v>16170.553428375217</v>
          </cell>
          <cell r="AJ31" t="e">
            <v>#N/A</v>
          </cell>
          <cell r="AK31" t="e">
            <v>#N/A</v>
          </cell>
          <cell r="AL31" t="e">
            <v>#N/A</v>
          </cell>
          <cell r="AM31" t="e">
            <v>#N/A</v>
          </cell>
          <cell r="AN31" t="e">
            <v>#N/A</v>
          </cell>
          <cell r="AO31" t="e">
            <v>#N/A</v>
          </cell>
          <cell r="AP31">
            <v>7229</v>
          </cell>
          <cell r="AQ31">
            <v>5541</v>
          </cell>
          <cell r="AR31">
            <v>19192.907130029485</v>
          </cell>
          <cell r="AS31">
            <v>17504.907130029485</v>
          </cell>
          <cell r="AT31">
            <v>1328.3537016542689</v>
          </cell>
          <cell r="AU31">
            <v>16170.553428375217</v>
          </cell>
          <cell r="AV31">
            <v>1755.8936801125417</v>
          </cell>
          <cell r="BB31">
            <v>33.958162199587953</v>
          </cell>
          <cell r="BC31">
            <v>33.958162199587953</v>
          </cell>
          <cell r="BD31">
            <v>35</v>
          </cell>
        </row>
        <row r="32">
          <cell r="A32" t="str">
            <v>8160-01-132</v>
          </cell>
          <cell r="B32" t="str">
            <v>Anat (Shay) Loterbach</v>
          </cell>
          <cell r="C32" t="str">
            <v>057105652</v>
          </cell>
          <cell r="D32">
            <v>520023185</v>
          </cell>
          <cell r="F32" t="str">
            <v>ענת לוטרבך</v>
          </cell>
          <cell r="G32" t="str">
            <v>I</v>
          </cell>
          <cell r="H32" t="str">
            <v>Phoenix</v>
          </cell>
          <cell r="I32">
            <v>250000</v>
          </cell>
          <cell r="J32">
            <v>3.4147254544343955E-3</v>
          </cell>
          <cell r="K32">
            <v>8543.4260391515745</v>
          </cell>
          <cell r="L32">
            <v>2192.8513187014087</v>
          </cell>
          <cell r="M32">
            <v>6350.5747204501668</v>
          </cell>
          <cell r="N32">
            <v>45</v>
          </cell>
          <cell r="O32">
            <v>6395.5747204501668</v>
          </cell>
          <cell r="P32">
            <v>11097.332409579318</v>
          </cell>
          <cell r="Q32">
            <v>12</v>
          </cell>
          <cell r="R32">
            <v>11109.332409579318</v>
          </cell>
          <cell r="S32">
            <v>17504.907130029485</v>
          </cell>
          <cell r="U32">
            <v>265.53997845827274</v>
          </cell>
          <cell r="V32">
            <v>5</v>
          </cell>
          <cell r="W32">
            <v>270.53997845827274</v>
          </cell>
          <cell r="AB32" t="str">
            <v>IRA</v>
          </cell>
          <cell r="AC32">
            <v>265.53997845827274</v>
          </cell>
          <cell r="AD32">
            <v>70</v>
          </cell>
          <cell r="AE32">
            <v>0</v>
          </cell>
          <cell r="AF32">
            <v>0</v>
          </cell>
          <cell r="AG32">
            <v>340.53997845827274</v>
          </cell>
          <cell r="AH32">
            <v>340.53997845827274</v>
          </cell>
          <cell r="AI32">
            <v>17504.907130029485</v>
          </cell>
          <cell r="AJ32">
            <v>83333.332999999999</v>
          </cell>
          <cell r="AK32">
            <v>47900.25</v>
          </cell>
          <cell r="AL32">
            <v>10625</v>
          </cell>
          <cell r="AM32">
            <v>0</v>
          </cell>
          <cell r="AN32">
            <v>33153</v>
          </cell>
          <cell r="AO32" t="e">
            <v>#DIV/0!</v>
          </cell>
          <cell r="AP32">
            <v>7229</v>
          </cell>
          <cell r="AQ32">
            <v>5541</v>
          </cell>
          <cell r="AR32">
            <v>19192.907130029485</v>
          </cell>
          <cell r="AS32">
            <v>17504.907130029485</v>
          </cell>
          <cell r="AT32">
            <v>0</v>
          </cell>
          <cell r="AU32">
            <v>17504.907130029485</v>
          </cell>
          <cell r="AV32">
            <v>340.53997845827274</v>
          </cell>
          <cell r="BB32">
            <v>36.76030497306192</v>
          </cell>
          <cell r="BC32">
            <v>36.76030497306192</v>
          </cell>
          <cell r="BD32">
            <v>35</v>
          </cell>
        </row>
        <row r="33">
          <cell r="A33" t="str">
            <v>8160-01-133</v>
          </cell>
          <cell r="B33" t="str">
            <v>Moshe Arkin</v>
          </cell>
          <cell r="C33" t="str">
            <v>051643062</v>
          </cell>
          <cell r="D33">
            <v>520023185</v>
          </cell>
          <cell r="F33" t="str">
            <v>משה ארקין</v>
          </cell>
          <cell r="G33" t="str">
            <v>I</v>
          </cell>
          <cell r="H33" t="str">
            <v>Phoenix</v>
          </cell>
          <cell r="I33">
            <v>500000</v>
          </cell>
          <cell r="J33">
            <v>6.8294509088687909E-3</v>
          </cell>
          <cell r="K33">
            <v>17086.852078303149</v>
          </cell>
          <cell r="L33">
            <v>4385.7026374028173</v>
          </cell>
          <cell r="M33">
            <v>12701.149440900334</v>
          </cell>
          <cell r="N33">
            <v>90</v>
          </cell>
          <cell r="O33">
            <v>12791.149440900334</v>
          </cell>
          <cell r="P33">
            <v>22194.664819158636</v>
          </cell>
          <cell r="Q33">
            <v>23</v>
          </cell>
          <cell r="R33">
            <v>22217.664819158636</v>
          </cell>
          <cell r="S33">
            <v>35008.814260058971</v>
          </cell>
          <cell r="U33">
            <v>531.07995691654548</v>
          </cell>
          <cell r="V33">
            <v>10</v>
          </cell>
          <cell r="W33">
            <v>541.07995691654548</v>
          </cell>
          <cell r="AB33" t="str">
            <v>IRA</v>
          </cell>
          <cell r="AC33">
            <v>531.07995691654548</v>
          </cell>
          <cell r="AD33">
            <v>140</v>
          </cell>
          <cell r="AE33">
            <v>0</v>
          </cell>
          <cell r="AF33">
            <v>0</v>
          </cell>
          <cell r="AG33">
            <v>681.07995691654548</v>
          </cell>
          <cell r="AH33">
            <v>681.07995691654548</v>
          </cell>
          <cell r="AI33">
            <v>35008.814260058971</v>
          </cell>
          <cell r="AJ33">
            <v>166666.666</v>
          </cell>
          <cell r="AK33">
            <v>95800.5</v>
          </cell>
          <cell r="AL33">
            <v>21250</v>
          </cell>
          <cell r="AM33">
            <v>0</v>
          </cell>
          <cell r="AN33">
            <v>66306</v>
          </cell>
          <cell r="AO33" t="e">
            <v>#DIV/0!</v>
          </cell>
          <cell r="AP33">
            <v>14458</v>
          </cell>
          <cell r="AQ33">
            <v>11081</v>
          </cell>
          <cell r="AR33">
            <v>38385.814260058971</v>
          </cell>
          <cell r="AS33">
            <v>35008.814260058971</v>
          </cell>
          <cell r="AT33">
            <v>0</v>
          </cell>
          <cell r="AU33">
            <v>35008.814260058971</v>
          </cell>
          <cell r="AV33">
            <v>681.07995691654548</v>
          </cell>
          <cell r="BB33">
            <v>73.518509946123828</v>
          </cell>
          <cell r="BC33">
            <v>73.518509946123828</v>
          </cell>
          <cell r="BD33">
            <v>35</v>
          </cell>
        </row>
        <row r="34">
          <cell r="A34" t="str">
            <v>8160-01-134</v>
          </cell>
          <cell r="B34" t="str">
            <v>Yaron Sorek Holdings</v>
          </cell>
          <cell r="C34">
            <v>512875113</v>
          </cell>
          <cell r="D34">
            <v>512875113</v>
          </cell>
          <cell r="E34" t="str">
            <v>Yaron Sorek Holdings</v>
          </cell>
          <cell r="F34" t="str">
            <v>ירון שורק החזקות</v>
          </cell>
          <cell r="G34" t="str">
            <v>I</v>
          </cell>
          <cell r="I34">
            <v>250000</v>
          </cell>
          <cell r="J34">
            <v>3.4147254544343955E-3</v>
          </cell>
          <cell r="K34">
            <v>8543.4260391515745</v>
          </cell>
          <cell r="L34">
            <v>2192.8513187014087</v>
          </cell>
          <cell r="M34">
            <v>6350.5747204501668</v>
          </cell>
          <cell r="N34">
            <v>45</v>
          </cell>
          <cell r="O34">
            <v>6395.5747204501668</v>
          </cell>
          <cell r="P34">
            <v>11097.332409579318</v>
          </cell>
          <cell r="Q34">
            <v>12</v>
          </cell>
          <cell r="R34">
            <v>11109.332409579318</v>
          </cell>
          <cell r="S34">
            <v>17504.907130029485</v>
          </cell>
          <cell r="U34">
            <v>265.53997845827274</v>
          </cell>
          <cell r="V34">
            <v>5</v>
          </cell>
          <cell r="W34">
            <v>270.53997845827274</v>
          </cell>
          <cell r="AB34" t="str">
            <v>V</v>
          </cell>
          <cell r="AC34">
            <v>265.53997845827274</v>
          </cell>
          <cell r="AD34">
            <v>70</v>
          </cell>
          <cell r="AF34">
            <v>0</v>
          </cell>
          <cell r="AG34">
            <v>340.53997845827274</v>
          </cell>
          <cell r="AH34">
            <v>340.53997845827274</v>
          </cell>
          <cell r="AI34">
            <v>17504.907130029485</v>
          </cell>
          <cell r="AJ34" t="e">
            <v>#N/A</v>
          </cell>
          <cell r="AK34" t="e">
            <v>#N/A</v>
          </cell>
          <cell r="AL34" t="e">
            <v>#N/A</v>
          </cell>
          <cell r="AM34" t="e">
            <v>#N/A</v>
          </cell>
          <cell r="AN34" t="e">
            <v>#N/A</v>
          </cell>
          <cell r="AO34" t="e">
            <v>#N/A</v>
          </cell>
          <cell r="AP34">
            <v>7229</v>
          </cell>
          <cell r="AQ34">
            <v>5541</v>
          </cell>
          <cell r="AR34">
            <v>19192.907130029485</v>
          </cell>
          <cell r="AS34">
            <v>17504.907130029485</v>
          </cell>
          <cell r="AT34">
            <v>0</v>
          </cell>
          <cell r="AU34">
            <v>17504.907130029485</v>
          </cell>
          <cell r="AV34">
            <v>340.53997845827274</v>
          </cell>
          <cell r="BB34">
            <v>36.76030497306192</v>
          </cell>
          <cell r="BC34">
            <v>36.76030497306192</v>
          </cell>
          <cell r="BD34">
            <v>35</v>
          </cell>
        </row>
        <row r="35">
          <cell r="A35" t="str">
            <v>8160-01-135</v>
          </cell>
          <cell r="B35" t="str">
            <v>Zafrir Engineers Ltd</v>
          </cell>
          <cell r="C35">
            <v>520042367</v>
          </cell>
          <cell r="D35">
            <v>520042367</v>
          </cell>
          <cell r="E35" t="str">
            <v>Zafrir Engineers Ltd</v>
          </cell>
          <cell r="F35" t="str">
            <v>צפריר מהנדסים בע"מ</v>
          </cell>
          <cell r="G35" t="str">
            <v>I</v>
          </cell>
          <cell r="I35">
            <v>250000</v>
          </cell>
          <cell r="J35">
            <v>3.4147254544343955E-3</v>
          </cell>
          <cell r="K35">
            <v>8543.4260391515745</v>
          </cell>
          <cell r="L35">
            <v>2192.8513187014087</v>
          </cell>
          <cell r="M35">
            <v>6350.5747204501668</v>
          </cell>
          <cell r="N35">
            <v>45</v>
          </cell>
          <cell r="O35">
            <v>6395.5747204501668</v>
          </cell>
          <cell r="P35">
            <v>11097.332409579318</v>
          </cell>
          <cell r="Q35">
            <v>12</v>
          </cell>
          <cell r="R35">
            <v>11109.332409579318</v>
          </cell>
          <cell r="S35">
            <v>17504.907130029485</v>
          </cell>
          <cell r="U35">
            <v>265.53997845827274</v>
          </cell>
          <cell r="V35">
            <v>5</v>
          </cell>
          <cell r="W35">
            <v>270.53997845827274</v>
          </cell>
          <cell r="AB35" t="str">
            <v>V</v>
          </cell>
          <cell r="AC35">
            <v>265.53997845827274</v>
          </cell>
          <cell r="AD35">
            <v>70</v>
          </cell>
          <cell r="AF35">
            <v>0</v>
          </cell>
          <cell r="AG35">
            <v>340.53997845827274</v>
          </cell>
          <cell r="AH35">
            <v>340.53997845827274</v>
          </cell>
          <cell r="AI35">
            <v>17504.907130029485</v>
          </cell>
          <cell r="AJ35" t="e">
            <v>#N/A</v>
          </cell>
          <cell r="AK35" t="e">
            <v>#N/A</v>
          </cell>
          <cell r="AL35" t="e">
            <v>#N/A</v>
          </cell>
          <cell r="AM35" t="e">
            <v>#N/A</v>
          </cell>
          <cell r="AN35" t="e">
            <v>#N/A</v>
          </cell>
          <cell r="AO35" t="e">
            <v>#N/A</v>
          </cell>
          <cell r="AP35">
            <v>7229</v>
          </cell>
          <cell r="AQ35">
            <v>5541</v>
          </cell>
          <cell r="AR35">
            <v>19192.907130029485</v>
          </cell>
          <cell r="AS35">
            <v>17504.907130029485</v>
          </cell>
          <cell r="AT35">
            <v>0</v>
          </cell>
          <cell r="AU35">
            <v>17504.907130029485</v>
          </cell>
          <cell r="AV35">
            <v>340.53997845827274</v>
          </cell>
          <cell r="BB35">
            <v>36.76030497306192</v>
          </cell>
          <cell r="BC35">
            <v>36.76030497306192</v>
          </cell>
          <cell r="BD35">
            <v>35</v>
          </cell>
        </row>
        <row r="36">
          <cell r="A36" t="str">
            <v>8160-01-136</v>
          </cell>
          <cell r="B36" t="str">
            <v>Zvi V &amp; Co Company</v>
          </cell>
          <cell r="C36">
            <v>512715970</v>
          </cell>
          <cell r="D36">
            <v>512715970</v>
          </cell>
          <cell r="E36" t="str">
            <v>Zvi V &amp; Co Company</v>
          </cell>
          <cell r="F36" t="str">
            <v>חברת צבי ו. ושות' בע"מ</v>
          </cell>
          <cell r="G36" t="str">
            <v>I</v>
          </cell>
          <cell r="I36">
            <v>500000</v>
          </cell>
          <cell r="J36">
            <v>6.8294509088687909E-3</v>
          </cell>
          <cell r="K36">
            <v>17086.852078303149</v>
          </cell>
          <cell r="L36">
            <v>4385.7026374028173</v>
          </cell>
          <cell r="M36">
            <v>12701.149440900334</v>
          </cell>
          <cell r="N36">
            <v>90</v>
          </cell>
          <cell r="O36">
            <v>12791.149440900334</v>
          </cell>
          <cell r="P36">
            <v>22194.664819158636</v>
          </cell>
          <cell r="Q36">
            <v>23</v>
          </cell>
          <cell r="R36">
            <v>22217.664819158636</v>
          </cell>
          <cell r="S36">
            <v>35008.814260058971</v>
          </cell>
          <cell r="U36">
            <v>531.07995691654548</v>
          </cell>
          <cell r="V36">
            <v>10</v>
          </cell>
          <cell r="W36">
            <v>541.07995691654548</v>
          </cell>
          <cell r="AB36" t="str">
            <v>V</v>
          </cell>
          <cell r="AC36">
            <v>531.07995691654548</v>
          </cell>
          <cell r="AD36">
            <v>140</v>
          </cell>
          <cell r="AF36">
            <v>0</v>
          </cell>
          <cell r="AG36">
            <v>681.07995691654548</v>
          </cell>
          <cell r="AH36">
            <v>681.07995691654548</v>
          </cell>
          <cell r="AI36">
            <v>35008.814260058971</v>
          </cell>
          <cell r="AJ36" t="e">
            <v>#N/A</v>
          </cell>
          <cell r="AK36" t="e">
            <v>#N/A</v>
          </cell>
          <cell r="AL36" t="e">
            <v>#N/A</v>
          </cell>
          <cell r="AM36" t="e">
            <v>#N/A</v>
          </cell>
          <cell r="AN36" t="e">
            <v>#N/A</v>
          </cell>
          <cell r="AO36" t="e">
            <v>#N/A</v>
          </cell>
          <cell r="AP36">
            <v>14458</v>
          </cell>
          <cell r="AQ36">
            <v>11081</v>
          </cell>
          <cell r="AR36">
            <v>38385.814260058971</v>
          </cell>
          <cell r="AS36">
            <v>35008.814260058971</v>
          </cell>
          <cell r="AT36">
            <v>0</v>
          </cell>
          <cell r="AU36">
            <v>35008.814260058971</v>
          </cell>
          <cell r="AV36">
            <v>681.07995691654548</v>
          </cell>
          <cell r="BB36">
            <v>73.518509946123828</v>
          </cell>
          <cell r="BC36">
            <v>73.518509946123828</v>
          </cell>
          <cell r="BD36">
            <v>35</v>
          </cell>
        </row>
        <row r="37">
          <cell r="A37" t="str">
            <v>8160-01-137</v>
          </cell>
          <cell r="B37" t="str">
            <v>ADIPAZ Israel Gold Jewllery LTD</v>
          </cell>
          <cell r="C37">
            <v>510606643</v>
          </cell>
          <cell r="D37">
            <v>510606643</v>
          </cell>
          <cell r="E37" t="str">
            <v>ADIPAZ Israel Gold Jewllery LTD</v>
          </cell>
          <cell r="F37" t="str">
            <v>עדיפז תכשיטי זהב בישראל בע"מ</v>
          </cell>
          <cell r="G37" t="str">
            <v>I</v>
          </cell>
          <cell r="I37">
            <v>500000</v>
          </cell>
          <cell r="J37">
            <v>6.8294509088687909E-3</v>
          </cell>
          <cell r="K37">
            <v>17086.852078303149</v>
          </cell>
          <cell r="L37">
            <v>4385.7026374028173</v>
          </cell>
          <cell r="M37">
            <v>12701.149440900334</v>
          </cell>
          <cell r="N37">
            <v>90</v>
          </cell>
          <cell r="O37">
            <v>12791.149440900334</v>
          </cell>
          <cell r="P37">
            <v>22194.664819158636</v>
          </cell>
          <cell r="Q37">
            <v>23</v>
          </cell>
          <cell r="R37">
            <v>22217.664819158636</v>
          </cell>
          <cell r="S37">
            <v>35008.814260058971</v>
          </cell>
          <cell r="U37">
            <v>531.07995691654548</v>
          </cell>
          <cell r="V37">
            <v>10</v>
          </cell>
          <cell r="W37">
            <v>541.07995691654548</v>
          </cell>
          <cell r="AB37" t="str">
            <v>V</v>
          </cell>
          <cell r="AC37">
            <v>531.07995691654548</v>
          </cell>
          <cell r="AD37">
            <v>140</v>
          </cell>
          <cell r="AF37">
            <v>0</v>
          </cell>
          <cell r="AG37">
            <v>681.07995691654548</v>
          </cell>
          <cell r="AH37">
            <v>681.07995691654548</v>
          </cell>
          <cell r="AI37">
            <v>35008.814260058971</v>
          </cell>
          <cell r="AJ37" t="e">
            <v>#N/A</v>
          </cell>
          <cell r="AK37" t="e">
            <v>#N/A</v>
          </cell>
          <cell r="AL37" t="e">
            <v>#N/A</v>
          </cell>
          <cell r="AM37" t="e">
            <v>#N/A</v>
          </cell>
          <cell r="AN37" t="e">
            <v>#N/A</v>
          </cell>
          <cell r="AO37" t="e">
            <v>#N/A</v>
          </cell>
          <cell r="AP37">
            <v>14458</v>
          </cell>
          <cell r="AQ37">
            <v>11081</v>
          </cell>
          <cell r="AR37">
            <v>38385.814260058971</v>
          </cell>
          <cell r="AS37">
            <v>35008.814260058971</v>
          </cell>
          <cell r="AT37">
            <v>0</v>
          </cell>
          <cell r="AU37">
            <v>35008.814260058971</v>
          </cell>
          <cell r="AV37">
            <v>681.07995691654548</v>
          </cell>
          <cell r="BB37">
            <v>73.518509946123828</v>
          </cell>
          <cell r="BC37">
            <v>73.518509946123828</v>
          </cell>
          <cell r="BD37">
            <v>35</v>
          </cell>
        </row>
        <row r="38">
          <cell r="A38" t="str">
            <v>8160-01-138</v>
          </cell>
          <cell r="B38" t="str">
            <v>E. Itzhaki Building &amp; Investments Co. Ltd</v>
          </cell>
          <cell r="C38" t="str">
            <v>510-063-647</v>
          </cell>
          <cell r="D38" t="str">
            <v>510-063-647</v>
          </cell>
          <cell r="E38" t="str">
            <v>E. Itzhaki Building &amp; Investments Co. Ltd</v>
          </cell>
          <cell r="F38" t="str">
            <v>א יצחקי חברה לבנין והשקעות בע"מ</v>
          </cell>
          <cell r="G38" t="str">
            <v>I</v>
          </cell>
          <cell r="I38">
            <v>500000</v>
          </cell>
          <cell r="J38">
            <v>6.8294509088687909E-3</v>
          </cell>
          <cell r="K38">
            <v>17086.852078303149</v>
          </cell>
          <cell r="L38">
            <v>4385.7026374028173</v>
          </cell>
          <cell r="M38">
            <v>12701.149440900334</v>
          </cell>
          <cell r="N38">
            <v>90</v>
          </cell>
          <cell r="O38">
            <v>12791.149440900334</v>
          </cell>
          <cell r="P38">
            <v>22194.664819158636</v>
          </cell>
          <cell r="Q38">
            <v>23</v>
          </cell>
          <cell r="R38">
            <v>22217.664819158636</v>
          </cell>
          <cell r="S38">
            <v>35008.814260058971</v>
          </cell>
          <cell r="U38">
            <v>531.07995691654548</v>
          </cell>
          <cell r="V38">
            <v>10</v>
          </cell>
          <cell r="W38">
            <v>541.07995691654548</v>
          </cell>
          <cell r="AB38" t="str">
            <v>V</v>
          </cell>
          <cell r="AC38">
            <v>531.07995691654548</v>
          </cell>
          <cell r="AD38">
            <v>140</v>
          </cell>
          <cell r="AF38">
            <v>0</v>
          </cell>
          <cell r="AG38">
            <v>681.07995691654548</v>
          </cell>
          <cell r="AH38">
            <v>681.07995691654548</v>
          </cell>
          <cell r="AI38">
            <v>35008.814260058971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 t="e">
            <v>#N/A</v>
          </cell>
          <cell r="AO38" t="e">
            <v>#N/A</v>
          </cell>
          <cell r="AP38">
            <v>14458</v>
          </cell>
          <cell r="AQ38">
            <v>11081</v>
          </cell>
          <cell r="AR38">
            <v>38385.814260058971</v>
          </cell>
          <cell r="AS38">
            <v>35008.814260058971</v>
          </cell>
          <cell r="AT38">
            <v>0</v>
          </cell>
          <cell r="AU38">
            <v>35008.814260058971</v>
          </cell>
          <cell r="AV38">
            <v>681.07995691654548</v>
          </cell>
          <cell r="BB38">
            <v>73.518509946123828</v>
          </cell>
          <cell r="BC38">
            <v>73.518509946123828</v>
          </cell>
          <cell r="BD38">
            <v>35</v>
          </cell>
        </row>
        <row r="39">
          <cell r="A39" t="str">
            <v>8160-01-139</v>
          </cell>
          <cell r="B39" t="str">
            <v>Tamar Marash</v>
          </cell>
          <cell r="C39" t="str">
            <v>UTR 5882338352</v>
          </cell>
          <cell r="D39" t="str">
            <v>UTR 5882338352</v>
          </cell>
          <cell r="F39" t="str">
            <v>תמר מרש</v>
          </cell>
          <cell r="G39" t="str">
            <v>I</v>
          </cell>
          <cell r="I39">
            <v>400000</v>
          </cell>
          <cell r="J39">
            <v>5.4635607270950327E-3</v>
          </cell>
          <cell r="K39">
            <v>13669.48166264252</v>
          </cell>
          <cell r="L39">
            <v>3508.562109922254</v>
          </cell>
          <cell r="M39">
            <v>10160.919552720266</v>
          </cell>
          <cell r="N39">
            <v>72</v>
          </cell>
          <cell r="O39">
            <v>10232.919552720266</v>
          </cell>
          <cell r="P39">
            <v>17755.731855326907</v>
          </cell>
          <cell r="Q39">
            <v>18</v>
          </cell>
          <cell r="R39">
            <v>17773.731855326907</v>
          </cell>
          <cell r="S39">
            <v>28006.651408047175</v>
          </cell>
          <cell r="T39">
            <v>2558.2298881800666</v>
          </cell>
          <cell r="U39">
            <v>424.86396553323635</v>
          </cell>
          <cell r="V39">
            <v>8</v>
          </cell>
          <cell r="W39">
            <v>432.86396553323635</v>
          </cell>
          <cell r="X39">
            <v>-432.86396553323635</v>
          </cell>
          <cell r="Y39">
            <v>2125.3659226468303</v>
          </cell>
          <cell r="Z39">
            <v>10</v>
          </cell>
          <cell r="AA39">
            <v>2135.3659226468303</v>
          </cell>
          <cell r="AB39" t="str">
            <v>X</v>
          </cell>
          <cell r="AD39">
            <v>112</v>
          </cell>
          <cell r="AE39">
            <v>130</v>
          </cell>
          <cell r="AF39">
            <v>2265.3659226468303</v>
          </cell>
          <cell r="AG39">
            <v>544.8639655332363</v>
          </cell>
          <cell r="AH39">
            <v>2810.2298881800666</v>
          </cell>
          <cell r="AI39">
            <v>25871.285485400345</v>
          </cell>
          <cell r="AJ39">
            <v>133333.3328</v>
          </cell>
          <cell r="AK39">
            <v>76640</v>
          </cell>
          <cell r="AL39">
            <v>17000</v>
          </cell>
          <cell r="AM39">
            <v>0</v>
          </cell>
          <cell r="AN39">
            <v>53045</v>
          </cell>
          <cell r="AO39" t="e">
            <v>#DIV/0!</v>
          </cell>
          <cell r="AP39">
            <v>11566</v>
          </cell>
          <cell r="AQ39">
            <v>8865</v>
          </cell>
          <cell r="AR39">
            <v>30707.651408047175</v>
          </cell>
          <cell r="AS39">
            <v>28006.651408047175</v>
          </cell>
          <cell r="AT39">
            <v>2125.3659226468303</v>
          </cell>
          <cell r="AU39">
            <v>25871.285485400345</v>
          </cell>
          <cell r="AV39">
            <v>2810.2298881800666</v>
          </cell>
          <cell r="BB39">
            <v>54.329699519340721</v>
          </cell>
          <cell r="BC39">
            <v>54.329699519340721</v>
          </cell>
          <cell r="BD39">
            <v>35</v>
          </cell>
        </row>
        <row r="40">
          <cell r="A40" t="str">
            <v>8160-01-140</v>
          </cell>
          <cell r="B40" t="str">
            <v>DO-TSACH LTD</v>
          </cell>
          <cell r="C40">
            <v>513229104</v>
          </cell>
          <cell r="D40">
            <v>513229104</v>
          </cell>
          <cell r="E40" t="str">
            <v>DO-TSACH LTD</v>
          </cell>
          <cell r="F40" t="str">
            <v>דו - צח בע"מ</v>
          </cell>
          <cell r="G40" t="str">
            <v>I</v>
          </cell>
          <cell r="I40">
            <v>250000</v>
          </cell>
          <cell r="J40">
            <v>3.4147254544343955E-3</v>
          </cell>
          <cell r="K40">
            <v>8543.4260391515745</v>
          </cell>
          <cell r="L40">
            <v>2192.8513187014087</v>
          </cell>
          <cell r="M40">
            <v>6350.5747204501668</v>
          </cell>
          <cell r="N40">
            <v>45</v>
          </cell>
          <cell r="O40">
            <v>6395.5747204501668</v>
          </cell>
          <cell r="P40">
            <v>11097.332409579318</v>
          </cell>
          <cell r="Q40">
            <v>12</v>
          </cell>
          <cell r="R40">
            <v>11109.332409579318</v>
          </cell>
          <cell r="S40">
            <v>17504.907130029485</v>
          </cell>
          <cell r="U40">
            <v>265.53997845827274</v>
          </cell>
          <cell r="V40">
            <v>5</v>
          </cell>
          <cell r="W40">
            <v>270.53997845827274</v>
          </cell>
          <cell r="Z40">
            <v>0</v>
          </cell>
          <cell r="AB40" t="str">
            <v>V</v>
          </cell>
          <cell r="AC40">
            <v>265.53997845827274</v>
          </cell>
          <cell r="AD40">
            <v>70</v>
          </cell>
          <cell r="AF40">
            <v>0</v>
          </cell>
          <cell r="AG40">
            <v>340.53997845827274</v>
          </cell>
          <cell r="AH40">
            <v>340.53997845827274</v>
          </cell>
          <cell r="AI40">
            <v>17504.907130029485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N40" t="e">
            <v>#N/A</v>
          </cell>
          <cell r="AO40" t="e">
            <v>#N/A</v>
          </cell>
          <cell r="AP40">
            <v>7229</v>
          </cell>
          <cell r="AQ40">
            <v>5541</v>
          </cell>
          <cell r="AR40">
            <v>19192.907130029485</v>
          </cell>
          <cell r="AS40">
            <v>17504.907130029485</v>
          </cell>
          <cell r="AT40">
            <v>0</v>
          </cell>
          <cell r="AU40">
            <v>17504.907130029485</v>
          </cell>
          <cell r="AV40">
            <v>340.53997845827274</v>
          </cell>
          <cell r="BB40">
            <v>36.76030497306192</v>
          </cell>
          <cell r="BC40">
            <v>36.76030497306192</v>
          </cell>
          <cell r="BD40">
            <v>35</v>
          </cell>
        </row>
        <row r="41">
          <cell r="A41" t="str">
            <v>8160-01-141</v>
          </cell>
          <cell r="B41" t="str">
            <v>Zohar Rapaport</v>
          </cell>
          <cell r="C41" t="str">
            <v>024945867</v>
          </cell>
          <cell r="D41">
            <v>24945867</v>
          </cell>
          <cell r="F41" t="str">
            <v>זוהר רפפורט</v>
          </cell>
          <cell r="G41" t="str">
            <v>I</v>
          </cell>
          <cell r="I41">
            <v>300000</v>
          </cell>
          <cell r="J41">
            <v>4.0976705453212746E-3</v>
          </cell>
          <cell r="K41">
            <v>10252.111246981891</v>
          </cell>
          <cell r="L41">
            <v>2631.4215824416906</v>
          </cell>
          <cell r="M41">
            <v>7620.6896645402003</v>
          </cell>
          <cell r="N41">
            <v>54</v>
          </cell>
          <cell r="O41">
            <v>7674.6896645402003</v>
          </cell>
          <cell r="P41">
            <v>13316.798891495182</v>
          </cell>
          <cell r="Q41">
            <v>14</v>
          </cell>
          <cell r="R41">
            <v>13330.798891495182</v>
          </cell>
          <cell r="S41">
            <v>21005.488556035383</v>
          </cell>
          <cell r="T41">
            <v>1918.6724161350501</v>
          </cell>
          <cell r="U41">
            <v>318.64797414992728</v>
          </cell>
          <cell r="V41">
            <v>6</v>
          </cell>
          <cell r="W41">
            <v>324.64797414992728</v>
          </cell>
          <cell r="X41">
            <v>-324.64797414992728</v>
          </cell>
          <cell r="Y41">
            <v>1594.0244419851228</v>
          </cell>
          <cell r="Z41">
            <v>7</v>
          </cell>
          <cell r="AA41">
            <v>1601.0244419851228</v>
          </cell>
          <cell r="AB41" t="str">
            <v>X</v>
          </cell>
          <cell r="AD41">
            <v>84</v>
          </cell>
          <cell r="AE41">
            <v>98</v>
          </cell>
          <cell r="AF41">
            <v>1699.0244419851228</v>
          </cell>
          <cell r="AG41">
            <v>408.64797414992728</v>
          </cell>
          <cell r="AH41">
            <v>2107.6724161350503</v>
          </cell>
          <cell r="AI41">
            <v>19404.464114050261</v>
          </cell>
          <cell r="AJ41">
            <v>99999.999599999996</v>
          </cell>
          <cell r="AK41">
            <v>57480</v>
          </cell>
          <cell r="AL41">
            <v>12750</v>
          </cell>
          <cell r="AM41">
            <v>0</v>
          </cell>
          <cell r="AN41">
            <v>39784</v>
          </cell>
          <cell r="AO41" t="e">
            <v>#DIV/0!</v>
          </cell>
          <cell r="AP41">
            <v>8675</v>
          </cell>
          <cell r="AQ41">
            <v>6649</v>
          </cell>
          <cell r="AR41">
            <v>23031.488556035383</v>
          </cell>
          <cell r="AS41">
            <v>21005.488556035383</v>
          </cell>
          <cell r="AT41">
            <v>1594.0244419851228</v>
          </cell>
          <cell r="AU41">
            <v>19404.464114050261</v>
          </cell>
          <cell r="AV41">
            <v>2107.6724161350503</v>
          </cell>
          <cell r="BB41">
            <v>40.749374639505547</v>
          </cell>
          <cell r="BC41">
            <v>40.749374639505547</v>
          </cell>
          <cell r="BD41">
            <v>35</v>
          </cell>
        </row>
        <row r="42">
          <cell r="A42" t="str">
            <v>8160-01-142</v>
          </cell>
          <cell r="B42" t="str">
            <v>Shmuel Bezalel</v>
          </cell>
          <cell r="C42" t="str">
            <v>032170169</v>
          </cell>
          <cell r="D42">
            <v>32170169</v>
          </cell>
          <cell r="F42" t="str">
            <v>שמואל בצלאל</v>
          </cell>
          <cell r="G42" t="str">
            <v>I</v>
          </cell>
          <cell r="I42">
            <v>250000</v>
          </cell>
          <cell r="J42">
            <v>3.4147254544343955E-3</v>
          </cell>
          <cell r="K42">
            <v>8543.4260391515745</v>
          </cell>
          <cell r="L42">
            <v>2192.8513187014087</v>
          </cell>
          <cell r="M42">
            <v>6350.5747204501668</v>
          </cell>
          <cell r="N42">
            <v>45</v>
          </cell>
          <cell r="O42">
            <v>6395.5747204501668</v>
          </cell>
          <cell r="P42">
            <v>11097.332409579318</v>
          </cell>
          <cell r="Q42">
            <v>12</v>
          </cell>
          <cell r="R42">
            <v>11109.332409579318</v>
          </cell>
          <cell r="S42">
            <v>17504.907130029485</v>
          </cell>
          <cell r="T42">
            <v>1598.8936801125417</v>
          </cell>
          <cell r="U42">
            <v>265.53997845827274</v>
          </cell>
          <cell r="V42">
            <v>5</v>
          </cell>
          <cell r="W42">
            <v>270.53997845827274</v>
          </cell>
          <cell r="X42">
            <v>-270.53997845827274</v>
          </cell>
          <cell r="Y42">
            <v>1328.3537016542689</v>
          </cell>
          <cell r="Z42">
            <v>6</v>
          </cell>
          <cell r="AA42">
            <v>1334.3537016542689</v>
          </cell>
          <cell r="AB42" t="str">
            <v>X</v>
          </cell>
          <cell r="AD42">
            <v>70</v>
          </cell>
          <cell r="AE42">
            <v>81</v>
          </cell>
          <cell r="AF42">
            <v>1415.3537016542689</v>
          </cell>
          <cell r="AG42">
            <v>340.53997845827274</v>
          </cell>
          <cell r="AH42">
            <v>1755.8936801125417</v>
          </cell>
          <cell r="AI42">
            <v>16170.553428375217</v>
          </cell>
          <cell r="AJ42">
            <v>83333.332999999999</v>
          </cell>
          <cell r="AK42">
            <v>47900</v>
          </cell>
          <cell r="AL42">
            <v>10625</v>
          </cell>
          <cell r="AM42">
            <v>0</v>
          </cell>
          <cell r="AN42">
            <v>33153</v>
          </cell>
          <cell r="AO42" t="e">
            <v>#DIV/0!</v>
          </cell>
          <cell r="AP42">
            <v>7229</v>
          </cell>
          <cell r="AQ42">
            <v>5541</v>
          </cell>
          <cell r="AR42">
            <v>19192.907130029485</v>
          </cell>
          <cell r="AS42">
            <v>17504.907130029485</v>
          </cell>
          <cell r="AT42">
            <v>1328.3537016542689</v>
          </cell>
          <cell r="AU42">
            <v>16170.553428375217</v>
          </cell>
          <cell r="AV42">
            <v>1755.8936801125417</v>
          </cell>
          <cell r="BB42">
            <v>33.958162199587953</v>
          </cell>
          <cell r="BC42">
            <v>33.958162199587953</v>
          </cell>
          <cell r="BD42">
            <v>35</v>
          </cell>
        </row>
        <row r="43">
          <cell r="A43" t="str">
            <v>8160-01-143</v>
          </cell>
          <cell r="B43" t="str">
            <v>Yosi Buena</v>
          </cell>
          <cell r="C43" t="str">
            <v>030582126</v>
          </cell>
          <cell r="D43">
            <v>520023185</v>
          </cell>
          <cell r="F43" t="str">
            <v>יוסף בואנו</v>
          </cell>
          <cell r="G43" t="str">
            <v>I</v>
          </cell>
          <cell r="H43" t="str">
            <v>Phoenix</v>
          </cell>
          <cell r="I43">
            <v>330000</v>
          </cell>
          <cell r="J43">
            <v>4.5074375998534017E-3</v>
          </cell>
          <cell r="K43">
            <v>11277.322371680079</v>
          </cell>
          <cell r="L43">
            <v>2894.5637406858591</v>
          </cell>
          <cell r="M43">
            <v>8382.7586309942199</v>
          </cell>
          <cell r="N43">
            <v>60</v>
          </cell>
          <cell r="O43">
            <v>8442.7586309942199</v>
          </cell>
          <cell r="P43">
            <v>14648.478780644698</v>
          </cell>
          <cell r="Q43">
            <v>15</v>
          </cell>
          <cell r="R43">
            <v>14663.478780644698</v>
          </cell>
          <cell r="S43">
            <v>23106.237411638918</v>
          </cell>
          <cell r="U43">
            <v>350.51277156491994</v>
          </cell>
          <cell r="V43">
            <v>7</v>
          </cell>
          <cell r="W43">
            <v>357.51277156491994</v>
          </cell>
          <cell r="AB43" t="str">
            <v>IRA</v>
          </cell>
          <cell r="AC43">
            <v>350.51277156491994</v>
          </cell>
          <cell r="AD43">
            <v>92</v>
          </cell>
          <cell r="AE43">
            <v>0</v>
          </cell>
          <cell r="AF43">
            <v>0</v>
          </cell>
          <cell r="AG43">
            <v>449.51277156491994</v>
          </cell>
          <cell r="AH43">
            <v>449.51277156491994</v>
          </cell>
          <cell r="AI43">
            <v>23106.237411638918</v>
          </cell>
          <cell r="AJ43">
            <v>109999.99956</v>
          </cell>
          <cell r="AK43">
            <v>63228</v>
          </cell>
          <cell r="AL43">
            <v>14025</v>
          </cell>
          <cell r="AM43">
            <v>0</v>
          </cell>
          <cell r="AN43">
            <v>43762</v>
          </cell>
          <cell r="AO43" t="e">
            <v>#DIV/0!</v>
          </cell>
          <cell r="AP43">
            <v>9542</v>
          </cell>
          <cell r="AQ43">
            <v>7314</v>
          </cell>
          <cell r="AR43">
            <v>25334.237411638918</v>
          </cell>
          <cell r="AS43">
            <v>23106.237411638918</v>
          </cell>
          <cell r="AT43">
            <v>0</v>
          </cell>
          <cell r="AU43">
            <v>23106.237411638918</v>
          </cell>
          <cell r="AV43">
            <v>449.51277156491994</v>
          </cell>
          <cell r="BB43">
            <v>48.523098564441725</v>
          </cell>
          <cell r="BC43">
            <v>48.523098564441725</v>
          </cell>
          <cell r="BD43">
            <v>35</v>
          </cell>
        </row>
        <row r="44">
          <cell r="A44" t="str">
            <v>8160-01-144</v>
          </cell>
          <cell r="B44" t="str">
            <v>Avi Barman</v>
          </cell>
          <cell r="C44" t="str">
            <v>055588800</v>
          </cell>
          <cell r="D44">
            <v>512065202</v>
          </cell>
          <cell r="F44" t="str">
            <v>אברהם ברמן</v>
          </cell>
          <cell r="G44" t="str">
            <v>I</v>
          </cell>
          <cell r="H44" t="str">
            <v>Meitav</v>
          </cell>
          <cell r="I44">
            <v>250000</v>
          </cell>
          <cell r="J44">
            <v>3.4147254544343955E-3</v>
          </cell>
          <cell r="K44">
            <v>8543.4260391515745</v>
          </cell>
          <cell r="L44">
            <v>2192.8513187014087</v>
          </cell>
          <cell r="M44">
            <v>6350.5747204501668</v>
          </cell>
          <cell r="N44">
            <v>45</v>
          </cell>
          <cell r="O44">
            <v>6395.5747204501668</v>
          </cell>
          <cell r="P44">
            <v>11097.332409579318</v>
          </cell>
          <cell r="Q44">
            <v>12</v>
          </cell>
          <cell r="R44">
            <v>11109.332409579318</v>
          </cell>
          <cell r="S44">
            <v>17504.907130029485</v>
          </cell>
          <cell r="U44">
            <v>265.53997845827274</v>
          </cell>
          <cell r="V44">
            <v>5</v>
          </cell>
          <cell r="W44">
            <v>270.53997845827274</v>
          </cell>
          <cell r="AB44" t="str">
            <v>IRA</v>
          </cell>
          <cell r="AC44">
            <v>265.53997845827274</v>
          </cell>
          <cell r="AD44">
            <v>70</v>
          </cell>
          <cell r="AE44">
            <v>0</v>
          </cell>
          <cell r="AF44">
            <v>0</v>
          </cell>
          <cell r="AG44">
            <v>340.53997845827274</v>
          </cell>
          <cell r="AH44">
            <v>340.53997845827274</v>
          </cell>
          <cell r="AI44">
            <v>17504.907130029485</v>
          </cell>
          <cell r="AJ44">
            <v>83333.332999999999</v>
          </cell>
          <cell r="AK44">
            <v>47900.25</v>
          </cell>
          <cell r="AL44">
            <v>10625</v>
          </cell>
          <cell r="AM44">
            <v>0</v>
          </cell>
          <cell r="AN44">
            <v>33150.5</v>
          </cell>
          <cell r="AO44" t="e">
            <v>#DIV/0!</v>
          </cell>
          <cell r="AP44">
            <v>7229</v>
          </cell>
          <cell r="AQ44">
            <v>5541</v>
          </cell>
          <cell r="AR44">
            <v>19192.907130029485</v>
          </cell>
          <cell r="AS44">
            <v>17504.907130029485</v>
          </cell>
          <cell r="AT44">
            <v>0</v>
          </cell>
          <cell r="AU44">
            <v>17504.907130029485</v>
          </cell>
          <cell r="AV44">
            <v>340.53997845827274</v>
          </cell>
          <cell r="BB44">
            <v>36.76030497306192</v>
          </cell>
          <cell r="BC44">
            <v>36.76030497306192</v>
          </cell>
          <cell r="BD44">
            <v>35</v>
          </cell>
        </row>
        <row r="45">
          <cell r="A45" t="str">
            <v>8160-01-145</v>
          </cell>
          <cell r="B45" t="str">
            <v>Avigur Zmora</v>
          </cell>
          <cell r="C45" t="str">
            <v>025371055</v>
          </cell>
          <cell r="D45">
            <v>512065202</v>
          </cell>
          <cell r="F45" t="str">
            <v>אביגור זמורה</v>
          </cell>
          <cell r="G45" t="str">
            <v>I</v>
          </cell>
          <cell r="H45" t="str">
            <v>Meitav</v>
          </cell>
          <cell r="I45">
            <v>283718</v>
          </cell>
          <cell r="J45">
            <v>3.8752763059248709E-3</v>
          </cell>
          <cell r="K45">
            <v>9695.6949959040248</v>
          </cell>
          <cell r="L45">
            <v>2488.6055617573047</v>
          </cell>
          <cell r="M45">
            <v>7207.089434146721</v>
          </cell>
          <cell r="N45">
            <v>51</v>
          </cell>
          <cell r="O45">
            <v>7258.089434146721</v>
          </cell>
          <cell r="P45">
            <v>12594.051826324097</v>
          </cell>
          <cell r="Q45">
            <v>13</v>
          </cell>
          <cell r="R45">
            <v>12607.051826324097</v>
          </cell>
          <cell r="S45">
            <v>19865.141260470817</v>
          </cell>
          <cell r="U45">
            <v>301.35388643289684</v>
          </cell>
          <cell r="V45">
            <v>6</v>
          </cell>
          <cell r="W45">
            <v>307.35388643289684</v>
          </cell>
          <cell r="AB45" t="str">
            <v>IRA</v>
          </cell>
          <cell r="AC45">
            <v>301.35388643289684</v>
          </cell>
          <cell r="AD45">
            <v>79</v>
          </cell>
          <cell r="AE45">
            <v>0</v>
          </cell>
          <cell r="AF45">
            <v>0</v>
          </cell>
          <cell r="AG45">
            <v>386.35388643289684</v>
          </cell>
          <cell r="AH45">
            <v>386.35388643289684</v>
          </cell>
          <cell r="AI45">
            <v>19865.141260470817</v>
          </cell>
          <cell r="AJ45">
            <v>166666.666</v>
          </cell>
          <cell r="AK45">
            <v>95800.5</v>
          </cell>
          <cell r="AL45">
            <v>21250</v>
          </cell>
          <cell r="AM45">
            <v>0</v>
          </cell>
          <cell r="AN45">
            <v>0</v>
          </cell>
          <cell r="AO45" t="e">
            <v>#DIV/0!</v>
          </cell>
          <cell r="AP45">
            <v>8204</v>
          </cell>
          <cell r="AQ45">
            <v>6288</v>
          </cell>
          <cell r="AR45">
            <v>21781.141260470817</v>
          </cell>
          <cell r="AS45">
            <v>19865.141260470817</v>
          </cell>
          <cell r="AT45">
            <v>0</v>
          </cell>
          <cell r="AU45">
            <v>19865.141260470817</v>
          </cell>
          <cell r="AV45">
            <v>386.35388643289684</v>
          </cell>
          <cell r="BB45">
            <v>41.716796646988712</v>
          </cell>
          <cell r="BC45">
            <v>41.716796646988712</v>
          </cell>
          <cell r="BD45">
            <v>35</v>
          </cell>
        </row>
        <row r="46">
          <cell r="A46" t="str">
            <v>8160-01-146</v>
          </cell>
          <cell r="B46" t="str">
            <v>Danielle Porat</v>
          </cell>
          <cell r="C46" t="str">
            <v>050468131</v>
          </cell>
          <cell r="D46">
            <v>512065202</v>
          </cell>
          <cell r="F46" t="str">
            <v>דניאל פורת</v>
          </cell>
          <cell r="G46" t="str">
            <v>I</v>
          </cell>
          <cell r="H46" t="str">
            <v>Meitav</v>
          </cell>
          <cell r="I46">
            <v>250000</v>
          </cell>
          <cell r="J46">
            <v>3.4147254544343955E-3</v>
          </cell>
          <cell r="K46">
            <v>8543.4260391515745</v>
          </cell>
          <cell r="L46">
            <v>2192.8513187014087</v>
          </cell>
          <cell r="M46">
            <v>6350.5747204501668</v>
          </cell>
          <cell r="N46">
            <v>45</v>
          </cell>
          <cell r="O46">
            <v>6395.5747204501668</v>
          </cell>
          <cell r="P46">
            <v>11097.332409579318</v>
          </cell>
          <cell r="Q46">
            <v>12</v>
          </cell>
          <cell r="R46">
            <v>11109.332409579318</v>
          </cell>
          <cell r="S46">
            <v>17504.907130029485</v>
          </cell>
          <cell r="U46">
            <v>265.53997845827274</v>
          </cell>
          <cell r="V46">
            <v>5</v>
          </cell>
          <cell r="W46">
            <v>270.53997845827274</v>
          </cell>
          <cell r="AB46" t="str">
            <v>IRA</v>
          </cell>
          <cell r="AC46">
            <v>265.53997845827274</v>
          </cell>
          <cell r="AD46">
            <v>70</v>
          </cell>
          <cell r="AE46">
            <v>0</v>
          </cell>
          <cell r="AF46">
            <v>0</v>
          </cell>
          <cell r="AG46">
            <v>340.53997845827274</v>
          </cell>
          <cell r="AH46">
            <v>340.53997845827274</v>
          </cell>
          <cell r="AI46">
            <v>17504.907130029485</v>
          </cell>
          <cell r="AJ46">
            <v>83333.332999999999</v>
          </cell>
          <cell r="AK46">
            <v>47900.25</v>
          </cell>
          <cell r="AL46">
            <v>10625</v>
          </cell>
          <cell r="AM46">
            <v>0</v>
          </cell>
          <cell r="AN46">
            <v>33153</v>
          </cell>
          <cell r="AO46" t="e">
            <v>#DIV/0!</v>
          </cell>
          <cell r="AP46">
            <v>7229</v>
          </cell>
          <cell r="AQ46">
            <v>5541</v>
          </cell>
          <cell r="AR46">
            <v>19192.907130029485</v>
          </cell>
          <cell r="AS46">
            <v>17504.907130029485</v>
          </cell>
          <cell r="AT46">
            <v>0</v>
          </cell>
          <cell r="AU46">
            <v>17504.907130029485</v>
          </cell>
          <cell r="AV46">
            <v>340.53997845827274</v>
          </cell>
          <cell r="BB46">
            <v>36.76030497306192</v>
          </cell>
          <cell r="BC46">
            <v>36.76030497306192</v>
          </cell>
          <cell r="BD46">
            <v>35</v>
          </cell>
        </row>
        <row r="47">
          <cell r="A47" t="str">
            <v>8160-01-147</v>
          </cell>
          <cell r="B47" t="str">
            <v>Ilan Raviv</v>
          </cell>
          <cell r="C47" t="str">
            <v>068493931</v>
          </cell>
          <cell r="D47">
            <v>512065202</v>
          </cell>
          <cell r="F47" t="str">
            <v>אילן רביב</v>
          </cell>
          <cell r="G47" t="str">
            <v>I</v>
          </cell>
          <cell r="H47" t="str">
            <v>Meitav</v>
          </cell>
          <cell r="I47">
            <v>320000</v>
          </cell>
          <cell r="J47">
            <v>4.370848581676026E-3</v>
          </cell>
          <cell r="K47">
            <v>10935.585330114016</v>
          </cell>
          <cell r="L47">
            <v>2806.8496879378031</v>
          </cell>
          <cell r="M47">
            <v>8128.7356421762133</v>
          </cell>
          <cell r="N47">
            <v>58</v>
          </cell>
          <cell r="O47">
            <v>8186.7356421762133</v>
          </cell>
          <cell r="P47">
            <v>14204.585484261526</v>
          </cell>
          <cell r="Q47">
            <v>15</v>
          </cell>
          <cell r="R47">
            <v>14219.585484261526</v>
          </cell>
          <cell r="S47">
            <v>22406.321126437739</v>
          </cell>
          <cell r="U47">
            <v>339.89117242658909</v>
          </cell>
          <cell r="V47">
            <v>7</v>
          </cell>
          <cell r="W47">
            <v>346.89117242658909</v>
          </cell>
          <cell r="AB47" t="str">
            <v>IRA</v>
          </cell>
          <cell r="AC47">
            <v>339.89117242658909</v>
          </cell>
          <cell r="AD47">
            <v>89</v>
          </cell>
          <cell r="AE47">
            <v>0</v>
          </cell>
          <cell r="AF47">
            <v>0</v>
          </cell>
          <cell r="AG47">
            <v>435.89117242658909</v>
          </cell>
          <cell r="AH47">
            <v>435.89117242658909</v>
          </cell>
          <cell r="AI47">
            <v>22406.321126437739</v>
          </cell>
          <cell r="AJ47">
            <v>106666.66623999999</v>
          </cell>
          <cell r="AK47">
            <v>61312.32</v>
          </cell>
          <cell r="AL47">
            <v>13600</v>
          </cell>
          <cell r="AM47">
            <v>0</v>
          </cell>
          <cell r="AN47">
            <v>42436</v>
          </cell>
          <cell r="AO47" t="e">
            <v>#DIV/0!</v>
          </cell>
          <cell r="AP47">
            <v>9253</v>
          </cell>
          <cell r="AQ47">
            <v>7092</v>
          </cell>
          <cell r="AR47">
            <v>24567.321126437739</v>
          </cell>
          <cell r="AS47">
            <v>22406.321126437739</v>
          </cell>
          <cell r="AT47">
            <v>0</v>
          </cell>
          <cell r="AU47">
            <v>22406.321126437739</v>
          </cell>
          <cell r="AV47">
            <v>435.89117242658909</v>
          </cell>
          <cell r="BB47">
            <v>47.05327436551925</v>
          </cell>
          <cell r="BC47">
            <v>47.05327436551925</v>
          </cell>
          <cell r="BD47">
            <v>35</v>
          </cell>
        </row>
        <row r="48">
          <cell r="A48" t="str">
            <v>8160-01-148</v>
          </cell>
          <cell r="B48" t="str">
            <v>Natan Bigon</v>
          </cell>
          <cell r="C48" t="str">
            <v>065042640</v>
          </cell>
          <cell r="D48">
            <v>512065202</v>
          </cell>
          <cell r="F48" t="str">
            <v>נתן ביגון</v>
          </cell>
          <cell r="G48" t="str">
            <v>I</v>
          </cell>
          <cell r="H48" t="str">
            <v>Meitav</v>
          </cell>
          <cell r="I48">
            <v>250000</v>
          </cell>
          <cell r="J48">
            <v>3.4147254544343955E-3</v>
          </cell>
          <cell r="K48">
            <v>8543.4260391515745</v>
          </cell>
          <cell r="L48">
            <v>2192.8513187014087</v>
          </cell>
          <cell r="M48">
            <v>6350.5747204501668</v>
          </cell>
          <cell r="N48">
            <v>45</v>
          </cell>
          <cell r="O48">
            <v>6395.5747204501668</v>
          </cell>
          <cell r="P48">
            <v>11097.332409579318</v>
          </cell>
          <cell r="Q48">
            <v>12</v>
          </cell>
          <cell r="R48">
            <v>11109.332409579318</v>
          </cell>
          <cell r="S48">
            <v>17504.907130029485</v>
          </cell>
          <cell r="U48">
            <v>265.53997845827274</v>
          </cell>
          <cell r="V48">
            <v>5</v>
          </cell>
          <cell r="W48">
            <v>270.53997845827274</v>
          </cell>
          <cell r="AB48" t="str">
            <v>IRA</v>
          </cell>
          <cell r="AC48">
            <v>265.53997845827274</v>
          </cell>
          <cell r="AD48">
            <v>70</v>
          </cell>
          <cell r="AE48">
            <v>0</v>
          </cell>
          <cell r="AF48">
            <v>0</v>
          </cell>
          <cell r="AG48">
            <v>340.53997845827274</v>
          </cell>
          <cell r="AH48">
            <v>340.53997845827274</v>
          </cell>
          <cell r="AI48">
            <v>17504.907130029485</v>
          </cell>
          <cell r="AJ48">
            <v>83333.332999999999</v>
          </cell>
          <cell r="AK48">
            <v>47900.25</v>
          </cell>
          <cell r="AL48">
            <v>10625</v>
          </cell>
          <cell r="AM48">
            <v>0</v>
          </cell>
          <cell r="AN48">
            <v>33153</v>
          </cell>
          <cell r="AO48" t="e">
            <v>#DIV/0!</v>
          </cell>
          <cell r="AP48">
            <v>7229</v>
          </cell>
          <cell r="AQ48">
            <v>5541</v>
          </cell>
          <cell r="AR48">
            <v>19192.907130029485</v>
          </cell>
          <cell r="AS48">
            <v>17504.907130029485</v>
          </cell>
          <cell r="AT48">
            <v>0</v>
          </cell>
          <cell r="AU48">
            <v>17504.907130029485</v>
          </cell>
          <cell r="AV48">
            <v>340.53997845827274</v>
          </cell>
          <cell r="BB48">
            <v>36.76030497306192</v>
          </cell>
          <cell r="BC48">
            <v>36.76030497306192</v>
          </cell>
          <cell r="BD48">
            <v>35</v>
          </cell>
        </row>
        <row r="49">
          <cell r="A49" t="str">
            <v>8160-01-149</v>
          </cell>
          <cell r="B49" t="str">
            <v>Shlomo Binyamin</v>
          </cell>
          <cell r="C49" t="str">
            <v>015125008</v>
          </cell>
          <cell r="D49">
            <v>512065202</v>
          </cell>
          <cell r="F49" t="str">
            <v>סילביה בנימין</v>
          </cell>
          <cell r="G49" t="str">
            <v>I</v>
          </cell>
          <cell r="H49" t="str">
            <v>Meitav</v>
          </cell>
          <cell r="I49">
            <v>250000</v>
          </cell>
          <cell r="J49">
            <v>3.4147254544343955E-3</v>
          </cell>
          <cell r="K49">
            <v>8543.4260391515745</v>
          </cell>
          <cell r="L49">
            <v>2192.8513187014087</v>
          </cell>
          <cell r="M49">
            <v>6350.5747204501668</v>
          </cell>
          <cell r="N49">
            <v>45</v>
          </cell>
          <cell r="O49">
            <v>6395.5747204501668</v>
          </cell>
          <cell r="P49">
            <v>11097.332409579318</v>
          </cell>
          <cell r="Q49">
            <v>12</v>
          </cell>
          <cell r="R49">
            <v>11109.332409579318</v>
          </cell>
          <cell r="S49">
            <v>17504.907130029485</v>
          </cell>
          <cell r="U49">
            <v>265.53997845827274</v>
          </cell>
          <cell r="V49">
            <v>5</v>
          </cell>
          <cell r="W49">
            <v>270.53997845827274</v>
          </cell>
          <cell r="AB49" t="str">
            <v>IRA</v>
          </cell>
          <cell r="AC49">
            <v>265.53997845827274</v>
          </cell>
          <cell r="AD49">
            <v>70</v>
          </cell>
          <cell r="AE49">
            <v>0</v>
          </cell>
          <cell r="AF49">
            <v>0</v>
          </cell>
          <cell r="AG49">
            <v>340.53997845827274</v>
          </cell>
          <cell r="AH49">
            <v>340.53997845827274</v>
          </cell>
          <cell r="AI49">
            <v>17504.907130029485</v>
          </cell>
          <cell r="AJ49">
            <v>83333.332999999999</v>
          </cell>
          <cell r="AK49">
            <v>47900</v>
          </cell>
          <cell r="AL49">
            <v>10625</v>
          </cell>
          <cell r="AM49">
            <v>0</v>
          </cell>
          <cell r="AN49">
            <v>33153</v>
          </cell>
          <cell r="AO49" t="e">
            <v>#DIV/0!</v>
          </cell>
          <cell r="AP49">
            <v>7229</v>
          </cell>
          <cell r="AQ49">
            <v>5541</v>
          </cell>
          <cell r="AR49">
            <v>19192.907130029485</v>
          </cell>
          <cell r="AS49">
            <v>17504.907130029485</v>
          </cell>
          <cell r="AT49">
            <v>0</v>
          </cell>
          <cell r="AU49">
            <v>17504.907130029485</v>
          </cell>
          <cell r="AV49">
            <v>340.53997845827274</v>
          </cell>
          <cell r="BB49">
            <v>36.76030497306192</v>
          </cell>
          <cell r="BC49">
            <v>36.76030497306192</v>
          </cell>
          <cell r="BD49">
            <v>35</v>
          </cell>
        </row>
        <row r="50">
          <cell r="A50" t="str">
            <v>8160-01-150</v>
          </cell>
          <cell r="B50" t="str">
            <v>Aharon Shamir</v>
          </cell>
          <cell r="C50" t="str">
            <v>051292720</v>
          </cell>
          <cell r="D50">
            <v>512065202</v>
          </cell>
          <cell r="F50" t="str">
            <v>אהרון שמיר</v>
          </cell>
          <cell r="G50" t="str">
            <v>I</v>
          </cell>
          <cell r="H50" t="str">
            <v>Meitav</v>
          </cell>
          <cell r="I50">
            <v>250000</v>
          </cell>
          <cell r="J50">
            <v>3.4147254544343955E-3</v>
          </cell>
          <cell r="K50">
            <v>8543.4260391515745</v>
          </cell>
          <cell r="L50">
            <v>2192.8513187014087</v>
          </cell>
          <cell r="M50">
            <v>6350.5747204501668</v>
          </cell>
          <cell r="N50">
            <v>45</v>
          </cell>
          <cell r="O50">
            <v>6395.5747204501668</v>
          </cell>
          <cell r="P50">
            <v>11097.332409579318</v>
          </cell>
          <cell r="Q50">
            <v>12</v>
          </cell>
          <cell r="R50">
            <v>11109.332409579318</v>
          </cell>
          <cell r="S50">
            <v>17504.907130029485</v>
          </cell>
          <cell r="U50">
            <v>265.53997845827274</v>
          </cell>
          <cell r="V50">
            <v>5</v>
          </cell>
          <cell r="W50">
            <v>270.53997845827274</v>
          </cell>
          <cell r="AB50" t="str">
            <v>IRA</v>
          </cell>
          <cell r="AC50">
            <v>265.53997845827274</v>
          </cell>
          <cell r="AD50">
            <v>70</v>
          </cell>
          <cell r="AE50">
            <v>0</v>
          </cell>
          <cell r="AF50">
            <v>0</v>
          </cell>
          <cell r="AG50">
            <v>340.53997845827274</v>
          </cell>
          <cell r="AH50">
            <v>340.53997845827274</v>
          </cell>
          <cell r="AI50">
            <v>17504.907130029485</v>
          </cell>
          <cell r="AJ50">
            <v>83333.332999999999</v>
          </cell>
          <cell r="AK50">
            <v>47900.25</v>
          </cell>
          <cell r="AL50">
            <v>10625</v>
          </cell>
          <cell r="AM50">
            <v>0</v>
          </cell>
          <cell r="AN50">
            <v>33153</v>
          </cell>
          <cell r="AO50" t="e">
            <v>#DIV/0!</v>
          </cell>
          <cell r="AP50">
            <v>7229</v>
          </cell>
          <cell r="AQ50">
            <v>5541</v>
          </cell>
          <cell r="AR50">
            <v>19192.907130029485</v>
          </cell>
          <cell r="AS50">
            <v>17504.907130029485</v>
          </cell>
          <cell r="AT50">
            <v>0</v>
          </cell>
          <cell r="AU50">
            <v>17504.907130029485</v>
          </cell>
          <cell r="AV50">
            <v>340.53997845827274</v>
          </cell>
          <cell r="BB50">
            <v>36.76030497306192</v>
          </cell>
          <cell r="BC50">
            <v>36.76030497306192</v>
          </cell>
          <cell r="BD50">
            <v>35</v>
          </cell>
        </row>
        <row r="51">
          <cell r="A51" t="str">
            <v>8160-01-151</v>
          </cell>
          <cell r="B51" t="str">
            <v>Amiram (Michaela) Vardi</v>
          </cell>
          <cell r="C51" t="str">
            <v>057184038</v>
          </cell>
          <cell r="D51">
            <v>512065202</v>
          </cell>
          <cell r="F51" t="str">
            <v>ורדי מיכאלה</v>
          </cell>
          <cell r="G51" t="str">
            <v>I</v>
          </cell>
          <cell r="H51" t="str">
            <v>Meitav</v>
          </cell>
          <cell r="I51">
            <v>250000</v>
          </cell>
          <cell r="J51">
            <v>3.4147254544343955E-3</v>
          </cell>
          <cell r="K51">
            <v>8543.4260391515745</v>
          </cell>
          <cell r="L51">
            <v>2192.8513187014087</v>
          </cell>
          <cell r="M51">
            <v>6350.5747204501668</v>
          </cell>
          <cell r="N51">
            <v>45</v>
          </cell>
          <cell r="O51">
            <v>6395.5747204501668</v>
          </cell>
          <cell r="P51">
            <v>11097.332409579318</v>
          </cell>
          <cell r="Q51">
            <v>12</v>
          </cell>
          <cell r="R51">
            <v>11109.332409579318</v>
          </cell>
          <cell r="S51">
            <v>17504.907130029485</v>
          </cell>
          <cell r="U51">
            <v>265.53997845827274</v>
          </cell>
          <cell r="V51">
            <v>5</v>
          </cell>
          <cell r="W51">
            <v>270.53997845827274</v>
          </cell>
          <cell r="AB51" t="str">
            <v>IRA</v>
          </cell>
          <cell r="AC51">
            <v>265.53997845827274</v>
          </cell>
          <cell r="AD51">
            <v>70</v>
          </cell>
          <cell r="AE51">
            <v>0</v>
          </cell>
          <cell r="AF51">
            <v>0</v>
          </cell>
          <cell r="AG51">
            <v>340.53997845827274</v>
          </cell>
          <cell r="AH51">
            <v>340.53997845827274</v>
          </cell>
          <cell r="AI51">
            <v>17504.907130029485</v>
          </cell>
          <cell r="AJ51">
            <v>83333.332999999999</v>
          </cell>
          <cell r="AK51">
            <v>47900.25</v>
          </cell>
          <cell r="AL51">
            <v>10625</v>
          </cell>
          <cell r="AM51">
            <v>0</v>
          </cell>
          <cell r="AN51">
            <v>33153</v>
          </cell>
          <cell r="AO51" t="e">
            <v>#DIV/0!</v>
          </cell>
          <cell r="AP51">
            <v>7229</v>
          </cell>
          <cell r="AQ51">
            <v>5541</v>
          </cell>
          <cell r="AR51">
            <v>19192.907130029485</v>
          </cell>
          <cell r="AS51">
            <v>17504.907130029485</v>
          </cell>
          <cell r="AT51">
            <v>0</v>
          </cell>
          <cell r="AU51">
            <v>17504.907130029485</v>
          </cell>
          <cell r="AV51">
            <v>340.53997845827274</v>
          </cell>
          <cell r="BB51">
            <v>36.76030497306192</v>
          </cell>
          <cell r="BC51">
            <v>36.76030497306192</v>
          </cell>
          <cell r="BD51">
            <v>35</v>
          </cell>
        </row>
        <row r="52">
          <cell r="A52" t="str">
            <v>8160-01-152</v>
          </cell>
          <cell r="B52" t="str">
            <v>Eli Heiselbach</v>
          </cell>
          <cell r="C52" t="str">
            <v>057070971</v>
          </cell>
          <cell r="D52">
            <v>512065202</v>
          </cell>
          <cell r="F52" t="str">
            <v>אליעזר היזלבק</v>
          </cell>
          <cell r="G52" t="str">
            <v>I</v>
          </cell>
          <cell r="H52" t="str">
            <v>Meitav</v>
          </cell>
          <cell r="I52">
            <v>350000</v>
          </cell>
          <cell r="J52">
            <v>4.7806156362081532E-3</v>
          </cell>
          <cell r="K52">
            <v>11960.796454812205</v>
          </cell>
          <cell r="L52">
            <v>3069.9918461819721</v>
          </cell>
          <cell r="M52">
            <v>8890.8046086302329</v>
          </cell>
          <cell r="N52">
            <v>63</v>
          </cell>
          <cell r="O52">
            <v>8953.8046086302329</v>
          </cell>
          <cell r="P52">
            <v>15536.265373411043</v>
          </cell>
          <cell r="Q52">
            <v>16</v>
          </cell>
          <cell r="R52">
            <v>15552.265373411043</v>
          </cell>
          <cell r="S52">
            <v>24506.069982041277</v>
          </cell>
          <cell r="U52">
            <v>371.75596984158176</v>
          </cell>
          <cell r="V52">
            <v>7</v>
          </cell>
          <cell r="W52">
            <v>378.75596984158176</v>
          </cell>
          <cell r="AB52" t="str">
            <v>IRA</v>
          </cell>
          <cell r="AC52">
            <v>371.75596984158176</v>
          </cell>
          <cell r="AD52">
            <v>98</v>
          </cell>
          <cell r="AE52">
            <v>0</v>
          </cell>
          <cell r="AF52">
            <v>0</v>
          </cell>
          <cell r="AG52">
            <v>476.75596984158176</v>
          </cell>
          <cell r="AH52">
            <v>476.75596984158176</v>
          </cell>
          <cell r="AI52">
            <v>24506.069982041277</v>
          </cell>
          <cell r="AJ52">
            <v>116666.66619999999</v>
          </cell>
          <cell r="AK52">
            <v>67060.349999999991</v>
          </cell>
          <cell r="AL52">
            <v>14875</v>
          </cell>
          <cell r="AM52">
            <v>0</v>
          </cell>
          <cell r="AN52">
            <v>46414</v>
          </cell>
          <cell r="AO52" t="e">
            <v>#DIV/0!</v>
          </cell>
          <cell r="AP52">
            <v>10120</v>
          </cell>
          <cell r="AQ52">
            <v>7757</v>
          </cell>
          <cell r="AR52">
            <v>26869.069982041277</v>
          </cell>
          <cell r="AS52">
            <v>24506.069982041277</v>
          </cell>
          <cell r="AT52">
            <v>0</v>
          </cell>
          <cell r="AU52">
            <v>24506.069982041277</v>
          </cell>
          <cell r="AV52">
            <v>476.75596984158176</v>
          </cell>
          <cell r="BB52">
            <v>51.46274696228668</v>
          </cell>
          <cell r="BC52">
            <v>51.46274696228668</v>
          </cell>
          <cell r="BD52">
            <v>35</v>
          </cell>
        </row>
        <row r="53">
          <cell r="A53" t="str">
            <v>8160-01-153</v>
          </cell>
          <cell r="B53" t="str">
            <v>Gal Toren</v>
          </cell>
          <cell r="C53" t="str">
            <v>053410270</v>
          </cell>
          <cell r="D53">
            <v>512065202</v>
          </cell>
          <cell r="F53" t="str">
            <v>גל יוסף תורן</v>
          </cell>
          <cell r="G53" t="str">
            <v>I</v>
          </cell>
          <cell r="H53" t="str">
            <v>Meitav</v>
          </cell>
          <cell r="I53">
            <v>270000</v>
          </cell>
          <cell r="J53">
            <v>3.6879034907891469E-3</v>
          </cell>
          <cell r="K53">
            <v>9226.9001222837014</v>
          </cell>
          <cell r="L53">
            <v>2368.2794241975212</v>
          </cell>
          <cell r="M53">
            <v>6858.6206980861798</v>
          </cell>
          <cell r="N53">
            <v>49</v>
          </cell>
          <cell r="O53">
            <v>6907.6206980861798</v>
          </cell>
          <cell r="P53">
            <v>11985.119002345662</v>
          </cell>
          <cell r="Q53">
            <v>12</v>
          </cell>
          <cell r="R53">
            <v>11997.119002345662</v>
          </cell>
          <cell r="S53">
            <v>18904.739700431841</v>
          </cell>
          <cell r="U53">
            <v>286.7831767349345</v>
          </cell>
          <cell r="V53">
            <v>6</v>
          </cell>
          <cell r="W53">
            <v>292.7831767349345</v>
          </cell>
          <cell r="AB53" t="str">
            <v>IRA</v>
          </cell>
          <cell r="AC53">
            <v>286.7831767349345</v>
          </cell>
          <cell r="AD53">
            <v>75</v>
          </cell>
          <cell r="AE53">
            <v>0</v>
          </cell>
          <cell r="AF53">
            <v>0</v>
          </cell>
          <cell r="AG53">
            <v>367.7831767349345</v>
          </cell>
          <cell r="AH53">
            <v>367.7831767349345</v>
          </cell>
          <cell r="AI53">
            <v>18904.739700431841</v>
          </cell>
          <cell r="AJ53">
            <v>89999.999639999995</v>
          </cell>
          <cell r="AK53">
            <v>51732.27</v>
          </cell>
          <cell r="AL53">
            <v>11475</v>
          </cell>
          <cell r="AM53">
            <v>0</v>
          </cell>
          <cell r="AN53">
            <v>35805</v>
          </cell>
          <cell r="AO53" t="e">
            <v>#DIV/0!</v>
          </cell>
          <cell r="AP53">
            <v>7807</v>
          </cell>
          <cell r="AQ53">
            <v>5984</v>
          </cell>
          <cell r="AR53">
            <v>20727.739700431841</v>
          </cell>
          <cell r="AS53">
            <v>18904.739700431841</v>
          </cell>
          <cell r="AT53">
            <v>0</v>
          </cell>
          <cell r="AU53">
            <v>18904.739700431841</v>
          </cell>
          <cell r="AV53">
            <v>367.7831767349345</v>
          </cell>
          <cell r="BB53">
            <v>39.699953370906861</v>
          </cell>
          <cell r="BC53">
            <v>39.699953370906861</v>
          </cell>
          <cell r="BD53">
            <v>35</v>
          </cell>
        </row>
        <row r="54">
          <cell r="A54" t="str">
            <v>8160-01-154</v>
          </cell>
          <cell r="B54" t="str">
            <v>Oren Hadar</v>
          </cell>
          <cell r="C54" t="str">
            <v>029495389</v>
          </cell>
          <cell r="D54">
            <v>512065202</v>
          </cell>
          <cell r="F54" t="str">
            <v>אורן יהונדב הדר</v>
          </cell>
          <cell r="G54" t="str">
            <v>I</v>
          </cell>
          <cell r="H54" t="str">
            <v>Meitav</v>
          </cell>
          <cell r="I54">
            <v>330000</v>
          </cell>
          <cell r="J54">
            <v>4.5074375998534017E-3</v>
          </cell>
          <cell r="K54">
            <v>11277.322371680079</v>
          </cell>
          <cell r="L54">
            <v>2894.5637406858591</v>
          </cell>
          <cell r="M54">
            <v>8382.7586309942199</v>
          </cell>
          <cell r="N54">
            <v>60</v>
          </cell>
          <cell r="O54">
            <v>8442.7586309942199</v>
          </cell>
          <cell r="P54">
            <v>14648.478780644698</v>
          </cell>
          <cell r="Q54">
            <v>15</v>
          </cell>
          <cell r="R54">
            <v>14663.478780644698</v>
          </cell>
          <cell r="S54">
            <v>23106.237411638918</v>
          </cell>
          <cell r="U54">
            <v>350.51277156491994</v>
          </cell>
          <cell r="V54">
            <v>7</v>
          </cell>
          <cell r="W54">
            <v>357.51277156491994</v>
          </cell>
          <cell r="AB54" t="str">
            <v>IRA</v>
          </cell>
          <cell r="AC54">
            <v>350.51277156491994</v>
          </cell>
          <cell r="AD54">
            <v>92</v>
          </cell>
          <cell r="AE54">
            <v>0</v>
          </cell>
          <cell r="AF54">
            <v>0</v>
          </cell>
          <cell r="AG54">
            <v>449.51277156491994</v>
          </cell>
          <cell r="AH54">
            <v>449.51277156491994</v>
          </cell>
          <cell r="AI54">
            <v>23106.237411638918</v>
          </cell>
          <cell r="AJ54">
            <v>109999.99956</v>
          </cell>
          <cell r="AK54">
            <v>63228.329999999994</v>
          </cell>
          <cell r="AL54">
            <v>14025</v>
          </cell>
          <cell r="AM54">
            <v>0</v>
          </cell>
          <cell r="AN54">
            <v>43762</v>
          </cell>
          <cell r="AO54" t="e">
            <v>#DIV/0!</v>
          </cell>
          <cell r="AP54">
            <v>9542</v>
          </cell>
          <cell r="AQ54">
            <v>7314</v>
          </cell>
          <cell r="AR54">
            <v>25334.237411638918</v>
          </cell>
          <cell r="AS54">
            <v>23106.237411638918</v>
          </cell>
          <cell r="AT54">
            <v>0</v>
          </cell>
          <cell r="AU54">
            <v>23106.237411638918</v>
          </cell>
          <cell r="AV54">
            <v>449.51277156491994</v>
          </cell>
          <cell r="BB54">
            <v>48.523098564441725</v>
          </cell>
          <cell r="BC54">
            <v>48.523098564441725</v>
          </cell>
          <cell r="BD54">
            <v>35</v>
          </cell>
        </row>
        <row r="55">
          <cell r="A55" t="str">
            <v>8160-01-155</v>
          </cell>
          <cell r="B55" t="str">
            <v>Shmuel Heiselbach</v>
          </cell>
          <cell r="C55" t="str">
            <v>022801732</v>
          </cell>
          <cell r="D55">
            <v>512065202</v>
          </cell>
          <cell r="F55" t="str">
            <v>שמואל היזלבק</v>
          </cell>
          <cell r="G55" t="str">
            <v>I</v>
          </cell>
          <cell r="H55" t="str">
            <v>Meitav</v>
          </cell>
          <cell r="I55">
            <v>350000</v>
          </cell>
          <cell r="J55">
            <v>4.7806156362081532E-3</v>
          </cell>
          <cell r="K55">
            <v>11960.796454812205</v>
          </cell>
          <cell r="L55">
            <v>3069.9918461819721</v>
          </cell>
          <cell r="M55">
            <v>8890.8046086302329</v>
          </cell>
          <cell r="N55">
            <v>63</v>
          </cell>
          <cell r="O55">
            <v>8953.8046086302329</v>
          </cell>
          <cell r="P55">
            <v>15536.265373411043</v>
          </cell>
          <cell r="Q55">
            <v>16</v>
          </cell>
          <cell r="R55">
            <v>15552.265373411043</v>
          </cell>
          <cell r="S55">
            <v>24506.069982041277</v>
          </cell>
          <cell r="U55">
            <v>371.75596984158176</v>
          </cell>
          <cell r="V55">
            <v>7</v>
          </cell>
          <cell r="W55">
            <v>378.75596984158176</v>
          </cell>
          <cell r="AB55" t="str">
            <v>IRA</v>
          </cell>
          <cell r="AC55">
            <v>371.75596984158176</v>
          </cell>
          <cell r="AD55">
            <v>98</v>
          </cell>
          <cell r="AE55">
            <v>0</v>
          </cell>
          <cell r="AF55">
            <v>0</v>
          </cell>
          <cell r="AG55">
            <v>476.75596984158176</v>
          </cell>
          <cell r="AH55">
            <v>476.75596984158176</v>
          </cell>
          <cell r="AI55">
            <v>24506.069982041277</v>
          </cell>
          <cell r="AJ55">
            <v>116666.66619999999</v>
          </cell>
          <cell r="AK55">
            <v>67060</v>
          </cell>
          <cell r="AL55">
            <v>14875</v>
          </cell>
          <cell r="AM55">
            <v>0</v>
          </cell>
          <cell r="AN55">
            <v>46414</v>
          </cell>
          <cell r="AO55" t="e">
            <v>#DIV/0!</v>
          </cell>
          <cell r="AP55">
            <v>10120</v>
          </cell>
          <cell r="AQ55">
            <v>7757</v>
          </cell>
          <cell r="AR55">
            <v>26869.069982041277</v>
          </cell>
          <cell r="AS55">
            <v>24506.069982041277</v>
          </cell>
          <cell r="AT55">
            <v>0</v>
          </cell>
          <cell r="AU55">
            <v>24506.069982041277</v>
          </cell>
          <cell r="AV55">
            <v>476.75596984158176</v>
          </cell>
          <cell r="BB55">
            <v>51.46274696228668</v>
          </cell>
          <cell r="BC55">
            <v>51.46274696228668</v>
          </cell>
          <cell r="BD55">
            <v>35</v>
          </cell>
        </row>
        <row r="56">
          <cell r="A56" t="str">
            <v>8160-01-157</v>
          </cell>
          <cell r="B56" t="str">
            <v>Gili Yohanany</v>
          </cell>
          <cell r="C56" t="str">
            <v>054175021</v>
          </cell>
          <cell r="D56">
            <v>512065202</v>
          </cell>
          <cell r="F56" t="str">
            <v>גילי יוחנני</v>
          </cell>
          <cell r="G56" t="str">
            <v>I</v>
          </cell>
          <cell r="H56" t="str">
            <v>Meitav</v>
          </cell>
          <cell r="I56">
            <v>200000</v>
          </cell>
          <cell r="J56">
            <v>2.7317803635475164E-3</v>
          </cell>
          <cell r="K56">
            <v>6834.74083132126</v>
          </cell>
          <cell r="L56">
            <v>1754.281054961127</v>
          </cell>
          <cell r="M56">
            <v>5080.4597763601332</v>
          </cell>
          <cell r="N56">
            <v>36</v>
          </cell>
          <cell r="O56">
            <v>5116.4597763601332</v>
          </cell>
          <cell r="P56">
            <v>8877.8659276634535</v>
          </cell>
          <cell r="Q56">
            <v>9</v>
          </cell>
          <cell r="R56">
            <v>8886.8659276634535</v>
          </cell>
          <cell r="S56">
            <v>14003.325704023588</v>
          </cell>
          <cell r="U56">
            <v>212.43198276661818</v>
          </cell>
          <cell r="V56">
            <v>4</v>
          </cell>
          <cell r="W56">
            <v>216.43198276661818</v>
          </cell>
          <cell r="AB56" t="str">
            <v>IRA</v>
          </cell>
          <cell r="AC56">
            <v>212.43198276661818</v>
          </cell>
          <cell r="AD56">
            <v>56</v>
          </cell>
          <cell r="AE56">
            <v>0</v>
          </cell>
          <cell r="AF56">
            <v>0</v>
          </cell>
          <cell r="AG56">
            <v>272.43198276661815</v>
          </cell>
          <cell r="AH56">
            <v>272.43198276661815</v>
          </cell>
          <cell r="AI56">
            <v>14003.325704023588</v>
          </cell>
          <cell r="AJ56">
            <v>66666.666400000002</v>
          </cell>
          <cell r="AK56">
            <v>38320.199999999997</v>
          </cell>
          <cell r="AL56">
            <v>8497.5</v>
          </cell>
          <cell r="AM56">
            <v>0</v>
          </cell>
          <cell r="AN56">
            <v>26525</v>
          </cell>
          <cell r="AO56" t="e">
            <v>#DIV/0!</v>
          </cell>
          <cell r="AP56">
            <v>5783</v>
          </cell>
          <cell r="AQ56">
            <v>4432</v>
          </cell>
          <cell r="AR56">
            <v>15354.325704023588</v>
          </cell>
          <cell r="AS56">
            <v>14003.325704023588</v>
          </cell>
          <cell r="AT56">
            <v>0</v>
          </cell>
          <cell r="AU56">
            <v>14003.325704023588</v>
          </cell>
          <cell r="AV56">
            <v>272.43198276661815</v>
          </cell>
          <cell r="BB56">
            <v>29.406983978449531</v>
          </cell>
          <cell r="BC56">
            <v>29.406983978449531</v>
          </cell>
          <cell r="BD56">
            <v>35</v>
          </cell>
        </row>
        <row r="57">
          <cell r="A57" t="str">
            <v>8160-01-158</v>
          </cell>
          <cell r="B57" t="str">
            <v>Alon Reshef</v>
          </cell>
          <cell r="C57" t="str">
            <v>057069510</v>
          </cell>
          <cell r="D57">
            <v>512065202</v>
          </cell>
          <cell r="F57" t="str">
            <v>אלון רשף</v>
          </cell>
          <cell r="G57" t="str">
            <v>I</v>
          </cell>
          <cell r="H57" t="str">
            <v>Meitav</v>
          </cell>
          <cell r="I57">
            <v>300000</v>
          </cell>
          <cell r="J57">
            <v>4.0976705453212746E-3</v>
          </cell>
          <cell r="K57">
            <v>10252.111246981891</v>
          </cell>
          <cell r="L57">
            <v>2631.4215824416906</v>
          </cell>
          <cell r="M57">
            <v>7620.6896645402003</v>
          </cell>
          <cell r="N57">
            <v>54</v>
          </cell>
          <cell r="O57">
            <v>7674.6896645402003</v>
          </cell>
          <cell r="P57">
            <v>13316.798891495182</v>
          </cell>
          <cell r="Q57">
            <v>14</v>
          </cell>
          <cell r="R57">
            <v>13330.798891495182</v>
          </cell>
          <cell r="S57">
            <v>21005.488556035383</v>
          </cell>
          <cell r="U57">
            <v>318.64797414992728</v>
          </cell>
          <cell r="V57">
            <v>6</v>
          </cell>
          <cell r="W57">
            <v>324.64797414992728</v>
          </cell>
          <cell r="AB57" t="str">
            <v>IRA</v>
          </cell>
          <cell r="AC57">
            <v>318.64797414992728</v>
          </cell>
          <cell r="AD57">
            <v>84</v>
          </cell>
          <cell r="AE57">
            <v>0</v>
          </cell>
          <cell r="AF57">
            <v>0</v>
          </cell>
          <cell r="AG57">
            <v>408.64797414992728</v>
          </cell>
          <cell r="AH57">
            <v>408.64797414992728</v>
          </cell>
          <cell r="AI57">
            <v>21005.488556035383</v>
          </cell>
          <cell r="AJ57">
            <v>99999.999599999996</v>
          </cell>
          <cell r="AK57">
            <v>57480.299999999996</v>
          </cell>
          <cell r="AL57">
            <v>12750</v>
          </cell>
          <cell r="AM57">
            <v>0</v>
          </cell>
          <cell r="AN57">
            <v>39784</v>
          </cell>
          <cell r="AO57" t="e">
            <v>#DIV/0!</v>
          </cell>
          <cell r="AP57">
            <v>8675</v>
          </cell>
          <cell r="AQ57">
            <v>6649</v>
          </cell>
          <cell r="AR57">
            <v>23031.488556035383</v>
          </cell>
          <cell r="AS57">
            <v>21005.488556035383</v>
          </cell>
          <cell r="AT57">
            <v>0</v>
          </cell>
          <cell r="AU57">
            <v>21005.488556035383</v>
          </cell>
          <cell r="AV57">
            <v>408.64797414992728</v>
          </cell>
          <cell r="BB57">
            <v>44.111525967674304</v>
          </cell>
          <cell r="BC57">
            <v>44.111525967674304</v>
          </cell>
          <cell r="BD57">
            <v>35</v>
          </cell>
        </row>
        <row r="58">
          <cell r="A58" t="str">
            <v>8160-01-159</v>
          </cell>
          <cell r="B58" t="str">
            <v>Dan Kampel</v>
          </cell>
          <cell r="C58" t="str">
            <v>050596741</v>
          </cell>
          <cell r="D58">
            <v>512065202</v>
          </cell>
          <cell r="F58" t="str">
            <v>דן שמואל קמפל</v>
          </cell>
          <cell r="G58" t="str">
            <v>I</v>
          </cell>
          <cell r="H58" t="str">
            <v>Meitav</v>
          </cell>
          <cell r="I58">
            <v>250000</v>
          </cell>
          <cell r="J58">
            <v>3.4147254544343955E-3</v>
          </cell>
          <cell r="K58">
            <v>8543.4260391515745</v>
          </cell>
          <cell r="L58">
            <v>2192.8513187014087</v>
          </cell>
          <cell r="M58">
            <v>6350.5747204501668</v>
          </cell>
          <cell r="N58">
            <v>45</v>
          </cell>
          <cell r="O58">
            <v>6395.5747204501668</v>
          </cell>
          <cell r="P58">
            <v>11097.332409579318</v>
          </cell>
          <cell r="Q58">
            <v>12</v>
          </cell>
          <cell r="R58">
            <v>11109.332409579318</v>
          </cell>
          <cell r="S58">
            <v>17504.907130029485</v>
          </cell>
          <cell r="U58">
            <v>265.53997845827274</v>
          </cell>
          <cell r="V58">
            <v>5</v>
          </cell>
          <cell r="W58">
            <v>270.53997845827274</v>
          </cell>
          <cell r="AB58" t="str">
            <v>IRA</v>
          </cell>
          <cell r="AC58">
            <v>265.53997845827274</v>
          </cell>
          <cell r="AD58">
            <v>70</v>
          </cell>
          <cell r="AE58">
            <v>0</v>
          </cell>
          <cell r="AF58">
            <v>0</v>
          </cell>
          <cell r="AG58">
            <v>340.53997845827274</v>
          </cell>
          <cell r="AH58">
            <v>340.53997845827274</v>
          </cell>
          <cell r="AI58">
            <v>17504.907130029485</v>
          </cell>
          <cell r="AJ58">
            <v>83333.332999999999</v>
          </cell>
          <cell r="AK58">
            <v>47900.25</v>
          </cell>
          <cell r="AL58">
            <v>10625</v>
          </cell>
          <cell r="AM58">
            <v>0</v>
          </cell>
          <cell r="AN58">
            <v>33153</v>
          </cell>
          <cell r="AO58" t="e">
            <v>#DIV/0!</v>
          </cell>
          <cell r="AP58">
            <v>7229</v>
          </cell>
          <cell r="AQ58">
            <v>5541</v>
          </cell>
          <cell r="AR58">
            <v>19192.907130029485</v>
          </cell>
          <cell r="AS58">
            <v>17504.907130029485</v>
          </cell>
          <cell r="AT58">
            <v>0</v>
          </cell>
          <cell r="AU58">
            <v>17504.907130029485</v>
          </cell>
          <cell r="AV58">
            <v>340.53997845827274</v>
          </cell>
          <cell r="BB58">
            <v>36.76030497306192</v>
          </cell>
          <cell r="BC58">
            <v>36.76030497306192</v>
          </cell>
          <cell r="BD58">
            <v>35</v>
          </cell>
        </row>
        <row r="59">
          <cell r="A59" t="str">
            <v>8160-01-160</v>
          </cell>
          <cell r="B59" t="str">
            <v>Dr. Aharon Roni &amp; Haya Bernstein</v>
          </cell>
          <cell r="C59" t="str">
            <v>065049207</v>
          </cell>
          <cell r="D59">
            <v>512065202</v>
          </cell>
          <cell r="F59" t="str">
            <v>חיה בורנשטיין</v>
          </cell>
          <cell r="G59" t="str">
            <v>I</v>
          </cell>
          <cell r="H59" t="str">
            <v>Meitav</v>
          </cell>
          <cell r="I59">
            <v>250000</v>
          </cell>
          <cell r="J59">
            <v>3.4147254544343955E-3</v>
          </cell>
          <cell r="K59">
            <v>8543.4260391515745</v>
          </cell>
          <cell r="L59">
            <v>2192.8513187014087</v>
          </cell>
          <cell r="M59">
            <v>6350.5747204501668</v>
          </cell>
          <cell r="N59">
            <v>45</v>
          </cell>
          <cell r="O59">
            <v>6395.5747204501668</v>
          </cell>
          <cell r="P59">
            <v>11097.332409579318</v>
          </cell>
          <cell r="Q59">
            <v>12</v>
          </cell>
          <cell r="R59">
            <v>11109.332409579318</v>
          </cell>
          <cell r="S59">
            <v>17504.907130029485</v>
          </cell>
          <cell r="U59">
            <v>265.53997845827274</v>
          </cell>
          <cell r="V59">
            <v>5</v>
          </cell>
          <cell r="W59">
            <v>270.53997845827274</v>
          </cell>
          <cell r="AB59" t="str">
            <v>IRA</v>
          </cell>
          <cell r="AC59">
            <v>265.53997845827274</v>
          </cell>
          <cell r="AD59">
            <v>70</v>
          </cell>
          <cell r="AE59">
            <v>0</v>
          </cell>
          <cell r="AF59">
            <v>0</v>
          </cell>
          <cell r="AG59">
            <v>340.53997845827274</v>
          </cell>
          <cell r="AH59">
            <v>340.53997845827274</v>
          </cell>
          <cell r="AI59">
            <v>17504.907130029485</v>
          </cell>
          <cell r="AJ59">
            <v>83333.332999999999</v>
          </cell>
          <cell r="AK59">
            <v>47900.25</v>
          </cell>
          <cell r="AL59">
            <v>10625</v>
          </cell>
          <cell r="AM59">
            <v>0</v>
          </cell>
          <cell r="AN59">
            <v>33153</v>
          </cell>
          <cell r="AO59" t="e">
            <v>#DIV/0!</v>
          </cell>
          <cell r="AP59">
            <v>7229</v>
          </cell>
          <cell r="AQ59">
            <v>5541</v>
          </cell>
          <cell r="AR59">
            <v>19192.907130029485</v>
          </cell>
          <cell r="AS59">
            <v>17504.907130029485</v>
          </cell>
          <cell r="AT59">
            <v>0</v>
          </cell>
          <cell r="AU59">
            <v>17504.907130029485</v>
          </cell>
          <cell r="AV59">
            <v>340.53997845827274</v>
          </cell>
          <cell r="BB59">
            <v>36.76030497306192</v>
          </cell>
          <cell r="BC59">
            <v>36.76030497306192</v>
          </cell>
          <cell r="BD59">
            <v>35</v>
          </cell>
        </row>
        <row r="60">
          <cell r="A60" t="str">
            <v>8160-01-161</v>
          </cell>
          <cell r="B60" t="str">
            <v>Zvi Stepak</v>
          </cell>
          <cell r="C60" t="str">
            <v>07957319</v>
          </cell>
          <cell r="D60">
            <v>512065202</v>
          </cell>
          <cell r="F60" t="str">
            <v>צבי סטפק</v>
          </cell>
          <cell r="G60" t="str">
            <v>I</v>
          </cell>
          <cell r="H60" t="str">
            <v>Meitav</v>
          </cell>
          <cell r="I60">
            <v>250000</v>
          </cell>
          <cell r="J60">
            <v>3.4147254544343955E-3</v>
          </cell>
          <cell r="K60">
            <v>8543.4260391515745</v>
          </cell>
          <cell r="L60">
            <v>2192.8513187014087</v>
          </cell>
          <cell r="M60">
            <v>6350.5747204501668</v>
          </cell>
          <cell r="N60">
            <v>45</v>
          </cell>
          <cell r="O60">
            <v>6395.5747204501668</v>
          </cell>
          <cell r="P60">
            <v>11097.332409579318</v>
          </cell>
          <cell r="Q60">
            <v>12</v>
          </cell>
          <cell r="R60">
            <v>11109.332409579318</v>
          </cell>
          <cell r="S60">
            <v>17504.907130029485</v>
          </cell>
          <cell r="U60">
            <v>265.53997845827274</v>
          </cell>
          <cell r="V60">
            <v>5</v>
          </cell>
          <cell r="W60">
            <v>270.53997845827274</v>
          </cell>
          <cell r="AB60" t="str">
            <v>IRA</v>
          </cell>
          <cell r="AC60">
            <v>265.53997845827274</v>
          </cell>
          <cell r="AD60">
            <v>70</v>
          </cell>
          <cell r="AE60">
            <v>0</v>
          </cell>
          <cell r="AF60">
            <v>0</v>
          </cell>
          <cell r="AG60">
            <v>340.53997845827274</v>
          </cell>
          <cell r="AH60">
            <v>340.53997845827274</v>
          </cell>
          <cell r="AI60">
            <v>17504.907130029485</v>
          </cell>
          <cell r="AJ60">
            <v>83333.332999999999</v>
          </cell>
          <cell r="AK60">
            <v>47900</v>
          </cell>
          <cell r="AL60">
            <v>10625</v>
          </cell>
          <cell r="AM60">
            <v>0</v>
          </cell>
          <cell r="AN60">
            <v>33153</v>
          </cell>
          <cell r="AO60" t="e">
            <v>#DIV/0!</v>
          </cell>
          <cell r="AP60">
            <v>7229</v>
          </cell>
          <cell r="AQ60">
            <v>5541</v>
          </cell>
          <cell r="AR60">
            <v>19192.907130029485</v>
          </cell>
          <cell r="AS60">
            <v>17504.907130029485</v>
          </cell>
          <cell r="AT60">
            <v>0</v>
          </cell>
          <cell r="AU60">
            <v>17504.907130029485</v>
          </cell>
          <cell r="AV60">
            <v>340.53997845827274</v>
          </cell>
          <cell r="BB60">
            <v>36.76030497306192</v>
          </cell>
          <cell r="BC60">
            <v>36.76030497306192</v>
          </cell>
          <cell r="BD60">
            <v>35</v>
          </cell>
        </row>
        <row r="61">
          <cell r="A61" t="str">
            <v>8160-01-162</v>
          </cell>
          <cell r="B61" t="str">
            <v>Arie Huber</v>
          </cell>
          <cell r="C61" t="str">
            <v>051261535</v>
          </cell>
          <cell r="D61">
            <v>512065202</v>
          </cell>
          <cell r="F61" t="str">
            <v>אריה הובר</v>
          </cell>
          <cell r="G61" t="str">
            <v>I</v>
          </cell>
          <cell r="H61" t="str">
            <v>Meitav</v>
          </cell>
          <cell r="I61">
            <v>250000</v>
          </cell>
          <cell r="J61">
            <v>3.4147254544343955E-3</v>
          </cell>
          <cell r="K61">
            <v>8543.4260391515745</v>
          </cell>
          <cell r="L61">
            <v>2192.8513187014087</v>
          </cell>
          <cell r="M61">
            <v>6350.5747204501668</v>
          </cell>
          <cell r="N61">
            <v>45</v>
          </cell>
          <cell r="O61">
            <v>6395.5747204501668</v>
          </cell>
          <cell r="P61">
            <v>11097.332409579318</v>
          </cell>
          <cell r="Q61">
            <v>12</v>
          </cell>
          <cell r="R61">
            <v>11109.332409579318</v>
          </cell>
          <cell r="S61">
            <v>17504.907130029485</v>
          </cell>
          <cell r="U61">
            <v>265.53997845827274</v>
          </cell>
          <cell r="V61">
            <v>5</v>
          </cell>
          <cell r="W61">
            <v>270.53997845827274</v>
          </cell>
          <cell r="AB61" t="str">
            <v>IRA</v>
          </cell>
          <cell r="AC61">
            <v>265.53997845827274</v>
          </cell>
          <cell r="AD61">
            <v>70</v>
          </cell>
          <cell r="AE61">
            <v>0</v>
          </cell>
          <cell r="AF61">
            <v>0</v>
          </cell>
          <cell r="AG61">
            <v>340.53997845827274</v>
          </cell>
          <cell r="AH61">
            <v>340.53997845827274</v>
          </cell>
          <cell r="AI61">
            <v>17504.907130029485</v>
          </cell>
          <cell r="AJ61">
            <v>83333.332999999999</v>
          </cell>
          <cell r="AK61">
            <v>47900.25</v>
          </cell>
          <cell r="AL61">
            <v>10625</v>
          </cell>
          <cell r="AM61">
            <v>0</v>
          </cell>
          <cell r="AN61">
            <v>33153</v>
          </cell>
          <cell r="AO61" t="e">
            <v>#DIV/0!</v>
          </cell>
          <cell r="AP61">
            <v>7229</v>
          </cell>
          <cell r="AQ61">
            <v>5541</v>
          </cell>
          <cell r="AR61">
            <v>19192.907130029485</v>
          </cell>
          <cell r="AS61">
            <v>17504.907130029485</v>
          </cell>
          <cell r="AT61">
            <v>0</v>
          </cell>
          <cell r="AU61">
            <v>17504.907130029485</v>
          </cell>
          <cell r="AV61">
            <v>340.53997845827274</v>
          </cell>
          <cell r="BB61">
            <v>36.76030497306192</v>
          </cell>
          <cell r="BC61">
            <v>36.76030497306192</v>
          </cell>
          <cell r="BD61">
            <v>35</v>
          </cell>
        </row>
        <row r="62">
          <cell r="A62" t="str">
            <v>8160-01-163</v>
          </cell>
          <cell r="B62" t="str">
            <v>Ron Rymon</v>
          </cell>
          <cell r="C62" t="str">
            <v>058491093</v>
          </cell>
          <cell r="D62">
            <v>520023185</v>
          </cell>
          <cell r="F62" t="str">
            <v>רון רימון</v>
          </cell>
          <cell r="G62" t="str">
            <v>I</v>
          </cell>
          <cell r="H62" t="str">
            <v>Phoenix</v>
          </cell>
          <cell r="I62">
            <v>250000</v>
          </cell>
          <cell r="J62">
            <v>3.4147254544343955E-3</v>
          </cell>
          <cell r="K62">
            <v>8543.4260391515745</v>
          </cell>
          <cell r="L62">
            <v>2192.8513187014087</v>
          </cell>
          <cell r="M62">
            <v>6350.5747204501668</v>
          </cell>
          <cell r="N62">
            <v>45</v>
          </cell>
          <cell r="O62">
            <v>6395.5747204501668</v>
          </cell>
          <cell r="P62">
            <v>11097.332409579318</v>
          </cell>
          <cell r="Q62">
            <v>12</v>
          </cell>
          <cell r="R62">
            <v>11109.332409579318</v>
          </cell>
          <cell r="S62">
            <v>17504.907130029485</v>
          </cell>
          <cell r="U62">
            <v>265.53997845827274</v>
          </cell>
          <cell r="V62">
            <v>5</v>
          </cell>
          <cell r="W62">
            <v>270.53997845827274</v>
          </cell>
          <cell r="AB62" t="str">
            <v>IRA</v>
          </cell>
          <cell r="AC62">
            <v>265.53997845827274</v>
          </cell>
          <cell r="AD62">
            <v>70</v>
          </cell>
          <cell r="AE62">
            <v>0</v>
          </cell>
          <cell r="AF62">
            <v>0</v>
          </cell>
          <cell r="AG62">
            <v>340.53997845827274</v>
          </cell>
          <cell r="AH62">
            <v>340.53997845827274</v>
          </cell>
          <cell r="AI62">
            <v>17504.907130029485</v>
          </cell>
          <cell r="AJ62">
            <v>83333.332999999999</v>
          </cell>
          <cell r="AK62">
            <v>47900.25</v>
          </cell>
          <cell r="AL62">
            <v>10625</v>
          </cell>
          <cell r="AM62">
            <v>0</v>
          </cell>
          <cell r="AN62">
            <v>33153</v>
          </cell>
          <cell r="AO62" t="e">
            <v>#DIV/0!</v>
          </cell>
          <cell r="AP62">
            <v>7229</v>
          </cell>
          <cell r="AQ62">
            <v>5541</v>
          </cell>
          <cell r="AR62">
            <v>19192.907130029485</v>
          </cell>
          <cell r="AS62">
            <v>17504.907130029485</v>
          </cell>
          <cell r="AT62">
            <v>0</v>
          </cell>
          <cell r="AU62">
            <v>17504.907130029485</v>
          </cell>
          <cell r="AV62">
            <v>340.53997845827274</v>
          </cell>
          <cell r="BB62">
            <v>36.76030497306192</v>
          </cell>
          <cell r="BC62">
            <v>36.76030497306192</v>
          </cell>
          <cell r="BD62">
            <v>35</v>
          </cell>
        </row>
        <row r="63">
          <cell r="A63" t="str">
            <v>8160-01-164</v>
          </cell>
          <cell r="B63" t="str">
            <v>Ophir Shevach</v>
          </cell>
          <cell r="C63" t="str">
            <v>003078854</v>
          </cell>
          <cell r="D63">
            <v>520023185</v>
          </cell>
          <cell r="F63" t="str">
            <v>אופיר שבח</v>
          </cell>
          <cell r="G63" t="str">
            <v>I</v>
          </cell>
          <cell r="H63" t="str">
            <v>Phoenix</v>
          </cell>
          <cell r="I63">
            <v>250000</v>
          </cell>
          <cell r="J63">
            <v>3.4147254544343955E-3</v>
          </cell>
          <cell r="K63">
            <v>8543.4260391515745</v>
          </cell>
          <cell r="L63">
            <v>2192.8513187014087</v>
          </cell>
          <cell r="M63">
            <v>6350.5747204501668</v>
          </cell>
          <cell r="N63">
            <v>45</v>
          </cell>
          <cell r="O63">
            <v>6395.5747204501668</v>
          </cell>
          <cell r="P63">
            <v>11097.332409579318</v>
          </cell>
          <cell r="Q63">
            <v>12</v>
          </cell>
          <cell r="R63">
            <v>11109.332409579318</v>
          </cell>
          <cell r="S63">
            <v>17504.907130029485</v>
          </cell>
          <cell r="U63">
            <v>265.53997845827274</v>
          </cell>
          <cell r="V63">
            <v>5</v>
          </cell>
          <cell r="W63">
            <v>270.53997845827274</v>
          </cell>
          <cell r="AB63" t="str">
            <v>IRA</v>
          </cell>
          <cell r="AC63">
            <v>265.53997845827274</v>
          </cell>
          <cell r="AD63">
            <v>70</v>
          </cell>
          <cell r="AE63">
            <v>0</v>
          </cell>
          <cell r="AF63">
            <v>0</v>
          </cell>
          <cell r="AG63">
            <v>340.53997845827274</v>
          </cell>
          <cell r="AH63">
            <v>340.53997845827274</v>
          </cell>
          <cell r="AI63">
            <v>17504.907130029485</v>
          </cell>
          <cell r="AJ63">
            <v>83333.332999999999</v>
          </cell>
          <cell r="AK63">
            <v>47900.25</v>
          </cell>
          <cell r="AL63">
            <v>10625</v>
          </cell>
          <cell r="AM63">
            <v>0</v>
          </cell>
          <cell r="AN63">
            <v>33153</v>
          </cell>
          <cell r="AO63" t="e">
            <v>#DIV/0!</v>
          </cell>
          <cell r="AP63">
            <v>7229</v>
          </cell>
          <cell r="AQ63">
            <v>5541</v>
          </cell>
          <cell r="AR63">
            <v>19192.907130029485</v>
          </cell>
          <cell r="AS63">
            <v>17504.907130029485</v>
          </cell>
          <cell r="AT63">
            <v>0</v>
          </cell>
          <cell r="AU63">
            <v>17504.907130029485</v>
          </cell>
          <cell r="AV63">
            <v>340.53997845827274</v>
          </cell>
          <cell r="BB63">
            <v>36.76030497306192</v>
          </cell>
          <cell r="BC63">
            <v>36.76030497306192</v>
          </cell>
          <cell r="BD63">
            <v>35</v>
          </cell>
        </row>
        <row r="64">
          <cell r="A64" t="str">
            <v>8160-01-165</v>
          </cell>
          <cell r="B64" t="str">
            <v>Guy Eliav</v>
          </cell>
          <cell r="C64" t="str">
            <v>024609025</v>
          </cell>
          <cell r="D64">
            <v>24609025</v>
          </cell>
          <cell r="F64" t="str">
            <v>גיא אלון אליאב</v>
          </cell>
          <cell r="G64" t="str">
            <v>I</v>
          </cell>
          <cell r="I64">
            <v>250000</v>
          </cell>
          <cell r="J64">
            <v>3.4147254544343955E-3</v>
          </cell>
          <cell r="K64">
            <v>8543.4260391515745</v>
          </cell>
          <cell r="L64">
            <v>2192.8513187014087</v>
          </cell>
          <cell r="M64">
            <v>6350.5747204501668</v>
          </cell>
          <cell r="N64">
            <v>45</v>
          </cell>
          <cell r="O64">
            <v>6395.5747204501668</v>
          </cell>
          <cell r="P64">
            <v>11097.332409579318</v>
          </cell>
          <cell r="Q64">
            <v>12</v>
          </cell>
          <cell r="R64">
            <v>11109.332409579318</v>
          </cell>
          <cell r="S64">
            <v>17504.907130029485</v>
          </cell>
          <cell r="T64">
            <v>1598.8936801125417</v>
          </cell>
          <cell r="U64">
            <v>265.53997845827274</v>
          </cell>
          <cell r="V64">
            <v>5</v>
          </cell>
          <cell r="W64">
            <v>270.53997845827274</v>
          </cell>
          <cell r="X64">
            <v>-270.53997845827274</v>
          </cell>
          <cell r="Y64">
            <v>1328.3537016542689</v>
          </cell>
          <cell r="Z64">
            <v>6</v>
          </cell>
          <cell r="AA64">
            <v>1334.3537016542689</v>
          </cell>
          <cell r="AB64" t="str">
            <v>X</v>
          </cell>
          <cell r="AD64">
            <v>70</v>
          </cell>
          <cell r="AE64">
            <v>81</v>
          </cell>
          <cell r="AF64">
            <v>1415.3537016542689</v>
          </cell>
          <cell r="AG64">
            <v>340.53997845827274</v>
          </cell>
          <cell r="AH64">
            <v>1755.8936801125417</v>
          </cell>
          <cell r="AI64">
            <v>16170.553428375217</v>
          </cell>
          <cell r="AJ64">
            <v>83333.332999999999</v>
          </cell>
          <cell r="AK64">
            <v>47900.25</v>
          </cell>
          <cell r="AL64">
            <v>10626</v>
          </cell>
          <cell r="AM64">
            <v>0</v>
          </cell>
          <cell r="AN64">
            <v>33153</v>
          </cell>
          <cell r="AO64" t="e">
            <v>#DIV/0!</v>
          </cell>
          <cell r="AP64">
            <v>7229</v>
          </cell>
          <cell r="AQ64">
            <v>5541</v>
          </cell>
          <cell r="AR64">
            <v>19192.907130029485</v>
          </cell>
          <cell r="AS64">
            <v>17504.907130029485</v>
          </cell>
          <cell r="AT64">
            <v>1328.3537016542689</v>
          </cell>
          <cell r="AU64">
            <v>16170.553428375217</v>
          </cell>
          <cell r="AV64">
            <v>1755.8936801125417</v>
          </cell>
          <cell r="BB64">
            <v>33.958162199587953</v>
          </cell>
          <cell r="BC64">
            <v>33.958162199587953</v>
          </cell>
          <cell r="BD64">
            <v>35</v>
          </cell>
        </row>
        <row r="65">
          <cell r="A65" t="str">
            <v>8160-01-166</v>
          </cell>
          <cell r="B65" t="str">
            <v>Ester Beck (Louis)</v>
          </cell>
          <cell r="C65" t="str">
            <v>017161142</v>
          </cell>
          <cell r="D65">
            <v>17161142</v>
          </cell>
          <cell r="F65" t="str">
            <v>אסתר בורגר בק</v>
          </cell>
          <cell r="G65" t="str">
            <v>II</v>
          </cell>
          <cell r="I65">
            <v>250000</v>
          </cell>
          <cell r="J65">
            <v>3.4147254544343955E-3</v>
          </cell>
          <cell r="K65">
            <v>8543.4260391515745</v>
          </cell>
          <cell r="L65">
            <v>2192.8513187014087</v>
          </cell>
          <cell r="M65">
            <v>6350.5747204501668</v>
          </cell>
          <cell r="N65">
            <v>45</v>
          </cell>
          <cell r="O65">
            <v>6395.5747204501668</v>
          </cell>
          <cell r="P65">
            <v>11097.332409579318</v>
          </cell>
          <cell r="Q65">
            <v>12</v>
          </cell>
          <cell r="R65">
            <v>11109.332409579318</v>
          </cell>
          <cell r="S65">
            <v>17504.907130029485</v>
          </cell>
          <cell r="T65">
            <v>1598.8936801125417</v>
          </cell>
          <cell r="U65">
            <v>265.53997845827274</v>
          </cell>
          <cell r="V65">
            <v>5</v>
          </cell>
          <cell r="W65">
            <v>270.53997845827274</v>
          </cell>
          <cell r="X65">
            <v>-270.53997845827274</v>
          </cell>
          <cell r="Y65">
            <v>1328.3537016542689</v>
          </cell>
          <cell r="Z65">
            <v>6</v>
          </cell>
          <cell r="AA65">
            <v>1334.3537016542689</v>
          </cell>
          <cell r="AB65" t="str">
            <v>X</v>
          </cell>
          <cell r="AD65">
            <v>70</v>
          </cell>
          <cell r="AE65">
            <v>81</v>
          </cell>
          <cell r="AF65">
            <v>1415.3537016542689</v>
          </cell>
          <cell r="AG65">
            <v>340.53997845827274</v>
          </cell>
          <cell r="AH65">
            <v>1755.8936801125417</v>
          </cell>
          <cell r="AI65">
            <v>16170.553428375217</v>
          </cell>
          <cell r="AJ65">
            <v>0</v>
          </cell>
          <cell r="AK65">
            <v>131234</v>
          </cell>
          <cell r="AL65">
            <v>10632</v>
          </cell>
          <cell r="AM65">
            <v>0</v>
          </cell>
          <cell r="AN65">
            <v>33153</v>
          </cell>
          <cell r="AO65" t="e">
            <v>#DIV/0!</v>
          </cell>
          <cell r="AP65">
            <v>7229</v>
          </cell>
          <cell r="AQ65">
            <v>5541</v>
          </cell>
          <cell r="AR65">
            <v>19192.907130029485</v>
          </cell>
          <cell r="AS65">
            <v>17504.907130029485</v>
          </cell>
          <cell r="AT65">
            <v>1328.3537016542689</v>
          </cell>
          <cell r="AU65">
            <v>16170.553428375217</v>
          </cell>
          <cell r="AV65">
            <v>1755.8936801125417</v>
          </cell>
          <cell r="BB65">
            <v>33.958162199587953</v>
          </cell>
          <cell r="BC65">
            <v>33.958162199587953</v>
          </cell>
          <cell r="BD65">
            <v>35</v>
          </cell>
        </row>
        <row r="66">
          <cell r="A66" t="str">
            <v>8160-01-167</v>
          </cell>
          <cell r="B66" t="str">
            <v>Trico Fuchs Ltd.</v>
          </cell>
          <cell r="C66">
            <v>510621113</v>
          </cell>
          <cell r="D66">
            <v>510621113</v>
          </cell>
          <cell r="E66" t="str">
            <v>Trico Fuchs Ltd.</v>
          </cell>
          <cell r="F66" t="str">
            <v>טריקו - פוקס בע"מ</v>
          </cell>
          <cell r="G66" t="str">
            <v>II</v>
          </cell>
          <cell r="I66">
            <v>750000</v>
          </cell>
          <cell r="J66">
            <v>1.0244176363303185E-2</v>
          </cell>
          <cell r="K66">
            <v>25630.278117454724</v>
          </cell>
          <cell r="L66">
            <v>6578.5539561042251</v>
          </cell>
          <cell r="M66">
            <v>19051.724161350499</v>
          </cell>
          <cell r="N66">
            <v>136</v>
          </cell>
          <cell r="O66">
            <v>19187.724161350499</v>
          </cell>
          <cell r="P66">
            <v>33291.99722873795</v>
          </cell>
          <cell r="Q66">
            <v>35</v>
          </cell>
          <cell r="R66">
            <v>33326.99722873795</v>
          </cell>
          <cell r="S66">
            <v>52514.721390088453</v>
          </cell>
          <cell r="U66">
            <v>796.61993537481806</v>
          </cell>
          <cell r="V66">
            <v>16</v>
          </cell>
          <cell r="W66">
            <v>812.61993537481806</v>
          </cell>
          <cell r="AB66" t="str">
            <v>V</v>
          </cell>
          <cell r="AC66">
            <v>796.61993537481806</v>
          </cell>
          <cell r="AD66">
            <v>210</v>
          </cell>
          <cell r="AF66">
            <v>0</v>
          </cell>
          <cell r="AG66">
            <v>1022.6199353748181</v>
          </cell>
          <cell r="AH66">
            <v>1022.6199353748181</v>
          </cell>
          <cell r="AI66">
            <v>52514.721390088453</v>
          </cell>
          <cell r="AJ66" t="e">
            <v>#N/A</v>
          </cell>
          <cell r="AK66" t="e">
            <v>#N/A</v>
          </cell>
          <cell r="AL66" t="e">
            <v>#N/A</v>
          </cell>
          <cell r="AM66" t="e">
            <v>#N/A</v>
          </cell>
          <cell r="AN66" t="e">
            <v>#N/A</v>
          </cell>
          <cell r="AO66" t="e">
            <v>#N/A</v>
          </cell>
          <cell r="AP66">
            <v>21687</v>
          </cell>
          <cell r="AQ66">
            <v>16622</v>
          </cell>
          <cell r="AR66">
            <v>57579.721390088453</v>
          </cell>
          <cell r="AS66">
            <v>52514.721390088453</v>
          </cell>
          <cell r="AT66">
            <v>0</v>
          </cell>
          <cell r="AU66">
            <v>52514.721390088453</v>
          </cell>
          <cell r="AV66">
            <v>1022.6199353748181</v>
          </cell>
          <cell r="BB66">
            <v>110.28091491918575</v>
          </cell>
          <cell r="BC66">
            <v>110.28091491918575</v>
          </cell>
          <cell r="BD66">
            <v>35</v>
          </cell>
        </row>
        <row r="67">
          <cell r="A67" t="str">
            <v>8160-01-168</v>
          </cell>
          <cell r="B67" t="str">
            <v>Uzi Ziv</v>
          </cell>
          <cell r="C67" t="str">
            <v>057697351</v>
          </cell>
          <cell r="D67">
            <v>57697351</v>
          </cell>
          <cell r="F67" t="str">
            <v>עוזי עזרא זיו</v>
          </cell>
          <cell r="G67" t="str">
            <v>II</v>
          </cell>
          <cell r="I67">
            <v>250000</v>
          </cell>
          <cell r="J67">
            <v>3.4147254544343955E-3</v>
          </cell>
          <cell r="K67">
            <v>8543.4260391515745</v>
          </cell>
          <cell r="L67">
            <v>2192.8513187014087</v>
          </cell>
          <cell r="M67">
            <v>6350.5747204501668</v>
          </cell>
          <cell r="N67">
            <v>45</v>
          </cell>
          <cell r="O67">
            <v>6395.5747204501668</v>
          </cell>
          <cell r="P67">
            <v>11097.332409579318</v>
          </cell>
          <cell r="Q67">
            <v>12</v>
          </cell>
          <cell r="R67">
            <v>11109.332409579318</v>
          </cell>
          <cell r="S67">
            <v>17504.907130029485</v>
          </cell>
          <cell r="T67">
            <v>1598.8936801125417</v>
          </cell>
          <cell r="U67">
            <v>265.53997845827274</v>
          </cell>
          <cell r="V67">
            <v>5</v>
          </cell>
          <cell r="W67">
            <v>270.53997845827274</v>
          </cell>
          <cell r="X67">
            <v>-270.53997845827274</v>
          </cell>
          <cell r="Y67">
            <v>1328.3537016542689</v>
          </cell>
          <cell r="Z67">
            <v>6</v>
          </cell>
          <cell r="AA67">
            <v>1334.3537016542689</v>
          </cell>
          <cell r="AB67" t="str">
            <v>X</v>
          </cell>
          <cell r="AD67">
            <v>70</v>
          </cell>
          <cell r="AE67">
            <v>81</v>
          </cell>
          <cell r="AF67">
            <v>1415.3537016542689</v>
          </cell>
          <cell r="AG67">
            <v>340.53997845827274</v>
          </cell>
          <cell r="AH67">
            <v>1755.8936801125417</v>
          </cell>
          <cell r="AI67">
            <v>16170.553428375217</v>
          </cell>
          <cell r="AJ67">
            <v>0</v>
          </cell>
          <cell r="AK67">
            <v>131233.5</v>
          </cell>
          <cell r="AL67">
            <v>10625</v>
          </cell>
          <cell r="AM67">
            <v>0</v>
          </cell>
          <cell r="AN67">
            <v>33153</v>
          </cell>
          <cell r="AO67" t="e">
            <v>#DIV/0!</v>
          </cell>
          <cell r="AP67">
            <v>7229</v>
          </cell>
          <cell r="AQ67">
            <v>5541</v>
          </cell>
          <cell r="AR67">
            <v>19192.907130029485</v>
          </cell>
          <cell r="AS67">
            <v>17504.907130029485</v>
          </cell>
          <cell r="AT67">
            <v>1328.3537016542689</v>
          </cell>
          <cell r="AU67">
            <v>16170.553428375217</v>
          </cell>
          <cell r="AV67">
            <v>1755.8936801125417</v>
          </cell>
          <cell r="BB67">
            <v>33.958162199587953</v>
          </cell>
          <cell r="BC67">
            <v>33.958162199587953</v>
          </cell>
          <cell r="BD67">
            <v>35</v>
          </cell>
        </row>
        <row r="68">
          <cell r="A68" t="str">
            <v>8160-01-169</v>
          </cell>
          <cell r="B68" t="str">
            <v>Michal (Yuval) Hatuka</v>
          </cell>
          <cell r="C68" t="str">
            <v>023749609</v>
          </cell>
          <cell r="D68">
            <v>23749609</v>
          </cell>
          <cell r="F68" t="str">
            <v>מיכל שטרית חתוק</v>
          </cell>
          <cell r="G68" t="str">
            <v>II</v>
          </cell>
          <cell r="I68">
            <v>250000</v>
          </cell>
          <cell r="J68">
            <v>3.4147254544343955E-3</v>
          </cell>
          <cell r="K68">
            <v>8543.4260391515745</v>
          </cell>
          <cell r="L68">
            <v>2192.8513187014087</v>
          </cell>
          <cell r="M68">
            <v>6350.5747204501668</v>
          </cell>
          <cell r="N68">
            <v>45</v>
          </cell>
          <cell r="O68">
            <v>6395.5747204501668</v>
          </cell>
          <cell r="P68">
            <v>11097.332409579318</v>
          </cell>
          <cell r="Q68">
            <v>12</v>
          </cell>
          <cell r="R68">
            <v>11109.332409579318</v>
          </cell>
          <cell r="S68">
            <v>17504.907130029485</v>
          </cell>
          <cell r="T68">
            <v>1598.8936801125417</v>
          </cell>
          <cell r="U68">
            <v>265.53997845827274</v>
          </cell>
          <cell r="V68">
            <v>5</v>
          </cell>
          <cell r="W68">
            <v>270.53997845827274</v>
          </cell>
          <cell r="X68">
            <v>-270.53997845827274</v>
          </cell>
          <cell r="Y68">
            <v>1328.3537016542689</v>
          </cell>
          <cell r="Z68">
            <v>6</v>
          </cell>
          <cell r="AA68">
            <v>1334.3537016542689</v>
          </cell>
          <cell r="AB68" t="str">
            <v>X</v>
          </cell>
          <cell r="AD68">
            <v>70</v>
          </cell>
          <cell r="AE68">
            <v>81</v>
          </cell>
          <cell r="AF68">
            <v>1415.3537016542689</v>
          </cell>
          <cell r="AG68">
            <v>340.53997845827274</v>
          </cell>
          <cell r="AH68">
            <v>1755.8936801125417</v>
          </cell>
          <cell r="AI68">
            <v>16170.553428375217</v>
          </cell>
          <cell r="AJ68">
            <v>0</v>
          </cell>
          <cell r="AK68">
            <v>131233.5</v>
          </cell>
          <cell r="AL68">
            <v>10622.5</v>
          </cell>
          <cell r="AM68">
            <v>0</v>
          </cell>
          <cell r="AN68">
            <v>33153.5</v>
          </cell>
          <cell r="AO68" t="e">
            <v>#DIV/0!</v>
          </cell>
          <cell r="AP68">
            <v>7229</v>
          </cell>
          <cell r="AQ68">
            <v>5541</v>
          </cell>
          <cell r="AR68">
            <v>19192.907130029485</v>
          </cell>
          <cell r="AS68">
            <v>17504.907130029485</v>
          </cell>
          <cell r="AT68">
            <v>1328.3537016542689</v>
          </cell>
          <cell r="AU68">
            <v>16170.553428375217</v>
          </cell>
          <cell r="AV68">
            <v>1755.8936801125417</v>
          </cell>
          <cell r="BB68">
            <v>33.958162199587953</v>
          </cell>
          <cell r="BC68">
            <v>33.958162199587953</v>
          </cell>
          <cell r="BD68">
            <v>35</v>
          </cell>
        </row>
        <row r="69">
          <cell r="A69" t="str">
            <v>8160-01-170</v>
          </cell>
          <cell r="B69" t="str">
            <v>E Hasson LTD</v>
          </cell>
          <cell r="C69">
            <v>512041591</v>
          </cell>
          <cell r="D69">
            <v>512041591</v>
          </cell>
          <cell r="E69" t="str">
            <v>E Hasson LTD</v>
          </cell>
          <cell r="F69" t="str">
            <v>אליהו חסון בע"מ</v>
          </cell>
          <cell r="G69" t="str">
            <v>II</v>
          </cell>
          <cell r="I69">
            <v>1000000</v>
          </cell>
          <cell r="J69">
            <v>1.3658901817737582E-2</v>
          </cell>
          <cell r="K69">
            <v>34173.704156606298</v>
          </cell>
          <cell r="L69">
            <v>8771.4052748056347</v>
          </cell>
          <cell r="M69">
            <v>25402.298881800667</v>
          </cell>
          <cell r="N69">
            <v>181</v>
          </cell>
          <cell r="O69">
            <v>25583.298881800667</v>
          </cell>
          <cell r="P69">
            <v>44389.329638317271</v>
          </cell>
          <cell r="Q69">
            <v>46</v>
          </cell>
          <cell r="R69">
            <v>44435.329638317271</v>
          </cell>
          <cell r="S69">
            <v>70018.628520117942</v>
          </cell>
          <cell r="U69">
            <v>1062.159913833091</v>
          </cell>
          <cell r="V69">
            <v>21</v>
          </cell>
          <cell r="W69">
            <v>1083.159913833091</v>
          </cell>
          <cell r="AB69" t="str">
            <v>V</v>
          </cell>
          <cell r="AD69">
            <v>280</v>
          </cell>
          <cell r="AE69">
            <v>0</v>
          </cell>
          <cell r="AF69">
            <v>0</v>
          </cell>
          <cell r="AG69">
            <v>1363.159913833091</v>
          </cell>
          <cell r="AH69">
            <v>1363.159913833091</v>
          </cell>
          <cell r="AI69">
            <v>70018.628520117942</v>
          </cell>
          <cell r="AJ69" t="e">
            <v>#N/A</v>
          </cell>
          <cell r="AK69" t="e">
            <v>#N/A</v>
          </cell>
          <cell r="AL69" t="e">
            <v>#N/A</v>
          </cell>
          <cell r="AM69" t="e">
            <v>#N/A</v>
          </cell>
          <cell r="AN69" t="e">
            <v>#N/A</v>
          </cell>
          <cell r="AO69" t="e">
            <v>#N/A</v>
          </cell>
          <cell r="AP69">
            <v>28916</v>
          </cell>
          <cell r="AQ69">
            <v>22162</v>
          </cell>
          <cell r="AR69">
            <v>76772.628520117942</v>
          </cell>
          <cell r="AS69">
            <v>70018.628520117942</v>
          </cell>
          <cell r="AT69">
            <v>0</v>
          </cell>
          <cell r="AU69">
            <v>70018.628520117942</v>
          </cell>
          <cell r="AV69">
            <v>1363.159913833091</v>
          </cell>
          <cell r="BB69">
            <v>147.03911989224767</v>
          </cell>
          <cell r="BC69">
            <v>147.03911989224767</v>
          </cell>
          <cell r="BD69">
            <v>35</v>
          </cell>
        </row>
        <row r="70">
          <cell r="A70" t="str">
            <v>8160-01-171</v>
          </cell>
          <cell r="B70" t="str">
            <v>Yishai Fuchs</v>
          </cell>
          <cell r="C70" t="str">
            <v>040785750</v>
          </cell>
          <cell r="D70">
            <v>40785750</v>
          </cell>
          <cell r="F70" t="str">
            <v>ישי פוקס</v>
          </cell>
          <cell r="G70" t="str">
            <v>II</v>
          </cell>
          <cell r="I70">
            <v>150000</v>
          </cell>
          <cell r="J70">
            <v>2.0488352726606373E-3</v>
          </cell>
          <cell r="K70">
            <v>5126.0556234909454</v>
          </cell>
          <cell r="L70">
            <v>1315.7107912208453</v>
          </cell>
          <cell r="M70">
            <v>3810.3448322701001</v>
          </cell>
          <cell r="N70">
            <v>27</v>
          </cell>
          <cell r="O70">
            <v>3837.3448322701001</v>
          </cell>
          <cell r="P70">
            <v>6658.399445747591</v>
          </cell>
          <cell r="Q70">
            <v>7</v>
          </cell>
          <cell r="R70">
            <v>6665.399445747591</v>
          </cell>
          <cell r="S70">
            <v>10502.744278017692</v>
          </cell>
          <cell r="T70">
            <v>959.33620806752504</v>
          </cell>
          <cell r="U70">
            <v>159.32398707496364</v>
          </cell>
          <cell r="V70">
            <v>3</v>
          </cell>
          <cell r="W70">
            <v>162.32398707496364</v>
          </cell>
          <cell r="X70">
            <v>-162.32398707496364</v>
          </cell>
          <cell r="Y70">
            <v>797.01222099256142</v>
          </cell>
          <cell r="Z70">
            <v>4</v>
          </cell>
          <cell r="AA70">
            <v>801.01222099256142</v>
          </cell>
          <cell r="AB70" t="str">
            <v>X</v>
          </cell>
          <cell r="AD70">
            <v>42</v>
          </cell>
          <cell r="AE70">
            <v>49</v>
          </cell>
          <cell r="AF70">
            <v>850.01222099256142</v>
          </cell>
          <cell r="AG70">
            <v>204.32398707496364</v>
          </cell>
          <cell r="AH70">
            <v>1054.3362080675251</v>
          </cell>
          <cell r="AI70">
            <v>9701.7320570251304</v>
          </cell>
          <cell r="AJ70">
            <v>0</v>
          </cell>
          <cell r="AK70">
            <v>78740.100000000006</v>
          </cell>
          <cell r="AL70">
            <v>6375</v>
          </cell>
          <cell r="AM70">
            <v>0</v>
          </cell>
          <cell r="AN70">
            <v>19892</v>
          </cell>
          <cell r="AO70" t="e">
            <v>#DIV/0!</v>
          </cell>
          <cell r="AP70">
            <v>4337</v>
          </cell>
          <cell r="AQ70">
            <v>3324</v>
          </cell>
          <cell r="AR70">
            <v>11515.744278017692</v>
          </cell>
          <cell r="AS70">
            <v>10502.744278017692</v>
          </cell>
          <cell r="AT70">
            <v>797.01222099256142</v>
          </cell>
          <cell r="AU70">
            <v>9701.7320570251304</v>
          </cell>
          <cell r="AV70">
            <v>1054.3362080675251</v>
          </cell>
          <cell r="BB70">
            <v>20.373637319752774</v>
          </cell>
          <cell r="BC70">
            <v>20.373637319752774</v>
          </cell>
          <cell r="BD70">
            <v>35</v>
          </cell>
        </row>
        <row r="71">
          <cell r="A71" t="str">
            <v>8160-01-172</v>
          </cell>
          <cell r="B71" t="str">
            <v>Ofer Jacobson</v>
          </cell>
          <cell r="C71" t="str">
            <v>057750606</v>
          </cell>
          <cell r="D71">
            <v>57750606</v>
          </cell>
          <cell r="F71" t="str">
            <v>עופר יעקבזון</v>
          </cell>
          <cell r="G71" t="str">
            <v>II</v>
          </cell>
          <cell r="I71">
            <v>250000</v>
          </cell>
          <cell r="J71">
            <v>3.4147254544343955E-3</v>
          </cell>
          <cell r="K71">
            <v>8543.4260391515745</v>
          </cell>
          <cell r="L71">
            <v>2192.8513187014087</v>
          </cell>
          <cell r="M71">
            <v>6350.5747204501668</v>
          </cell>
          <cell r="N71">
            <v>45</v>
          </cell>
          <cell r="O71">
            <v>6395.5747204501668</v>
          </cell>
          <cell r="P71">
            <v>11097.332409579318</v>
          </cell>
          <cell r="Q71">
            <v>12</v>
          </cell>
          <cell r="R71">
            <v>11109.332409579318</v>
          </cell>
          <cell r="S71">
            <v>17504.907130029485</v>
          </cell>
          <cell r="T71">
            <v>1598.8936801125417</v>
          </cell>
          <cell r="U71">
            <v>265.53997845827274</v>
          </cell>
          <cell r="V71">
            <v>5</v>
          </cell>
          <cell r="W71">
            <v>270.53997845827274</v>
          </cell>
          <cell r="X71">
            <v>-270.53997845827274</v>
          </cell>
          <cell r="Y71">
            <v>1328.3537016542689</v>
          </cell>
          <cell r="Z71">
            <v>6</v>
          </cell>
          <cell r="AA71">
            <v>1334.3537016542689</v>
          </cell>
          <cell r="AB71" t="str">
            <v>X</v>
          </cell>
          <cell r="AD71">
            <v>70</v>
          </cell>
          <cell r="AE71">
            <v>81</v>
          </cell>
          <cell r="AF71">
            <v>1415.3537016542689</v>
          </cell>
          <cell r="AG71">
            <v>340.53997845827274</v>
          </cell>
          <cell r="AH71">
            <v>1755.8936801125417</v>
          </cell>
          <cell r="AI71">
            <v>16170.553428375217</v>
          </cell>
          <cell r="AJ71">
            <v>0</v>
          </cell>
          <cell r="AK71">
            <v>131233.5</v>
          </cell>
          <cell r="AL71">
            <v>10624.5</v>
          </cell>
          <cell r="AM71">
            <v>0</v>
          </cell>
          <cell r="AN71">
            <v>33153</v>
          </cell>
          <cell r="AO71" t="e">
            <v>#DIV/0!</v>
          </cell>
          <cell r="AP71">
            <v>7229</v>
          </cell>
          <cell r="AQ71">
            <v>5541</v>
          </cell>
          <cell r="AR71">
            <v>19192.907130029485</v>
          </cell>
          <cell r="AS71">
            <v>17504.907130029485</v>
          </cell>
          <cell r="AT71">
            <v>1328.3537016542689</v>
          </cell>
          <cell r="AU71">
            <v>16170.553428375217</v>
          </cell>
          <cell r="AV71">
            <v>1755.8936801125417</v>
          </cell>
          <cell r="BB71">
            <v>33.958162199587953</v>
          </cell>
          <cell r="BC71">
            <v>33.958162199587953</v>
          </cell>
          <cell r="BD71">
            <v>35</v>
          </cell>
        </row>
        <row r="72">
          <cell r="A72" t="str">
            <v>8160-01-173</v>
          </cell>
          <cell r="B72" t="str">
            <v>Oded Fuchs</v>
          </cell>
          <cell r="C72" t="str">
            <v>039301825</v>
          </cell>
          <cell r="D72">
            <v>39301825</v>
          </cell>
          <cell r="F72" t="str">
            <v>עודד פוקס</v>
          </cell>
          <cell r="G72" t="str">
            <v>II</v>
          </cell>
          <cell r="I72">
            <v>150000</v>
          </cell>
          <cell r="J72">
            <v>2.0488352726606373E-3</v>
          </cell>
          <cell r="K72">
            <v>5126.0556234909454</v>
          </cell>
          <cell r="L72">
            <v>1315.7107912208453</v>
          </cell>
          <cell r="M72">
            <v>3810.3448322701001</v>
          </cell>
          <cell r="N72">
            <v>27</v>
          </cell>
          <cell r="O72">
            <v>3837.3448322701001</v>
          </cell>
          <cell r="P72">
            <v>6658.399445747591</v>
          </cell>
          <cell r="Q72">
            <v>7</v>
          </cell>
          <cell r="R72">
            <v>6665.399445747591</v>
          </cell>
          <cell r="S72">
            <v>10502.744278017692</v>
          </cell>
          <cell r="T72">
            <v>959.33620806752504</v>
          </cell>
          <cell r="U72">
            <v>159.32398707496364</v>
          </cell>
          <cell r="V72">
            <v>3</v>
          </cell>
          <cell r="W72">
            <v>162.32398707496364</v>
          </cell>
          <cell r="X72">
            <v>-162.32398707496364</v>
          </cell>
          <cell r="Y72">
            <v>797.01222099256142</v>
          </cell>
          <cell r="Z72">
            <v>4</v>
          </cell>
          <cell r="AA72">
            <v>801.01222099256142</v>
          </cell>
          <cell r="AB72" t="str">
            <v>X</v>
          </cell>
          <cell r="AD72">
            <v>42</v>
          </cell>
          <cell r="AE72">
            <v>49</v>
          </cell>
          <cell r="AF72">
            <v>850.01222099256142</v>
          </cell>
          <cell r="AG72">
            <v>204.32398707496364</v>
          </cell>
          <cell r="AH72">
            <v>1054.3362080675251</v>
          </cell>
          <cell r="AI72">
            <v>9701.7320570251304</v>
          </cell>
          <cell r="AJ72">
            <v>0</v>
          </cell>
          <cell r="AK72">
            <v>78740.100000000006</v>
          </cell>
          <cell r="AL72">
            <v>6375</v>
          </cell>
          <cell r="AM72">
            <v>0</v>
          </cell>
          <cell r="AN72">
            <v>19892</v>
          </cell>
          <cell r="AO72" t="e">
            <v>#DIV/0!</v>
          </cell>
          <cell r="AP72">
            <v>4337</v>
          </cell>
          <cell r="AQ72">
            <v>3324</v>
          </cell>
          <cell r="AR72">
            <v>11515.744278017692</v>
          </cell>
          <cell r="AS72">
            <v>10502.744278017692</v>
          </cell>
          <cell r="AT72">
            <v>797.01222099256142</v>
          </cell>
          <cell r="AU72">
            <v>9701.7320570251304</v>
          </cell>
          <cell r="AV72">
            <v>1054.3362080675251</v>
          </cell>
          <cell r="BB72">
            <v>20.373637319752774</v>
          </cell>
          <cell r="BC72">
            <v>20.373637319752774</v>
          </cell>
          <cell r="BD72">
            <v>35</v>
          </cell>
        </row>
        <row r="73">
          <cell r="A73" t="str">
            <v>8160-01-174</v>
          </cell>
          <cell r="B73" t="str">
            <v>Moshe Strumlaufer</v>
          </cell>
          <cell r="C73" t="str">
            <v>055710610</v>
          </cell>
          <cell r="D73">
            <v>55710610</v>
          </cell>
          <cell r="F73" t="str">
            <v>משה שטורמלאופר</v>
          </cell>
          <cell r="G73" t="str">
            <v>II</v>
          </cell>
          <cell r="I73">
            <v>500000</v>
          </cell>
          <cell r="J73">
            <v>6.8294509088687909E-3</v>
          </cell>
          <cell r="K73">
            <v>17086.852078303149</v>
          </cell>
          <cell r="L73">
            <v>4385.7026374028173</v>
          </cell>
          <cell r="M73">
            <v>12701.149440900334</v>
          </cell>
          <cell r="N73">
            <v>90</v>
          </cell>
          <cell r="O73">
            <v>12791.149440900334</v>
          </cell>
          <cell r="P73">
            <v>22194.664819158636</v>
          </cell>
          <cell r="Q73">
            <v>23</v>
          </cell>
          <cell r="R73">
            <v>22217.664819158636</v>
          </cell>
          <cell r="S73">
            <v>35008.814260058971</v>
          </cell>
          <cell r="T73">
            <v>3197.7873602250834</v>
          </cell>
          <cell r="U73">
            <v>531.07995691654548</v>
          </cell>
          <cell r="V73">
            <v>10</v>
          </cell>
          <cell r="W73">
            <v>541.07995691654548</v>
          </cell>
          <cell r="X73">
            <v>-541.07995691654548</v>
          </cell>
          <cell r="Y73">
            <v>2656.7074033085378</v>
          </cell>
          <cell r="Z73">
            <v>12</v>
          </cell>
          <cell r="AA73">
            <v>2668.7074033085378</v>
          </cell>
          <cell r="AB73" t="str">
            <v>X</v>
          </cell>
          <cell r="AD73">
            <v>140</v>
          </cell>
          <cell r="AE73">
            <v>163</v>
          </cell>
          <cell r="AF73">
            <v>2831.7074033085378</v>
          </cell>
          <cell r="AG73">
            <v>681.07995691654548</v>
          </cell>
          <cell r="AH73">
            <v>3512.7873602250834</v>
          </cell>
          <cell r="AI73">
            <v>32340.106856750434</v>
          </cell>
          <cell r="AJ73">
            <v>0</v>
          </cell>
          <cell r="AK73">
            <v>262467</v>
          </cell>
          <cell r="AL73">
            <v>21250</v>
          </cell>
          <cell r="AM73">
            <v>0</v>
          </cell>
          <cell r="AN73">
            <v>66306</v>
          </cell>
          <cell r="AO73" t="e">
            <v>#DIV/0!</v>
          </cell>
          <cell r="AP73">
            <v>14458</v>
          </cell>
          <cell r="AQ73">
            <v>11081</v>
          </cell>
          <cell r="AR73">
            <v>38385.814260058971</v>
          </cell>
          <cell r="AS73">
            <v>35008.814260058971</v>
          </cell>
          <cell r="AT73">
            <v>2656.7074033085378</v>
          </cell>
          <cell r="AU73">
            <v>32340.106856750434</v>
          </cell>
          <cell r="AV73">
            <v>3512.7873602250834</v>
          </cell>
          <cell r="BB73">
            <v>67.914224399175907</v>
          </cell>
          <cell r="BC73">
            <v>67.914224399175907</v>
          </cell>
          <cell r="BD73">
            <v>35</v>
          </cell>
        </row>
        <row r="74">
          <cell r="A74" t="str">
            <v>8160-01-175</v>
          </cell>
          <cell r="B74" t="str">
            <v>Vilnai Marketing Group LTD</v>
          </cell>
          <cell r="C74">
            <v>511973299</v>
          </cell>
          <cell r="D74">
            <v>511973299</v>
          </cell>
          <cell r="E74" t="str">
            <v>Vilnai Marketing Group LTD</v>
          </cell>
          <cell r="F74" t="str">
            <v>קבוצת וילנאי לשיווק בע"מ</v>
          </cell>
          <cell r="G74" t="str">
            <v>II</v>
          </cell>
          <cell r="I74">
            <v>250000</v>
          </cell>
          <cell r="J74">
            <v>3.4147254544343955E-3</v>
          </cell>
          <cell r="K74">
            <v>8543.4260391515745</v>
          </cell>
          <cell r="L74">
            <v>2192.8513187014087</v>
          </cell>
          <cell r="M74">
            <v>6350.5747204501668</v>
          </cell>
          <cell r="N74">
            <v>45</v>
          </cell>
          <cell r="O74">
            <v>6395.5747204501668</v>
          </cell>
          <cell r="P74">
            <v>11097.332409579318</v>
          </cell>
          <cell r="Q74">
            <v>12</v>
          </cell>
          <cell r="R74">
            <v>11109.332409579318</v>
          </cell>
          <cell r="S74">
            <v>17504.907130029485</v>
          </cell>
          <cell r="U74">
            <v>265.53997845827274</v>
          </cell>
          <cell r="V74">
            <v>5</v>
          </cell>
          <cell r="W74">
            <v>270.53997845827274</v>
          </cell>
          <cell r="AB74" t="str">
            <v>V</v>
          </cell>
          <cell r="AC74">
            <v>265.53997845827274</v>
          </cell>
          <cell r="AD74">
            <v>70</v>
          </cell>
          <cell r="AF74">
            <v>0</v>
          </cell>
          <cell r="AG74">
            <v>340.53997845827274</v>
          </cell>
          <cell r="AH74">
            <v>340.53997845827274</v>
          </cell>
          <cell r="AI74">
            <v>17504.907130029485</v>
          </cell>
          <cell r="AJ74" t="e">
            <v>#N/A</v>
          </cell>
          <cell r="AK74" t="e">
            <v>#N/A</v>
          </cell>
          <cell r="AL74" t="e">
            <v>#N/A</v>
          </cell>
          <cell r="AM74" t="e">
            <v>#N/A</v>
          </cell>
          <cell r="AN74" t="e">
            <v>#N/A</v>
          </cell>
          <cell r="AO74" t="e">
            <v>#N/A</v>
          </cell>
          <cell r="AP74">
            <v>7229</v>
          </cell>
          <cell r="AQ74">
            <v>5541</v>
          </cell>
          <cell r="AR74">
            <v>19192.907130029485</v>
          </cell>
          <cell r="AS74">
            <v>17504.907130029485</v>
          </cell>
          <cell r="AT74">
            <v>0</v>
          </cell>
          <cell r="AU74">
            <v>17504.907130029485</v>
          </cell>
          <cell r="AV74">
            <v>340.53997845827274</v>
          </cell>
          <cell r="BB74">
            <v>36.76030497306192</v>
          </cell>
          <cell r="BC74">
            <v>36.76030497306192</v>
          </cell>
          <cell r="BD74">
            <v>35</v>
          </cell>
        </row>
        <row r="75">
          <cell r="A75" t="str">
            <v>8160-01-176</v>
          </cell>
          <cell r="B75" t="str">
            <v>Atlas Multi Fund L.P</v>
          </cell>
          <cell r="C75" t="str">
            <v>OG-90358</v>
          </cell>
          <cell r="D75">
            <v>515589448</v>
          </cell>
          <cell r="E75" t="str">
            <v>Atlas Multi Fund L.P</v>
          </cell>
          <cell r="G75" t="str">
            <v>II</v>
          </cell>
          <cell r="I75">
            <v>3000000</v>
          </cell>
          <cell r="J75">
            <v>4.097670545321274E-2</v>
          </cell>
          <cell r="K75">
            <v>102521.11246981889</v>
          </cell>
          <cell r="L75">
            <v>26314.2158244169</v>
          </cell>
          <cell r="M75">
            <v>76206.896645401997</v>
          </cell>
          <cell r="N75">
            <v>543</v>
          </cell>
          <cell r="O75">
            <v>76749.896645401997</v>
          </cell>
          <cell r="P75">
            <v>133167.9889149518</v>
          </cell>
          <cell r="Q75">
            <v>138</v>
          </cell>
          <cell r="R75">
            <v>133305.9889149518</v>
          </cell>
          <cell r="S75">
            <v>210055.88556035381</v>
          </cell>
          <cell r="U75">
            <v>3186.4797414992722</v>
          </cell>
          <cell r="V75">
            <v>63</v>
          </cell>
          <cell r="W75">
            <v>3249.4797414992722</v>
          </cell>
          <cell r="AB75" t="str">
            <v>V</v>
          </cell>
          <cell r="AD75">
            <v>839</v>
          </cell>
          <cell r="AE75">
            <v>0</v>
          </cell>
          <cell r="AF75">
            <v>0</v>
          </cell>
          <cell r="AG75">
            <v>4088.4797414992722</v>
          </cell>
          <cell r="AH75">
            <v>4088.4797414992722</v>
          </cell>
          <cell r="AI75">
            <v>210055.88556035381</v>
          </cell>
          <cell r="AJ75" t="e">
            <v>#N/A</v>
          </cell>
          <cell r="AK75" t="e">
            <v>#N/A</v>
          </cell>
          <cell r="AL75" t="e">
            <v>#N/A</v>
          </cell>
          <cell r="AM75" t="e">
            <v>#N/A</v>
          </cell>
          <cell r="AN75" t="e">
            <v>#N/A</v>
          </cell>
          <cell r="AO75" t="e">
            <v>#N/A</v>
          </cell>
          <cell r="AP75">
            <v>86747</v>
          </cell>
          <cell r="AQ75">
            <v>66487</v>
          </cell>
          <cell r="AR75">
            <v>230315.88556035381</v>
          </cell>
          <cell r="AS75">
            <v>210055.88556035381</v>
          </cell>
          <cell r="AT75">
            <v>0</v>
          </cell>
          <cell r="AU75">
            <v>210055.88556035381</v>
          </cell>
          <cell r="AV75">
            <v>4088.4797414992722</v>
          </cell>
          <cell r="BB75">
            <v>441.11735967674298</v>
          </cell>
          <cell r="BC75">
            <v>441.11735967674298</v>
          </cell>
          <cell r="BD75">
            <v>35</v>
          </cell>
        </row>
        <row r="76">
          <cell r="A76" t="str">
            <v>8160-01-177</v>
          </cell>
          <cell r="B76" t="str">
            <v>Aviad Avni</v>
          </cell>
          <cell r="C76" t="str">
            <v>054973680</v>
          </cell>
          <cell r="D76">
            <v>512065202</v>
          </cell>
          <cell r="F76" t="str">
            <v>אביעד יצחק אבני</v>
          </cell>
          <cell r="G76" t="str">
            <v>II</v>
          </cell>
          <cell r="H76" t="str">
            <v>Meitav</v>
          </cell>
          <cell r="I76">
            <v>250000</v>
          </cell>
          <cell r="J76">
            <v>3.4147254544343955E-3</v>
          </cell>
          <cell r="K76">
            <v>8543.4260391515745</v>
          </cell>
          <cell r="L76">
            <v>2192.8513187014087</v>
          </cell>
          <cell r="M76">
            <v>6350.5747204501668</v>
          </cell>
          <cell r="N76">
            <v>45</v>
          </cell>
          <cell r="O76">
            <v>6395.5747204501668</v>
          </cell>
          <cell r="P76">
            <v>11097.332409579318</v>
          </cell>
          <cell r="Q76">
            <v>12</v>
          </cell>
          <cell r="R76">
            <v>11109.332409579318</v>
          </cell>
          <cell r="S76">
            <v>17504.907130029485</v>
          </cell>
          <cell r="U76">
            <v>265.53997845827274</v>
          </cell>
          <cell r="V76">
            <v>5</v>
          </cell>
          <cell r="W76">
            <v>270.53997845827274</v>
          </cell>
          <cell r="AB76" t="str">
            <v>IRA</v>
          </cell>
          <cell r="AC76">
            <v>265.53997845827274</v>
          </cell>
          <cell r="AD76">
            <v>70</v>
          </cell>
          <cell r="AE76">
            <v>0</v>
          </cell>
          <cell r="AF76">
            <v>0</v>
          </cell>
          <cell r="AG76">
            <v>340.53997845827274</v>
          </cell>
          <cell r="AH76">
            <v>340.53997845827274</v>
          </cell>
          <cell r="AI76">
            <v>17504.907130029485</v>
          </cell>
          <cell r="AJ76">
            <v>0</v>
          </cell>
          <cell r="AK76">
            <v>131233.5</v>
          </cell>
          <cell r="AL76">
            <v>10625</v>
          </cell>
          <cell r="AM76">
            <v>0</v>
          </cell>
          <cell r="AN76">
            <v>33153</v>
          </cell>
          <cell r="AO76" t="e">
            <v>#DIV/0!</v>
          </cell>
          <cell r="AP76">
            <v>7229</v>
          </cell>
          <cell r="AQ76">
            <v>5541</v>
          </cell>
          <cell r="AR76">
            <v>19192.907130029485</v>
          </cell>
          <cell r="AS76">
            <v>17504.907130029485</v>
          </cell>
          <cell r="AT76">
            <v>0</v>
          </cell>
          <cell r="AU76">
            <v>17504.907130029485</v>
          </cell>
          <cell r="AV76">
            <v>340.53997845827274</v>
          </cell>
          <cell r="BB76">
            <v>36.76030497306192</v>
          </cell>
          <cell r="BC76">
            <v>36.76030497306192</v>
          </cell>
          <cell r="BD76">
            <v>35</v>
          </cell>
        </row>
        <row r="77">
          <cell r="A77" t="str">
            <v>8160-01-178</v>
          </cell>
          <cell r="B77" t="str">
            <v>Ehud Aloni</v>
          </cell>
          <cell r="C77" t="str">
            <v>001450287</v>
          </cell>
          <cell r="D77">
            <v>512065202</v>
          </cell>
          <cell r="F77" t="str">
            <v>אהוד אלוני</v>
          </cell>
          <cell r="G77" t="str">
            <v>II</v>
          </cell>
          <cell r="H77" t="str">
            <v>Meitav</v>
          </cell>
          <cell r="I77">
            <v>1250000</v>
          </cell>
          <cell r="J77">
            <v>1.7073627272171977E-2</v>
          </cell>
          <cell r="K77">
            <v>42717.130195757876</v>
          </cell>
          <cell r="L77">
            <v>10964.256593507043</v>
          </cell>
          <cell r="M77">
            <v>31752.873602250835</v>
          </cell>
          <cell r="N77">
            <v>226</v>
          </cell>
          <cell r="O77">
            <v>31978.873602250835</v>
          </cell>
          <cell r="P77">
            <v>55486.662047896585</v>
          </cell>
          <cell r="Q77">
            <v>58</v>
          </cell>
          <cell r="R77">
            <v>55544.662047896585</v>
          </cell>
          <cell r="S77">
            <v>87523.535650147416</v>
          </cell>
          <cell r="U77">
            <v>1327.6998922913635</v>
          </cell>
          <cell r="V77">
            <v>26</v>
          </cell>
          <cell r="W77">
            <v>1353.6998922913635</v>
          </cell>
          <cell r="AB77" t="str">
            <v>IRA</v>
          </cell>
          <cell r="AC77">
            <v>1327.6998922913635</v>
          </cell>
          <cell r="AD77">
            <v>350</v>
          </cell>
          <cell r="AE77">
            <v>0</v>
          </cell>
          <cell r="AF77">
            <v>0</v>
          </cell>
          <cell r="AG77">
            <v>1703.6998922913635</v>
          </cell>
          <cell r="AH77">
            <v>1703.6998922913635</v>
          </cell>
          <cell r="AI77">
            <v>87523.535650147416</v>
          </cell>
          <cell r="AJ77">
            <v>0</v>
          </cell>
          <cell r="AK77">
            <v>656167.5</v>
          </cell>
          <cell r="AL77">
            <v>53124</v>
          </cell>
          <cell r="AM77">
            <v>0</v>
          </cell>
          <cell r="AN77">
            <v>165765</v>
          </cell>
          <cell r="AO77" t="e">
            <v>#DIV/0!</v>
          </cell>
          <cell r="AP77">
            <v>36144</v>
          </cell>
          <cell r="AQ77">
            <v>27703</v>
          </cell>
          <cell r="AR77">
            <v>95964.535650147416</v>
          </cell>
          <cell r="AS77">
            <v>87523.535650147416</v>
          </cell>
          <cell r="AT77">
            <v>0</v>
          </cell>
          <cell r="AU77">
            <v>87523.535650147416</v>
          </cell>
          <cell r="AV77">
            <v>1703.6998922913635</v>
          </cell>
          <cell r="BB77">
            <v>183.79942486530956</v>
          </cell>
          <cell r="BC77">
            <v>183.79942486530956</v>
          </cell>
          <cell r="BD77">
            <v>35</v>
          </cell>
        </row>
        <row r="78">
          <cell r="A78" t="str">
            <v>8160-01-179</v>
          </cell>
          <cell r="B78" t="str">
            <v>Eyal Vardi</v>
          </cell>
          <cell r="C78" t="str">
            <v>055893275</v>
          </cell>
          <cell r="D78">
            <v>512065202</v>
          </cell>
          <cell r="F78" t="str">
            <v>אייל ורדי</v>
          </cell>
          <cell r="G78" t="str">
            <v>II</v>
          </cell>
          <cell r="H78" t="str">
            <v>Meitav</v>
          </cell>
          <cell r="I78">
            <v>198602</v>
          </cell>
          <cell r="J78">
            <v>2.7126852188063193E-3</v>
          </cell>
          <cell r="K78">
            <v>6786.9659929103245</v>
          </cell>
          <cell r="L78">
            <v>1742.0186303869486</v>
          </cell>
          <cell r="M78">
            <v>5044.9473625233759</v>
          </cell>
          <cell r="N78">
            <v>36</v>
          </cell>
          <cell r="O78">
            <v>5080.9473625233759</v>
          </cell>
          <cell r="P78">
            <v>8815.8096448290871</v>
          </cell>
          <cell r="Q78">
            <v>9</v>
          </cell>
          <cell r="R78">
            <v>8824.8096448290871</v>
          </cell>
          <cell r="S78">
            <v>13905.757007352462</v>
          </cell>
          <cell r="U78">
            <v>210.94708320707952</v>
          </cell>
          <cell r="V78">
            <v>4</v>
          </cell>
          <cell r="W78">
            <v>214.94708320707952</v>
          </cell>
          <cell r="AB78" t="str">
            <v>IRA</v>
          </cell>
          <cell r="AC78">
            <v>210.94708320707952</v>
          </cell>
          <cell r="AD78">
            <v>56</v>
          </cell>
          <cell r="AE78">
            <v>0</v>
          </cell>
          <cell r="AF78">
            <v>0</v>
          </cell>
          <cell r="AG78">
            <v>270.94708320707952</v>
          </cell>
          <cell r="AH78">
            <v>270.94708320707952</v>
          </cell>
          <cell r="AI78">
            <v>13905.757007352462</v>
          </cell>
          <cell r="AJ78">
            <v>0</v>
          </cell>
          <cell r="AK78">
            <v>183726.9</v>
          </cell>
          <cell r="AL78">
            <v>14875</v>
          </cell>
          <cell r="AM78">
            <v>0</v>
          </cell>
          <cell r="AN78">
            <v>0</v>
          </cell>
          <cell r="AO78" t="e">
            <v>#DIV/0!</v>
          </cell>
          <cell r="AP78">
            <v>5743</v>
          </cell>
          <cell r="AQ78">
            <v>4402</v>
          </cell>
          <cell r="AR78">
            <v>15246.757007352462</v>
          </cell>
          <cell r="AS78">
            <v>13905.757007352462</v>
          </cell>
          <cell r="AT78">
            <v>0</v>
          </cell>
          <cell r="AU78">
            <v>13905.757007352462</v>
          </cell>
          <cell r="AV78">
            <v>270.94708320707952</v>
          </cell>
          <cell r="BB78">
            <v>29.20208971544017</v>
          </cell>
          <cell r="BC78">
            <v>29.20208971544017</v>
          </cell>
          <cell r="BD78">
            <v>35</v>
          </cell>
        </row>
        <row r="79">
          <cell r="A79" t="str">
            <v>8160-01-180</v>
          </cell>
          <cell r="B79" t="str">
            <v>Eli Katzav</v>
          </cell>
          <cell r="C79" t="str">
            <v>053370367</v>
          </cell>
          <cell r="D79">
            <v>512065202</v>
          </cell>
          <cell r="F79" t="str">
            <v>אלי קצב</v>
          </cell>
          <cell r="G79" t="str">
            <v>II</v>
          </cell>
          <cell r="H79" t="str">
            <v>Meitav</v>
          </cell>
          <cell r="I79">
            <v>250000</v>
          </cell>
          <cell r="J79">
            <v>3.4147254544343955E-3</v>
          </cell>
          <cell r="K79">
            <v>8543.4260391515745</v>
          </cell>
          <cell r="L79">
            <v>2192.8513187014087</v>
          </cell>
          <cell r="M79">
            <v>6350.5747204501668</v>
          </cell>
          <cell r="N79">
            <v>45</v>
          </cell>
          <cell r="O79">
            <v>6395.5747204501668</v>
          </cell>
          <cell r="P79">
            <v>11097.332409579318</v>
          </cell>
          <cell r="Q79">
            <v>12</v>
          </cell>
          <cell r="R79">
            <v>11109.332409579318</v>
          </cell>
          <cell r="S79">
            <v>17504.907130029485</v>
          </cell>
          <cell r="U79">
            <v>265.53997845827274</v>
          </cell>
          <cell r="V79">
            <v>5</v>
          </cell>
          <cell r="W79">
            <v>270.53997845827274</v>
          </cell>
          <cell r="AB79" t="str">
            <v>IRA</v>
          </cell>
          <cell r="AC79">
            <v>265.53997845827274</v>
          </cell>
          <cell r="AD79">
            <v>70</v>
          </cell>
          <cell r="AE79">
            <v>0</v>
          </cell>
          <cell r="AF79">
            <v>0</v>
          </cell>
          <cell r="AG79">
            <v>340.53997845827274</v>
          </cell>
          <cell r="AH79">
            <v>340.53997845827274</v>
          </cell>
          <cell r="AI79">
            <v>17504.907130029485</v>
          </cell>
          <cell r="AJ79">
            <v>0</v>
          </cell>
          <cell r="AK79">
            <v>131233.5</v>
          </cell>
          <cell r="AL79">
            <v>10625</v>
          </cell>
          <cell r="AM79">
            <v>0</v>
          </cell>
          <cell r="AN79">
            <v>33152</v>
          </cell>
          <cell r="AO79" t="e">
            <v>#DIV/0!</v>
          </cell>
          <cell r="AP79">
            <v>7229</v>
          </cell>
          <cell r="AQ79">
            <v>5541</v>
          </cell>
          <cell r="AR79">
            <v>19192.907130029485</v>
          </cell>
          <cell r="AS79">
            <v>17504.907130029485</v>
          </cell>
          <cell r="AT79">
            <v>0</v>
          </cell>
          <cell r="AU79">
            <v>17504.907130029485</v>
          </cell>
          <cell r="AV79">
            <v>340.53997845827274</v>
          </cell>
          <cell r="BB79">
            <v>36.76030497306192</v>
          </cell>
          <cell r="BC79">
            <v>36.76030497306192</v>
          </cell>
          <cell r="BD79">
            <v>35</v>
          </cell>
        </row>
        <row r="80">
          <cell r="A80" t="str">
            <v>8160-01-181</v>
          </cell>
          <cell r="B80" t="str">
            <v>Liora (Nachman) Manor</v>
          </cell>
          <cell r="C80" t="str">
            <v>002239028</v>
          </cell>
          <cell r="D80">
            <v>512065202</v>
          </cell>
          <cell r="F80" t="str">
            <v>ליאורה מנור</v>
          </cell>
          <cell r="G80" t="str">
            <v>II</v>
          </cell>
          <cell r="H80" t="str">
            <v>Meitav</v>
          </cell>
          <cell r="I80">
            <v>250000</v>
          </cell>
          <cell r="J80">
            <v>3.4147254544343955E-3</v>
          </cell>
          <cell r="K80">
            <v>8543.4260391515745</v>
          </cell>
          <cell r="L80">
            <v>2192.8513187014087</v>
          </cell>
          <cell r="M80">
            <v>6350.5747204501668</v>
          </cell>
          <cell r="N80">
            <v>45</v>
          </cell>
          <cell r="O80">
            <v>6395.5747204501668</v>
          </cell>
          <cell r="P80">
            <v>11097.332409579318</v>
          </cell>
          <cell r="Q80">
            <v>12</v>
          </cell>
          <cell r="R80">
            <v>11109.332409579318</v>
          </cell>
          <cell r="S80">
            <v>17504.907130029485</v>
          </cell>
          <cell r="U80">
            <v>265.53997845827274</v>
          </cell>
          <cell r="V80">
            <v>5</v>
          </cell>
          <cell r="W80">
            <v>270.53997845827274</v>
          </cell>
          <cell r="AB80" t="str">
            <v>IRA</v>
          </cell>
          <cell r="AC80">
            <v>265.53997845827274</v>
          </cell>
          <cell r="AD80">
            <v>70</v>
          </cell>
          <cell r="AE80">
            <v>0</v>
          </cell>
          <cell r="AF80">
            <v>0</v>
          </cell>
          <cell r="AG80">
            <v>340.53997845827274</v>
          </cell>
          <cell r="AH80">
            <v>340.53997845827274</v>
          </cell>
          <cell r="AI80">
            <v>17504.907130029485</v>
          </cell>
          <cell r="AJ80">
            <v>0</v>
          </cell>
          <cell r="AK80">
            <v>131233.5</v>
          </cell>
          <cell r="AL80">
            <v>10625</v>
          </cell>
          <cell r="AM80">
            <v>0</v>
          </cell>
          <cell r="AN80">
            <v>33153</v>
          </cell>
          <cell r="AO80" t="e">
            <v>#DIV/0!</v>
          </cell>
          <cell r="AP80">
            <v>7229</v>
          </cell>
          <cell r="AQ80">
            <v>5541</v>
          </cell>
          <cell r="AR80">
            <v>19192.907130029485</v>
          </cell>
          <cell r="AS80">
            <v>17504.907130029485</v>
          </cell>
          <cell r="AT80">
            <v>0</v>
          </cell>
          <cell r="AU80">
            <v>17504.907130029485</v>
          </cell>
          <cell r="AV80">
            <v>340.53997845827274</v>
          </cell>
          <cell r="BB80">
            <v>36.76030497306192</v>
          </cell>
          <cell r="BC80">
            <v>36.76030497306192</v>
          </cell>
          <cell r="BD80">
            <v>35</v>
          </cell>
        </row>
        <row r="81">
          <cell r="A81" t="str">
            <v>8160-01-182</v>
          </cell>
          <cell r="B81" t="str">
            <v>Amos Nahir</v>
          </cell>
          <cell r="C81" t="str">
            <v>051388411</v>
          </cell>
          <cell r="D81">
            <v>512065202</v>
          </cell>
          <cell r="F81" t="str">
            <v>עמוס נהיר</v>
          </cell>
          <cell r="G81" t="str">
            <v>II</v>
          </cell>
          <cell r="H81" t="str">
            <v>Meitav</v>
          </cell>
          <cell r="I81">
            <v>200000</v>
          </cell>
          <cell r="J81">
            <v>2.7317803635475164E-3</v>
          </cell>
          <cell r="K81">
            <v>6834.74083132126</v>
          </cell>
          <cell r="L81">
            <v>1754.281054961127</v>
          </cell>
          <cell r="M81">
            <v>5080.4597763601332</v>
          </cell>
          <cell r="N81">
            <v>36</v>
          </cell>
          <cell r="O81">
            <v>5116.4597763601332</v>
          </cell>
          <cell r="P81">
            <v>8877.8659276634535</v>
          </cell>
          <cell r="Q81">
            <v>9</v>
          </cell>
          <cell r="R81">
            <v>8886.8659276634535</v>
          </cell>
          <cell r="S81">
            <v>14003.325704023588</v>
          </cell>
          <cell r="U81">
            <v>212.43198276661818</v>
          </cell>
          <cell r="V81">
            <v>4</v>
          </cell>
          <cell r="W81">
            <v>216.43198276661818</v>
          </cell>
          <cell r="AB81" t="str">
            <v>IRA</v>
          </cell>
          <cell r="AC81">
            <v>212.43198276661818</v>
          </cell>
          <cell r="AD81">
            <v>56</v>
          </cell>
          <cell r="AE81">
            <v>0</v>
          </cell>
          <cell r="AF81">
            <v>0</v>
          </cell>
          <cell r="AG81">
            <v>272.43198276661815</v>
          </cell>
          <cell r="AH81">
            <v>272.43198276661815</v>
          </cell>
          <cell r="AI81">
            <v>14003.325704023588</v>
          </cell>
          <cell r="AJ81">
            <v>0</v>
          </cell>
          <cell r="AK81">
            <v>104986.8</v>
          </cell>
          <cell r="AL81">
            <v>8500</v>
          </cell>
          <cell r="AM81">
            <v>0</v>
          </cell>
          <cell r="AN81">
            <v>26522</v>
          </cell>
          <cell r="AO81" t="e">
            <v>#DIV/0!</v>
          </cell>
          <cell r="AP81">
            <v>5783</v>
          </cell>
          <cell r="AQ81">
            <v>4432</v>
          </cell>
          <cell r="AR81">
            <v>15354.325704023588</v>
          </cell>
          <cell r="AS81">
            <v>14003.325704023588</v>
          </cell>
          <cell r="AT81">
            <v>0</v>
          </cell>
          <cell r="AU81">
            <v>14003.325704023588</v>
          </cell>
          <cell r="AV81">
            <v>272.43198276661815</v>
          </cell>
          <cell r="BB81">
            <v>29.406983978449531</v>
          </cell>
          <cell r="BC81">
            <v>29.406983978449531</v>
          </cell>
          <cell r="BD81">
            <v>35</v>
          </cell>
        </row>
        <row r="82">
          <cell r="A82" t="str">
            <v>8160-01-183</v>
          </cell>
          <cell r="B82" t="str">
            <v>Ran Weldman</v>
          </cell>
          <cell r="C82" t="str">
            <v>055483424</v>
          </cell>
          <cell r="D82">
            <v>512065202</v>
          </cell>
          <cell r="F82" t="str">
            <v>רן ולדמן</v>
          </cell>
          <cell r="G82" t="str">
            <v>II</v>
          </cell>
          <cell r="H82" t="str">
            <v>Meitav</v>
          </cell>
          <cell r="I82">
            <v>500000</v>
          </cell>
          <cell r="J82">
            <v>6.8294509088687909E-3</v>
          </cell>
          <cell r="K82">
            <v>17086.852078303149</v>
          </cell>
          <cell r="L82">
            <v>4385.7026374028173</v>
          </cell>
          <cell r="M82">
            <v>12701.149440900334</v>
          </cell>
          <cell r="N82">
            <v>90</v>
          </cell>
          <cell r="O82">
            <v>12791.149440900334</v>
          </cell>
          <cell r="P82">
            <v>22194.664819158636</v>
          </cell>
          <cell r="Q82">
            <v>23</v>
          </cell>
          <cell r="R82">
            <v>22217.664819158636</v>
          </cell>
          <cell r="S82">
            <v>35008.814260058971</v>
          </cell>
          <cell r="U82">
            <v>531.07995691654548</v>
          </cell>
          <cell r="V82">
            <v>10</v>
          </cell>
          <cell r="W82">
            <v>541.07995691654548</v>
          </cell>
          <cell r="AB82" t="str">
            <v>IRA</v>
          </cell>
          <cell r="AC82">
            <v>531.07995691654548</v>
          </cell>
          <cell r="AD82">
            <v>140</v>
          </cell>
          <cell r="AE82">
            <v>0</v>
          </cell>
          <cell r="AF82">
            <v>0</v>
          </cell>
          <cell r="AG82">
            <v>681.07995691654548</v>
          </cell>
          <cell r="AH82">
            <v>681.07995691654548</v>
          </cell>
          <cell r="AI82">
            <v>35008.814260058971</v>
          </cell>
          <cell r="AJ82">
            <v>0</v>
          </cell>
          <cell r="AK82">
            <v>262467</v>
          </cell>
          <cell r="AL82">
            <v>21250</v>
          </cell>
          <cell r="AM82">
            <v>0</v>
          </cell>
          <cell r="AN82">
            <v>66306</v>
          </cell>
          <cell r="AO82" t="e">
            <v>#DIV/0!</v>
          </cell>
          <cell r="AP82">
            <v>14458</v>
          </cell>
          <cell r="AQ82">
            <v>11081</v>
          </cell>
          <cell r="AR82">
            <v>38385.814260058971</v>
          </cell>
          <cell r="AS82">
            <v>35008.814260058971</v>
          </cell>
          <cell r="AT82">
            <v>0</v>
          </cell>
          <cell r="AU82">
            <v>35008.814260058971</v>
          </cell>
          <cell r="AV82">
            <v>681.07995691654548</v>
          </cell>
          <cell r="BB82">
            <v>73.518509946123828</v>
          </cell>
          <cell r="BC82">
            <v>73.518509946123828</v>
          </cell>
          <cell r="BD82">
            <v>35</v>
          </cell>
        </row>
        <row r="83">
          <cell r="A83" t="str">
            <v>8160-01-184</v>
          </cell>
          <cell r="B83" t="str">
            <v>Shlomo Helinger</v>
          </cell>
          <cell r="C83" t="str">
            <v>056394026</v>
          </cell>
          <cell r="D83">
            <v>512065202</v>
          </cell>
          <cell r="F83" t="str">
            <v>שלמה הלינגר</v>
          </cell>
          <cell r="G83" t="str">
            <v>II</v>
          </cell>
          <cell r="H83" t="str">
            <v>Meitav</v>
          </cell>
          <cell r="I83">
            <v>250000</v>
          </cell>
          <cell r="J83">
            <v>3.4147254544343955E-3</v>
          </cell>
          <cell r="K83">
            <v>8543.4260391515745</v>
          </cell>
          <cell r="L83">
            <v>2192.8513187014087</v>
          </cell>
          <cell r="M83">
            <v>6350.5747204501668</v>
          </cell>
          <cell r="N83">
            <v>45</v>
          </cell>
          <cell r="O83">
            <v>6395.5747204501668</v>
          </cell>
          <cell r="P83">
            <v>11097.332409579318</v>
          </cell>
          <cell r="Q83">
            <v>12</v>
          </cell>
          <cell r="R83">
            <v>11109.332409579318</v>
          </cell>
          <cell r="S83">
            <v>17504.907130029485</v>
          </cell>
          <cell r="U83">
            <v>265.53997845827274</v>
          </cell>
          <cell r="V83">
            <v>5</v>
          </cell>
          <cell r="W83">
            <v>270.53997845827274</v>
          </cell>
          <cell r="AB83" t="str">
            <v>IRA</v>
          </cell>
          <cell r="AC83">
            <v>265.53997845827274</v>
          </cell>
          <cell r="AD83">
            <v>70</v>
          </cell>
          <cell r="AE83">
            <v>0</v>
          </cell>
          <cell r="AF83">
            <v>0</v>
          </cell>
          <cell r="AG83">
            <v>340.53997845827274</v>
          </cell>
          <cell r="AH83">
            <v>340.53997845827274</v>
          </cell>
          <cell r="AI83">
            <v>17504.907130029485</v>
          </cell>
          <cell r="AJ83">
            <v>0</v>
          </cell>
          <cell r="AK83">
            <v>131233.5</v>
          </cell>
          <cell r="AL83">
            <v>10625</v>
          </cell>
          <cell r="AM83">
            <v>0</v>
          </cell>
          <cell r="AN83">
            <v>33153</v>
          </cell>
          <cell r="AO83" t="e">
            <v>#DIV/0!</v>
          </cell>
          <cell r="AP83">
            <v>7229</v>
          </cell>
          <cell r="AQ83">
            <v>5541</v>
          </cell>
          <cell r="AR83">
            <v>19192.907130029485</v>
          </cell>
          <cell r="AS83">
            <v>17504.907130029485</v>
          </cell>
          <cell r="AT83">
            <v>0</v>
          </cell>
          <cell r="AU83">
            <v>17504.907130029485</v>
          </cell>
          <cell r="AV83">
            <v>340.53997845827274</v>
          </cell>
          <cell r="BB83">
            <v>36.76030497306192</v>
          </cell>
          <cell r="BC83">
            <v>36.76030497306192</v>
          </cell>
          <cell r="BD83">
            <v>35</v>
          </cell>
        </row>
        <row r="84">
          <cell r="A84" t="str">
            <v>8160-01-185</v>
          </cell>
          <cell r="B84" t="str">
            <v>Ran Oz</v>
          </cell>
          <cell r="C84" t="str">
            <v>059855924</v>
          </cell>
          <cell r="D84">
            <v>512065202</v>
          </cell>
          <cell r="F84" t="str">
            <v>רן מנחם עוז</v>
          </cell>
          <cell r="G84" t="str">
            <v>I</v>
          </cell>
          <cell r="H84" t="str">
            <v>Meitav</v>
          </cell>
          <cell r="I84">
            <v>250000</v>
          </cell>
          <cell r="J84">
            <v>3.4147254544343955E-3</v>
          </cell>
          <cell r="K84">
            <v>8543.4260391515745</v>
          </cell>
          <cell r="L84">
            <v>2192.8513187014087</v>
          </cell>
          <cell r="M84">
            <v>6350.5747204501668</v>
          </cell>
          <cell r="N84">
            <v>45</v>
          </cell>
          <cell r="O84">
            <v>6395.5747204501668</v>
          </cell>
          <cell r="P84">
            <v>11097.332409579318</v>
          </cell>
          <cell r="Q84">
            <v>12</v>
          </cell>
          <cell r="R84">
            <v>11109.332409579318</v>
          </cell>
          <cell r="S84">
            <v>17504.907130029485</v>
          </cell>
          <cell r="U84">
            <v>265.53997845827274</v>
          </cell>
          <cell r="V84">
            <v>5</v>
          </cell>
          <cell r="W84">
            <v>270.53997845827274</v>
          </cell>
          <cell r="AB84" t="str">
            <v>IRA</v>
          </cell>
          <cell r="AC84">
            <v>265.53997845827274</v>
          </cell>
          <cell r="AD84">
            <v>70</v>
          </cell>
          <cell r="AE84">
            <v>0</v>
          </cell>
          <cell r="AF84">
            <v>0</v>
          </cell>
          <cell r="AG84">
            <v>340.53997845827274</v>
          </cell>
          <cell r="AH84">
            <v>340.53997845827274</v>
          </cell>
          <cell r="AI84">
            <v>17504.907130029485</v>
          </cell>
          <cell r="AJ84">
            <v>83333.332999999999</v>
          </cell>
          <cell r="AK84">
            <v>47900.25</v>
          </cell>
          <cell r="AL84">
            <v>10625</v>
          </cell>
          <cell r="AM84">
            <v>0</v>
          </cell>
          <cell r="AN84">
            <v>33153</v>
          </cell>
          <cell r="AO84" t="e">
            <v>#DIV/0!</v>
          </cell>
          <cell r="AP84">
            <v>7229</v>
          </cell>
          <cell r="AQ84">
            <v>5541</v>
          </cell>
          <cell r="AR84">
            <v>19192.907130029485</v>
          </cell>
          <cell r="AS84">
            <v>17504.907130029485</v>
          </cell>
          <cell r="AT84">
            <v>0</v>
          </cell>
          <cell r="AU84">
            <v>17504.907130029485</v>
          </cell>
          <cell r="AV84">
            <v>340.53997845827274</v>
          </cell>
          <cell r="BB84">
            <v>36.76030497306192</v>
          </cell>
          <cell r="BC84">
            <v>36.76030497306192</v>
          </cell>
          <cell r="BD84">
            <v>35</v>
          </cell>
        </row>
        <row r="85">
          <cell r="A85" t="str">
            <v>8160-01-186</v>
          </cell>
          <cell r="B85" t="str">
            <v>Amotz Yarden</v>
          </cell>
          <cell r="C85">
            <v>53930681</v>
          </cell>
          <cell r="D85">
            <v>53930681</v>
          </cell>
          <cell r="F85" t="str">
            <v>אמוץ ירדן</v>
          </cell>
          <cell r="G85" t="str">
            <v>III</v>
          </cell>
          <cell r="I85">
            <v>555000</v>
          </cell>
          <cell r="J85">
            <v>7.5806905088443574E-3</v>
          </cell>
          <cell r="K85">
            <v>18966.405806916497</v>
          </cell>
          <cell r="L85">
            <v>4868.1299275171268</v>
          </cell>
          <cell r="M85">
            <v>14098.275879399369</v>
          </cell>
          <cell r="N85">
            <v>100</v>
          </cell>
          <cell r="O85">
            <v>14198.275879399369</v>
          </cell>
          <cell r="P85">
            <v>24636.077949266084</v>
          </cell>
          <cell r="Q85">
            <v>26</v>
          </cell>
          <cell r="R85">
            <v>24662.077949266084</v>
          </cell>
          <cell r="S85">
            <v>38860.353828665451</v>
          </cell>
          <cell r="T85">
            <v>3549.5689698498422</v>
          </cell>
          <cell r="U85">
            <v>589.49875217736542</v>
          </cell>
          <cell r="V85">
            <v>12</v>
          </cell>
          <cell r="W85">
            <v>601.49875217736542</v>
          </cell>
          <cell r="X85">
            <v>-601.49875217736542</v>
          </cell>
          <cell r="Y85">
            <v>2948.0702176724767</v>
          </cell>
          <cell r="Z85">
            <v>13</v>
          </cell>
          <cell r="AA85">
            <v>2961.0702176724767</v>
          </cell>
          <cell r="AB85" t="str">
            <v>X</v>
          </cell>
          <cell r="AD85">
            <v>155</v>
          </cell>
          <cell r="AE85">
            <v>180</v>
          </cell>
          <cell r="AF85">
            <v>3141.0702176724767</v>
          </cell>
          <cell r="AG85">
            <v>756.49875217736542</v>
          </cell>
          <cell r="AH85">
            <v>3897.5689698498422</v>
          </cell>
          <cell r="AI85">
            <v>35899.283610992978</v>
          </cell>
          <cell r="AJ85">
            <v>0</v>
          </cell>
          <cell r="AK85">
            <v>0</v>
          </cell>
          <cell r="AL85">
            <v>314926</v>
          </cell>
          <cell r="AM85">
            <v>0</v>
          </cell>
          <cell r="AN85">
            <v>73600</v>
          </cell>
          <cell r="AO85" t="str">
            <v>Zero investment in 2019</v>
          </cell>
          <cell r="AP85">
            <v>16048</v>
          </cell>
          <cell r="AQ85">
            <v>12300</v>
          </cell>
          <cell r="AR85">
            <v>42608.353828665451</v>
          </cell>
          <cell r="AS85">
            <v>38860.353828665451</v>
          </cell>
          <cell r="AT85">
            <v>2948.0702176724767</v>
          </cell>
          <cell r="AU85">
            <v>35899.283610992978</v>
          </cell>
          <cell r="AV85">
            <v>3897.5689698498422</v>
          </cell>
          <cell r="BB85">
            <v>75.388495583085245</v>
          </cell>
          <cell r="BC85">
            <v>75.388495583085245</v>
          </cell>
          <cell r="BD85">
            <v>35</v>
          </cell>
        </row>
        <row r="86">
          <cell r="A86" t="str">
            <v>8160-01-187</v>
          </cell>
          <cell r="B86" t="str">
            <v>Eli Amit</v>
          </cell>
          <cell r="C86" t="str">
            <v>525944900</v>
          </cell>
          <cell r="D86">
            <v>525944900</v>
          </cell>
          <cell r="F86" t="str">
            <v>אלי עמית</v>
          </cell>
          <cell r="G86" t="str">
            <v>III</v>
          </cell>
          <cell r="H86" t="str">
            <v>Kal-Gemel</v>
          </cell>
          <cell r="I86">
            <v>290000</v>
          </cell>
          <cell r="J86">
            <v>3.9610815271438988E-3</v>
          </cell>
          <cell r="K86">
            <v>9910.3742054158283</v>
          </cell>
          <cell r="L86">
            <v>2543.7075296936341</v>
          </cell>
          <cell r="M86">
            <v>7366.6666757221938</v>
          </cell>
          <cell r="N86">
            <v>52</v>
          </cell>
          <cell r="O86">
            <v>7418.6666757221938</v>
          </cell>
          <cell r="P86">
            <v>12872.905595112008</v>
          </cell>
          <cell r="Q86">
            <v>13</v>
          </cell>
          <cell r="R86">
            <v>12885.905595112008</v>
          </cell>
          <cell r="S86">
            <v>20304.5722708342</v>
          </cell>
          <cell r="U86">
            <v>308.02637501159637</v>
          </cell>
          <cell r="V86">
            <v>6</v>
          </cell>
          <cell r="W86">
            <v>314.02637501159637</v>
          </cell>
          <cell r="AB86" t="str">
            <v>IRA</v>
          </cell>
          <cell r="AC86">
            <v>308.02637501159637</v>
          </cell>
          <cell r="AD86">
            <v>81</v>
          </cell>
          <cell r="AE86">
            <v>0</v>
          </cell>
          <cell r="AF86">
            <v>0</v>
          </cell>
          <cell r="AG86">
            <v>395.02637501159637</v>
          </cell>
          <cell r="AH86">
            <v>395.02637501159637</v>
          </cell>
          <cell r="AI86">
            <v>20304.5722708342</v>
          </cell>
          <cell r="AJ86">
            <v>0</v>
          </cell>
          <cell r="AK86">
            <v>0</v>
          </cell>
          <cell r="AL86">
            <v>164556</v>
          </cell>
          <cell r="AM86">
            <v>0</v>
          </cell>
          <cell r="AN86">
            <v>38458</v>
          </cell>
          <cell r="AO86" t="str">
            <v>Zero investment in 2019</v>
          </cell>
          <cell r="AP86">
            <v>8386</v>
          </cell>
          <cell r="AQ86">
            <v>6427</v>
          </cell>
          <cell r="AR86">
            <v>22263.5722708342</v>
          </cell>
          <cell r="AS86">
            <v>20304.5722708342</v>
          </cell>
          <cell r="AT86">
            <v>0</v>
          </cell>
          <cell r="AU86">
            <v>20304.5722708342</v>
          </cell>
          <cell r="AV86">
            <v>395.02637501159637</v>
          </cell>
          <cell r="BB86">
            <v>42.639601768751817</v>
          </cell>
          <cell r="BC86">
            <v>42.639601768751817</v>
          </cell>
          <cell r="BD86">
            <v>35</v>
          </cell>
        </row>
        <row r="87">
          <cell r="A87" t="str">
            <v>8160-01-188</v>
          </cell>
          <cell r="B87" t="str">
            <v>Yoram &amp; Smadar Gurwich</v>
          </cell>
          <cell r="C87" t="str">
            <v>Yoram- 064445661
Smadar - 054119714</v>
          </cell>
          <cell r="D87" t="str">
            <v>Yoram- 064445661
Smadar - 054119714</v>
          </cell>
          <cell r="F87" t="str">
            <v>יורם גורביץ וסמדר גורביץ</v>
          </cell>
          <cell r="G87" t="str">
            <v>III</v>
          </cell>
          <cell r="I87">
            <v>250000</v>
          </cell>
          <cell r="J87">
            <v>3.4147254544343955E-3</v>
          </cell>
          <cell r="K87">
            <v>8543.4260391515745</v>
          </cell>
          <cell r="L87">
            <v>2192.8513187014087</v>
          </cell>
          <cell r="M87">
            <v>6350.5747204501668</v>
          </cell>
          <cell r="N87">
            <v>45</v>
          </cell>
          <cell r="O87">
            <v>6395.5747204501668</v>
          </cell>
          <cell r="P87">
            <v>11097.332409579318</v>
          </cell>
          <cell r="Q87">
            <v>12</v>
          </cell>
          <cell r="R87">
            <v>11109.332409579318</v>
          </cell>
          <cell r="S87">
            <v>17504.907130029485</v>
          </cell>
          <cell r="T87">
            <v>1598.8936801125417</v>
          </cell>
          <cell r="U87">
            <v>265.53997845827274</v>
          </cell>
          <cell r="V87">
            <v>5</v>
          </cell>
          <cell r="W87">
            <v>270.53997845827274</v>
          </cell>
          <cell r="X87">
            <v>-270.53997845827274</v>
          </cell>
          <cell r="Y87">
            <v>1328.3537016542689</v>
          </cell>
          <cell r="Z87">
            <v>6</v>
          </cell>
          <cell r="AA87">
            <v>1334.3537016542689</v>
          </cell>
          <cell r="AB87" t="str">
            <v>X</v>
          </cell>
          <cell r="AD87">
            <v>70</v>
          </cell>
          <cell r="AE87">
            <v>81</v>
          </cell>
          <cell r="AF87">
            <v>1415.3537016542689</v>
          </cell>
          <cell r="AG87">
            <v>340.53997845827274</v>
          </cell>
          <cell r="AH87">
            <v>1755.8936801125417</v>
          </cell>
          <cell r="AI87">
            <v>16170.553428375217</v>
          </cell>
          <cell r="AJ87">
            <v>0</v>
          </cell>
          <cell r="AK87">
            <v>0</v>
          </cell>
          <cell r="AL87">
            <v>141858</v>
          </cell>
          <cell r="AM87">
            <v>0</v>
          </cell>
          <cell r="AN87">
            <v>33153</v>
          </cell>
          <cell r="AO87" t="str">
            <v>Zero investment in 2019</v>
          </cell>
          <cell r="AP87">
            <v>7229</v>
          </cell>
          <cell r="AQ87">
            <v>5541</v>
          </cell>
          <cell r="AR87">
            <v>19192.907130029485</v>
          </cell>
          <cell r="AS87">
            <v>17504.907130029485</v>
          </cell>
          <cell r="AT87">
            <v>1328.3537016542689</v>
          </cell>
          <cell r="AU87">
            <v>16170.553428375217</v>
          </cell>
          <cell r="AV87">
            <v>1755.8936801125417</v>
          </cell>
          <cell r="BB87">
            <v>33.958162199587953</v>
          </cell>
          <cell r="BC87">
            <v>33.958162199587953</v>
          </cell>
          <cell r="BD87">
            <v>35</v>
          </cell>
        </row>
        <row r="88">
          <cell r="A88" t="str">
            <v>8160-01-189</v>
          </cell>
          <cell r="B88" t="str">
            <v>Channa Sharef</v>
          </cell>
          <cell r="C88" t="str">
            <v>001075324</v>
          </cell>
          <cell r="D88">
            <v>512065202</v>
          </cell>
          <cell r="F88" t="str">
            <v>חנה שרף</v>
          </cell>
          <cell r="G88" t="str">
            <v>III</v>
          </cell>
          <cell r="H88" t="str">
            <v>Meitav</v>
          </cell>
          <cell r="I88">
            <v>250000</v>
          </cell>
          <cell r="J88">
            <v>3.4147254544343955E-3</v>
          </cell>
          <cell r="K88">
            <v>8543.4260391515745</v>
          </cell>
          <cell r="L88">
            <v>2192.8513187014087</v>
          </cell>
          <cell r="M88">
            <v>6350.5747204501668</v>
          </cell>
          <cell r="N88">
            <v>45</v>
          </cell>
          <cell r="O88">
            <v>6395.5747204501668</v>
          </cell>
          <cell r="P88">
            <v>11097.332409579318</v>
          </cell>
          <cell r="Q88">
            <v>12</v>
          </cell>
          <cell r="R88">
            <v>11109.332409579318</v>
          </cell>
          <cell r="S88">
            <v>17504.907130029485</v>
          </cell>
          <cell r="U88">
            <v>265.53997845827274</v>
          </cell>
          <cell r="V88">
            <v>5</v>
          </cell>
          <cell r="W88">
            <v>270.53997845827274</v>
          </cell>
          <cell r="AB88" t="str">
            <v>IRA</v>
          </cell>
          <cell r="AC88">
            <v>265.53997845827274</v>
          </cell>
          <cell r="AD88">
            <v>70</v>
          </cell>
          <cell r="AE88">
            <v>0</v>
          </cell>
          <cell r="AF88">
            <v>0</v>
          </cell>
          <cell r="AG88">
            <v>340.53997845827274</v>
          </cell>
          <cell r="AH88">
            <v>340.53997845827274</v>
          </cell>
          <cell r="AI88">
            <v>17504.907130029485</v>
          </cell>
          <cell r="AJ88">
            <v>0</v>
          </cell>
          <cell r="AK88">
            <v>0</v>
          </cell>
          <cell r="AL88">
            <v>141858</v>
          </cell>
          <cell r="AM88">
            <v>0</v>
          </cell>
          <cell r="AN88">
            <v>33153</v>
          </cell>
          <cell r="AO88" t="str">
            <v>Zero investment in 2019</v>
          </cell>
          <cell r="AP88">
            <v>7229</v>
          </cell>
          <cell r="AQ88">
            <v>5541</v>
          </cell>
          <cell r="AR88">
            <v>19192.907130029485</v>
          </cell>
          <cell r="AS88">
            <v>17504.907130029485</v>
          </cell>
          <cell r="AT88">
            <v>0</v>
          </cell>
          <cell r="AU88">
            <v>17504.907130029485</v>
          </cell>
          <cell r="AV88">
            <v>340.53997845827274</v>
          </cell>
          <cell r="BB88">
            <v>36.76030497306192</v>
          </cell>
          <cell r="BC88">
            <v>36.76030497306192</v>
          </cell>
          <cell r="BD88">
            <v>35</v>
          </cell>
        </row>
        <row r="89">
          <cell r="A89" t="str">
            <v>8160-01-190</v>
          </cell>
          <cell r="B89" t="str">
            <v>Yair Amit</v>
          </cell>
          <cell r="C89" t="str">
            <v>038757068</v>
          </cell>
          <cell r="D89">
            <v>38757068</v>
          </cell>
          <cell r="F89" t="str">
            <v>יאיר עמית</v>
          </cell>
          <cell r="G89" t="str">
            <v>III</v>
          </cell>
          <cell r="I89">
            <v>250000</v>
          </cell>
          <cell r="J89">
            <v>3.4147254544343955E-3</v>
          </cell>
          <cell r="K89">
            <v>8543.4260391515745</v>
          </cell>
          <cell r="L89">
            <v>2192.8513187014087</v>
          </cell>
          <cell r="M89">
            <v>6350.5747204501668</v>
          </cell>
          <cell r="N89">
            <v>45</v>
          </cell>
          <cell r="O89">
            <v>6395.5747204501668</v>
          </cell>
          <cell r="P89">
            <v>11097.332409579318</v>
          </cell>
          <cell r="Q89">
            <v>12</v>
          </cell>
          <cell r="R89">
            <v>11109.332409579318</v>
          </cell>
          <cell r="S89">
            <v>17504.907130029485</v>
          </cell>
          <cell r="T89">
            <v>1598.8936801125417</v>
          </cell>
          <cell r="U89">
            <v>265.53997845827274</v>
          </cell>
          <cell r="V89">
            <v>5</v>
          </cell>
          <cell r="W89">
            <v>270.53997845827274</v>
          </cell>
          <cell r="X89">
            <v>-270.53997845827274</v>
          </cell>
          <cell r="Y89">
            <v>1328.3537016542689</v>
          </cell>
          <cell r="Z89">
            <v>6</v>
          </cell>
          <cell r="AA89">
            <v>1334.3537016542689</v>
          </cell>
          <cell r="AB89" t="str">
            <v>X</v>
          </cell>
          <cell r="AD89">
            <v>70</v>
          </cell>
          <cell r="AE89">
            <v>81</v>
          </cell>
          <cell r="AF89">
            <v>1415.3537016542689</v>
          </cell>
          <cell r="AG89">
            <v>340.53997845827274</v>
          </cell>
          <cell r="AH89">
            <v>1755.8936801125417</v>
          </cell>
          <cell r="AI89">
            <v>16170.553428375217</v>
          </cell>
          <cell r="AJ89">
            <v>0</v>
          </cell>
          <cell r="AK89">
            <v>0</v>
          </cell>
          <cell r="AL89">
            <v>141858</v>
          </cell>
          <cell r="AM89">
            <v>0</v>
          </cell>
          <cell r="AN89">
            <v>33153</v>
          </cell>
          <cell r="AO89" t="str">
            <v>Zero investment in 2019</v>
          </cell>
          <cell r="AP89">
            <v>7228.9</v>
          </cell>
          <cell r="AQ89">
            <v>5541</v>
          </cell>
          <cell r="AR89">
            <v>19192.807130029483</v>
          </cell>
          <cell r="AS89">
            <v>17504.907130029485</v>
          </cell>
          <cell r="AT89">
            <v>1328.3537016542689</v>
          </cell>
          <cell r="AU89">
            <v>16170.553428375217</v>
          </cell>
          <cell r="AV89">
            <v>1755.8936801125417</v>
          </cell>
          <cell r="BB89">
            <v>33.958162199587953</v>
          </cell>
          <cell r="BC89">
            <v>33.958162199587953</v>
          </cell>
          <cell r="BD89">
            <v>35</v>
          </cell>
        </row>
        <row r="90">
          <cell r="A90" t="str">
            <v>8160-01-191</v>
          </cell>
          <cell r="B90" t="str">
            <v>Ariel Cohen</v>
          </cell>
          <cell r="C90" t="str">
            <v>Ariel - 056164510
Nurit - 022583181</v>
          </cell>
          <cell r="D90" t="str">
            <v>Ariel - 056164510
Nurit - 022583181</v>
          </cell>
          <cell r="F90" t="str">
            <v>אריאל כהן ונורית כהן</v>
          </cell>
          <cell r="G90" t="str">
            <v>III</v>
          </cell>
          <cell r="I90">
            <v>300000</v>
          </cell>
          <cell r="J90">
            <v>4.0976705453212746E-3</v>
          </cell>
          <cell r="K90">
            <v>10252.111246981891</v>
          </cell>
          <cell r="L90">
            <v>2631.4215824416906</v>
          </cell>
          <cell r="M90">
            <v>7620.6896645402003</v>
          </cell>
          <cell r="N90">
            <v>54</v>
          </cell>
          <cell r="O90">
            <v>7674.6896645402003</v>
          </cell>
          <cell r="P90">
            <v>13316.798891495182</v>
          </cell>
          <cell r="Q90">
            <v>14</v>
          </cell>
          <cell r="R90">
            <v>13330.798891495182</v>
          </cell>
          <cell r="S90">
            <v>21005.488556035383</v>
          </cell>
          <cell r="T90">
            <v>1918.6724161350501</v>
          </cell>
          <cell r="U90">
            <v>318.64797414992728</v>
          </cell>
          <cell r="V90">
            <v>6</v>
          </cell>
          <cell r="W90">
            <v>324.64797414992728</v>
          </cell>
          <cell r="X90">
            <v>-324.64797414992728</v>
          </cell>
          <cell r="Y90">
            <v>1594.0244419851228</v>
          </cell>
          <cell r="Z90">
            <v>7</v>
          </cell>
          <cell r="AA90">
            <v>1601.0244419851228</v>
          </cell>
          <cell r="AB90" t="str">
            <v>X</v>
          </cell>
          <cell r="AD90">
            <v>84</v>
          </cell>
          <cell r="AE90">
            <v>98</v>
          </cell>
          <cell r="AF90">
            <v>1699.0244419851228</v>
          </cell>
          <cell r="AG90">
            <v>408.64797414992728</v>
          </cell>
          <cell r="AH90">
            <v>2107.6724161350503</v>
          </cell>
          <cell r="AI90">
            <v>19404.464114050261</v>
          </cell>
          <cell r="AJ90">
            <v>0</v>
          </cell>
          <cell r="AK90">
            <v>0</v>
          </cell>
          <cell r="AL90">
            <v>170230</v>
          </cell>
          <cell r="AM90">
            <v>0</v>
          </cell>
          <cell r="AN90">
            <v>39784</v>
          </cell>
          <cell r="AO90" t="str">
            <v>Zero investment in 2019</v>
          </cell>
          <cell r="AP90">
            <v>8675</v>
          </cell>
          <cell r="AQ90">
            <v>6649</v>
          </cell>
          <cell r="AR90">
            <v>23031.488556035383</v>
          </cell>
          <cell r="AS90">
            <v>21005.488556035383</v>
          </cell>
          <cell r="AT90">
            <v>1594.0244419851228</v>
          </cell>
          <cell r="AU90">
            <v>19404.464114050261</v>
          </cell>
          <cell r="AV90">
            <v>2107.6724161350503</v>
          </cell>
          <cell r="BB90">
            <v>40.749374639505547</v>
          </cell>
          <cell r="BC90">
            <v>40.749374639505547</v>
          </cell>
          <cell r="BD90">
            <v>35</v>
          </cell>
        </row>
        <row r="91">
          <cell r="A91" t="str">
            <v>8160-01-192</v>
          </cell>
          <cell r="B91" t="str">
            <v>Ranuman LTD</v>
          </cell>
          <cell r="C91">
            <v>514201912</v>
          </cell>
          <cell r="D91">
            <v>514201912</v>
          </cell>
          <cell r="E91" t="str">
            <v>Ranuman LTD</v>
          </cell>
          <cell r="F91" t="str">
            <v>רנאומן בע"מ</v>
          </cell>
          <cell r="G91" t="str">
            <v>III</v>
          </cell>
          <cell r="I91">
            <v>500000</v>
          </cell>
          <cell r="J91">
            <v>6.8294509088687909E-3</v>
          </cell>
          <cell r="K91">
            <v>17086.852078303149</v>
          </cell>
          <cell r="L91">
            <v>4385.7026374028173</v>
          </cell>
          <cell r="M91">
            <v>12701.149440900334</v>
          </cell>
          <cell r="N91">
            <v>90</v>
          </cell>
          <cell r="O91">
            <v>12791.149440900334</v>
          </cell>
          <cell r="P91">
            <v>22194.664819158636</v>
          </cell>
          <cell r="Q91">
            <v>23</v>
          </cell>
          <cell r="R91">
            <v>22217.664819158636</v>
          </cell>
          <cell r="S91">
            <v>35008.814260058971</v>
          </cell>
          <cell r="U91">
            <v>531.07995691654548</v>
          </cell>
          <cell r="V91">
            <v>10</v>
          </cell>
          <cell r="W91">
            <v>541.07995691654548</v>
          </cell>
          <cell r="AB91" t="str">
            <v>V</v>
          </cell>
          <cell r="AC91">
            <v>531.07995691654548</v>
          </cell>
          <cell r="AD91">
            <v>140</v>
          </cell>
          <cell r="AF91">
            <v>0</v>
          </cell>
          <cell r="AG91">
            <v>681.07995691654548</v>
          </cell>
          <cell r="AH91">
            <v>681.07995691654548</v>
          </cell>
          <cell r="AI91">
            <v>35008.814260058971</v>
          </cell>
          <cell r="AJ91" t="e">
            <v>#N/A</v>
          </cell>
          <cell r="AK91" t="e">
            <v>#N/A</v>
          </cell>
          <cell r="AL91" t="e">
            <v>#N/A</v>
          </cell>
          <cell r="AM91" t="e">
            <v>#N/A</v>
          </cell>
          <cell r="AN91" t="e">
            <v>#N/A</v>
          </cell>
          <cell r="AO91" t="str">
            <v>Zero investment in 2019</v>
          </cell>
          <cell r="AP91">
            <v>14458</v>
          </cell>
          <cell r="AQ91">
            <v>11081</v>
          </cell>
          <cell r="AR91">
            <v>38385.814260058971</v>
          </cell>
          <cell r="AS91">
            <v>35008.814260058971</v>
          </cell>
          <cell r="AT91">
            <v>0</v>
          </cell>
          <cell r="AU91">
            <v>35008.814260058971</v>
          </cell>
          <cell r="AV91">
            <v>681.07995691654548</v>
          </cell>
          <cell r="BB91">
            <v>73.518509946123828</v>
          </cell>
          <cell r="BC91">
            <v>73.518509946123828</v>
          </cell>
          <cell r="BD91">
            <v>35</v>
          </cell>
        </row>
        <row r="92">
          <cell r="A92" t="str">
            <v>8160-01-193</v>
          </cell>
          <cell r="B92" t="str">
            <v>Gabriela Avron</v>
          </cell>
          <cell r="C92" t="str">
            <v>026127795</v>
          </cell>
          <cell r="D92">
            <v>26127795</v>
          </cell>
          <cell r="F92" t="str">
            <v>גבריאלה אברון</v>
          </cell>
          <cell r="G92" t="str">
            <v>III</v>
          </cell>
          <cell r="I92">
            <v>150000</v>
          </cell>
          <cell r="J92">
            <v>2.0488352726606373E-3</v>
          </cell>
          <cell r="K92">
            <v>5126.0556234909454</v>
          </cell>
          <cell r="L92">
            <v>1315.7107912208453</v>
          </cell>
          <cell r="M92">
            <v>3810.3448322701001</v>
          </cell>
          <cell r="N92">
            <v>27</v>
          </cell>
          <cell r="O92">
            <v>3837.3448322701001</v>
          </cell>
          <cell r="P92">
            <v>6658.399445747591</v>
          </cell>
          <cell r="Q92">
            <v>7</v>
          </cell>
          <cell r="R92">
            <v>6665.399445747591</v>
          </cell>
          <cell r="S92">
            <v>10502.744278017692</v>
          </cell>
          <cell r="T92">
            <v>959.33620806752504</v>
          </cell>
          <cell r="U92">
            <v>159.32398707496364</v>
          </cell>
          <cell r="V92">
            <v>3</v>
          </cell>
          <cell r="W92">
            <v>162.32398707496364</v>
          </cell>
          <cell r="X92">
            <v>-162.32398707496364</v>
          </cell>
          <cell r="Y92">
            <v>797.01222099256142</v>
          </cell>
          <cell r="Z92">
            <v>4</v>
          </cell>
          <cell r="AA92">
            <v>801.01222099256142</v>
          </cell>
          <cell r="AB92" t="str">
            <v>X</v>
          </cell>
          <cell r="AD92">
            <v>42</v>
          </cell>
          <cell r="AE92">
            <v>49</v>
          </cell>
          <cell r="AF92">
            <v>850.01222099256142</v>
          </cell>
          <cell r="AG92">
            <v>204.32398707496364</v>
          </cell>
          <cell r="AH92">
            <v>1054.3362080675251</v>
          </cell>
          <cell r="AI92">
            <v>9701.7320570251304</v>
          </cell>
          <cell r="AJ92">
            <v>0</v>
          </cell>
          <cell r="AK92">
            <v>0</v>
          </cell>
          <cell r="AL92">
            <v>85112.5</v>
          </cell>
          <cell r="AM92">
            <v>0</v>
          </cell>
          <cell r="AN92">
            <v>19891.5</v>
          </cell>
          <cell r="AO92" t="str">
            <v>Zero investment in 2019</v>
          </cell>
          <cell r="AP92">
            <v>4337</v>
          </cell>
          <cell r="AQ92">
            <v>3324</v>
          </cell>
          <cell r="AR92">
            <v>11515.744278017692</v>
          </cell>
          <cell r="AS92">
            <v>10502.744278017692</v>
          </cell>
          <cell r="AT92">
            <v>797.01222099256142</v>
          </cell>
          <cell r="AU92">
            <v>9701.7320570251304</v>
          </cell>
          <cell r="AV92">
            <v>1054.3362080675251</v>
          </cell>
          <cell r="BB92">
            <v>20.373637319752774</v>
          </cell>
          <cell r="BC92">
            <v>20.373637319752774</v>
          </cell>
          <cell r="BD92">
            <v>35</v>
          </cell>
        </row>
        <row r="93">
          <cell r="A93" t="str">
            <v>8160-01-194</v>
          </cell>
          <cell r="B93" t="str">
            <v>Ilan Cohen</v>
          </cell>
          <cell r="C93" t="str">
            <v>058105131</v>
          </cell>
          <cell r="D93">
            <v>58105131</v>
          </cell>
          <cell r="F93" t="str">
            <v>אילן כהן</v>
          </cell>
          <cell r="G93" t="str">
            <v>III</v>
          </cell>
          <cell r="I93">
            <v>100000</v>
          </cell>
          <cell r="J93">
            <v>1.3658901817737582E-3</v>
          </cell>
          <cell r="K93">
            <v>3417.37041566063</v>
          </cell>
          <cell r="L93">
            <v>877.14052748056349</v>
          </cell>
          <cell r="M93">
            <v>2540.2298881800666</v>
          </cell>
          <cell r="N93">
            <v>18</v>
          </cell>
          <cell r="O93">
            <v>2558.2298881800666</v>
          </cell>
          <cell r="P93">
            <v>4438.9329638317267</v>
          </cell>
          <cell r="Q93">
            <v>5</v>
          </cell>
          <cell r="R93">
            <v>4443.9329638317267</v>
          </cell>
          <cell r="S93">
            <v>7002.1628520117938</v>
          </cell>
          <cell r="T93">
            <v>639.55747204501665</v>
          </cell>
          <cell r="U93">
            <v>106.21599138330909</v>
          </cell>
          <cell r="V93">
            <v>2</v>
          </cell>
          <cell r="W93">
            <v>108.21599138330909</v>
          </cell>
          <cell r="X93">
            <v>-108.21599138330909</v>
          </cell>
          <cell r="Y93">
            <v>531.34148066170758</v>
          </cell>
          <cell r="Z93">
            <v>2</v>
          </cell>
          <cell r="AA93">
            <v>533.34148066170758</v>
          </cell>
          <cell r="AB93" t="str">
            <v>X</v>
          </cell>
          <cell r="AD93">
            <v>28</v>
          </cell>
          <cell r="AE93">
            <v>33</v>
          </cell>
          <cell r="AF93">
            <v>566.34148066170758</v>
          </cell>
          <cell r="AG93">
            <v>136.21599138330907</v>
          </cell>
          <cell r="AH93">
            <v>702.55747204501665</v>
          </cell>
          <cell r="AI93">
            <v>6468.8213713500863</v>
          </cell>
          <cell r="AJ93">
            <v>0</v>
          </cell>
          <cell r="AK93">
            <v>0</v>
          </cell>
          <cell r="AL93">
            <v>56743</v>
          </cell>
          <cell r="AM93">
            <v>0</v>
          </cell>
          <cell r="AN93">
            <v>13261</v>
          </cell>
          <cell r="AO93" t="str">
            <v>Zero investment in 2019</v>
          </cell>
          <cell r="AP93">
            <v>2892</v>
          </cell>
          <cell r="AQ93">
            <v>2216</v>
          </cell>
          <cell r="AR93">
            <v>7678.1628520117938</v>
          </cell>
          <cell r="AS93">
            <v>7002.1628520117938</v>
          </cell>
          <cell r="AT93">
            <v>531.34148066170758</v>
          </cell>
          <cell r="AU93">
            <v>6468.8213713500863</v>
          </cell>
          <cell r="AV93">
            <v>702.55747204501665</v>
          </cell>
          <cell r="BB93">
            <v>13.584524879835181</v>
          </cell>
          <cell r="BC93">
            <v>18</v>
          </cell>
          <cell r="BD93">
            <v>35</v>
          </cell>
        </row>
        <row r="94">
          <cell r="A94" t="str">
            <v>8160-01-195</v>
          </cell>
          <cell r="B94" t="str">
            <v>Kopelman LTD</v>
          </cell>
          <cell r="C94">
            <v>510204555</v>
          </cell>
          <cell r="D94">
            <v>510204555</v>
          </cell>
          <cell r="E94" t="str">
            <v>Kopelman LTD</v>
          </cell>
          <cell r="F94" t="str">
            <v>חברת קופלמן בע"מ</v>
          </cell>
          <cell r="G94" t="str">
            <v>III</v>
          </cell>
          <cell r="I94">
            <v>250000</v>
          </cell>
          <cell r="J94">
            <v>3.4147254544343955E-3</v>
          </cell>
          <cell r="K94">
            <v>8543.4260391515745</v>
          </cell>
          <cell r="L94">
            <v>2192.8513187014087</v>
          </cell>
          <cell r="M94">
            <v>6350.5747204501668</v>
          </cell>
          <cell r="N94">
            <v>45</v>
          </cell>
          <cell r="O94">
            <v>6395.5747204501668</v>
          </cell>
          <cell r="P94">
            <v>11097.332409579318</v>
          </cell>
          <cell r="Q94">
            <v>12</v>
          </cell>
          <cell r="R94">
            <v>11109.332409579318</v>
          </cell>
          <cell r="S94">
            <v>17504.907130029485</v>
          </cell>
          <cell r="T94">
            <v>1598.8936801125417</v>
          </cell>
          <cell r="U94">
            <v>265.53997845827274</v>
          </cell>
          <cell r="V94">
            <v>5</v>
          </cell>
          <cell r="W94">
            <v>270.53997845827274</v>
          </cell>
          <cell r="X94">
            <v>-270.53997845827274</v>
          </cell>
          <cell r="Y94">
            <v>1328.3537016542689</v>
          </cell>
          <cell r="Z94">
            <v>6</v>
          </cell>
          <cell r="AA94">
            <v>1334.3537016542689</v>
          </cell>
          <cell r="AB94" t="str">
            <v>X</v>
          </cell>
          <cell r="AD94">
            <v>70</v>
          </cell>
          <cell r="AE94">
            <v>81</v>
          </cell>
          <cell r="AF94">
            <v>1415.3537016542689</v>
          </cell>
          <cell r="AG94">
            <v>340.53997845827274</v>
          </cell>
          <cell r="AH94">
            <v>1755.8936801125417</v>
          </cell>
          <cell r="AI94">
            <v>16170.553428375217</v>
          </cell>
          <cell r="AJ94" t="e">
            <v>#N/A</v>
          </cell>
          <cell r="AK94" t="e">
            <v>#N/A</v>
          </cell>
          <cell r="AL94" t="e">
            <v>#N/A</v>
          </cell>
          <cell r="AM94" t="e">
            <v>#N/A</v>
          </cell>
          <cell r="AN94" t="e">
            <v>#N/A</v>
          </cell>
          <cell r="AO94" t="str">
            <v>Zero investment in 2019</v>
          </cell>
          <cell r="AP94">
            <v>7229</v>
          </cell>
          <cell r="AQ94">
            <v>5541</v>
          </cell>
          <cell r="AR94">
            <v>19192.907130029485</v>
          </cell>
          <cell r="AS94">
            <v>17504.907130029485</v>
          </cell>
          <cell r="AT94">
            <v>1328.3537016542689</v>
          </cell>
          <cell r="AU94">
            <v>16170.553428375217</v>
          </cell>
          <cell r="AV94">
            <v>1755.8936801125417</v>
          </cell>
          <cell r="BB94">
            <v>33.958162199587953</v>
          </cell>
          <cell r="BC94">
            <v>33.958162199587953</v>
          </cell>
          <cell r="BD94">
            <v>35</v>
          </cell>
        </row>
        <row r="95">
          <cell r="A95" t="str">
            <v>8160-01-196</v>
          </cell>
          <cell r="B95" t="str">
            <v>Michael lutzky</v>
          </cell>
          <cell r="C95" t="str">
            <v>07518861</v>
          </cell>
          <cell r="D95">
            <v>7518861</v>
          </cell>
          <cell r="F95" t="str">
            <v>מיכאל לוצקי</v>
          </cell>
          <cell r="G95" t="str">
            <v>III</v>
          </cell>
          <cell r="I95">
            <v>300000</v>
          </cell>
          <cell r="J95">
            <v>4.0976705453212746E-3</v>
          </cell>
          <cell r="K95">
            <v>10252.111246981891</v>
          </cell>
          <cell r="L95">
            <v>2631.4215824416906</v>
          </cell>
          <cell r="M95">
            <v>7620.6896645402003</v>
          </cell>
          <cell r="N95">
            <v>54</v>
          </cell>
          <cell r="O95">
            <v>7674.6896645402003</v>
          </cell>
          <cell r="P95">
            <v>13316.798891495182</v>
          </cell>
          <cell r="Q95">
            <v>14</v>
          </cell>
          <cell r="R95">
            <v>13330.798891495182</v>
          </cell>
          <cell r="S95">
            <v>21005.488556035383</v>
          </cell>
          <cell r="T95">
            <v>1918.6724161350501</v>
          </cell>
          <cell r="U95">
            <v>318.64797414992728</v>
          </cell>
          <cell r="V95">
            <v>6</v>
          </cell>
          <cell r="W95">
            <v>324.64797414992728</v>
          </cell>
          <cell r="X95">
            <v>-324.64797414992728</v>
          </cell>
          <cell r="Y95">
            <v>1594.0244419851228</v>
          </cell>
          <cell r="Z95">
            <v>7</v>
          </cell>
          <cell r="AA95">
            <v>1601.0244419851228</v>
          </cell>
          <cell r="AB95" t="str">
            <v>X</v>
          </cell>
          <cell r="AD95">
            <v>84</v>
          </cell>
          <cell r="AE95">
            <v>98</v>
          </cell>
          <cell r="AF95">
            <v>1699.0244419851228</v>
          </cell>
          <cell r="AG95">
            <v>408.64797414992728</v>
          </cell>
          <cell r="AH95">
            <v>2107.6724161350503</v>
          </cell>
          <cell r="AI95">
            <v>19404.464114050261</v>
          </cell>
          <cell r="AJ95">
            <v>0</v>
          </cell>
          <cell r="AK95">
            <v>0</v>
          </cell>
          <cell r="AL95">
            <v>170230</v>
          </cell>
          <cell r="AM95">
            <v>0</v>
          </cell>
          <cell r="AN95">
            <v>39784</v>
          </cell>
          <cell r="AO95" t="str">
            <v>Zero investment in 2019</v>
          </cell>
          <cell r="AP95">
            <v>8675</v>
          </cell>
          <cell r="AQ95">
            <v>6649</v>
          </cell>
          <cell r="AR95">
            <v>23031.488556035383</v>
          </cell>
          <cell r="AS95">
            <v>21005.488556035383</v>
          </cell>
          <cell r="AT95">
            <v>1594.0244419851228</v>
          </cell>
          <cell r="AU95">
            <v>19404.464114050261</v>
          </cell>
          <cell r="AV95">
            <v>2107.6724161350503</v>
          </cell>
          <cell r="BB95">
            <v>40.749374639505547</v>
          </cell>
          <cell r="BC95">
            <v>40.749374639505547</v>
          </cell>
          <cell r="BD95">
            <v>35</v>
          </cell>
        </row>
        <row r="96">
          <cell r="A96" t="str">
            <v>8160-01-197</v>
          </cell>
          <cell r="B96" t="str">
            <v>Nirit Leshem</v>
          </cell>
          <cell r="C96">
            <v>56158298</v>
          </cell>
          <cell r="D96">
            <v>56158298</v>
          </cell>
          <cell r="F96" t="str">
            <v>נירית לשם</v>
          </cell>
          <cell r="G96" t="str">
            <v>III</v>
          </cell>
          <cell r="I96">
            <v>250000</v>
          </cell>
          <cell r="J96">
            <v>3.4147254544343955E-3</v>
          </cell>
          <cell r="K96">
            <v>8543.4260391515745</v>
          </cell>
          <cell r="L96">
            <v>2192.8513187014087</v>
          </cell>
          <cell r="M96">
            <v>6350.5747204501668</v>
          </cell>
          <cell r="N96">
            <v>45</v>
          </cell>
          <cell r="O96">
            <v>6395.5747204501668</v>
          </cell>
          <cell r="P96">
            <v>11097.332409579318</v>
          </cell>
          <cell r="Q96">
            <v>12</v>
          </cell>
          <cell r="R96">
            <v>11109.332409579318</v>
          </cell>
          <cell r="S96">
            <v>17504.907130029485</v>
          </cell>
          <cell r="T96">
            <v>1598.8936801125417</v>
          </cell>
          <cell r="U96">
            <v>265.53997845827274</v>
          </cell>
          <cell r="V96">
            <v>5</v>
          </cell>
          <cell r="W96">
            <v>270.53997845827274</v>
          </cell>
          <cell r="X96">
            <v>-270.53997845827274</v>
          </cell>
          <cell r="Y96">
            <v>1328.3537016542689</v>
          </cell>
          <cell r="Z96">
            <v>6</v>
          </cell>
          <cell r="AA96">
            <v>1334.3537016542689</v>
          </cell>
          <cell r="AB96" t="str">
            <v>X</v>
          </cell>
          <cell r="AD96">
            <v>70</v>
          </cell>
          <cell r="AE96">
            <v>81</v>
          </cell>
          <cell r="AF96">
            <v>1415.3537016542689</v>
          </cell>
          <cell r="AG96">
            <v>340.53997845827274</v>
          </cell>
          <cell r="AH96">
            <v>1755.8936801125417</v>
          </cell>
          <cell r="AI96">
            <v>16170.553428375217</v>
          </cell>
          <cell r="AJ96">
            <v>0</v>
          </cell>
          <cell r="AK96">
            <v>0</v>
          </cell>
          <cell r="AL96">
            <v>141858</v>
          </cell>
          <cell r="AM96">
            <v>0</v>
          </cell>
          <cell r="AN96">
            <v>33153</v>
          </cell>
          <cell r="AO96" t="str">
            <v>Zero investment in 2019</v>
          </cell>
          <cell r="AP96">
            <v>7229</v>
          </cell>
          <cell r="AQ96">
            <v>5541</v>
          </cell>
          <cell r="AR96">
            <v>19192.907130029485</v>
          </cell>
          <cell r="AS96">
            <v>17504.907130029485</v>
          </cell>
          <cell r="AT96">
            <v>1328.3537016542689</v>
          </cell>
          <cell r="AU96">
            <v>16170.553428375217</v>
          </cell>
          <cell r="AV96">
            <v>1755.8936801125417</v>
          </cell>
          <cell r="BB96">
            <v>33.958162199587953</v>
          </cell>
          <cell r="BC96">
            <v>33.958162199587953</v>
          </cell>
          <cell r="BD96">
            <v>35</v>
          </cell>
        </row>
        <row r="97">
          <cell r="A97" t="str">
            <v>8160-01-198</v>
          </cell>
          <cell r="B97" t="str">
            <v>Nurit Cohen</v>
          </cell>
          <cell r="C97" t="str">
            <v>001634542</v>
          </cell>
          <cell r="D97">
            <v>1634542</v>
          </cell>
          <cell r="F97" t="str">
            <v>נורית כהן</v>
          </cell>
          <cell r="G97" t="str">
            <v>III</v>
          </cell>
          <cell r="I97">
            <v>300000</v>
          </cell>
          <cell r="J97">
            <v>4.0976705453212746E-3</v>
          </cell>
          <cell r="K97">
            <v>10252.111246981891</v>
          </cell>
          <cell r="L97">
            <v>2631.4215824416906</v>
          </cell>
          <cell r="M97">
            <v>7620.6896645402003</v>
          </cell>
          <cell r="N97">
            <v>54</v>
          </cell>
          <cell r="O97">
            <v>7674.6896645402003</v>
          </cell>
          <cell r="P97">
            <v>13316.798891495182</v>
          </cell>
          <cell r="Q97">
            <v>14</v>
          </cell>
          <cell r="R97">
            <v>13330.798891495182</v>
          </cell>
          <cell r="S97">
            <v>21005.488556035383</v>
          </cell>
          <cell r="T97">
            <v>1918.6724161350501</v>
          </cell>
          <cell r="U97">
            <v>318.64797414992728</v>
          </cell>
          <cell r="V97">
            <v>6</v>
          </cell>
          <cell r="W97">
            <v>324.64797414992728</v>
          </cell>
          <cell r="X97">
            <v>-324.64797414992728</v>
          </cell>
          <cell r="Y97">
            <v>1594.0244419851228</v>
          </cell>
          <cell r="Z97">
            <v>7</v>
          </cell>
          <cell r="AA97">
            <v>1601.0244419851228</v>
          </cell>
          <cell r="AB97" t="str">
            <v>X</v>
          </cell>
          <cell r="AD97">
            <v>84</v>
          </cell>
          <cell r="AE97">
            <v>98</v>
          </cell>
          <cell r="AF97">
            <v>1699.0244419851228</v>
          </cell>
          <cell r="AG97">
            <v>408.64797414992728</v>
          </cell>
          <cell r="AH97">
            <v>2107.6724161350503</v>
          </cell>
          <cell r="AI97">
            <v>19404.464114050261</v>
          </cell>
          <cell r="AJ97">
            <v>0</v>
          </cell>
          <cell r="AK97">
            <v>0</v>
          </cell>
          <cell r="AL97">
            <v>170230</v>
          </cell>
          <cell r="AM97">
            <v>0</v>
          </cell>
          <cell r="AN97">
            <v>39784</v>
          </cell>
          <cell r="AO97" t="str">
            <v>Zero investment in 2019</v>
          </cell>
          <cell r="AP97">
            <v>8675</v>
          </cell>
          <cell r="AQ97">
            <v>6649</v>
          </cell>
          <cell r="AR97">
            <v>23031.488556035383</v>
          </cell>
          <cell r="AS97">
            <v>21005.488556035383</v>
          </cell>
          <cell r="AT97">
            <v>1594.0244419851228</v>
          </cell>
          <cell r="AU97">
            <v>19404.464114050261</v>
          </cell>
          <cell r="AV97">
            <v>2107.6724161350503</v>
          </cell>
          <cell r="BB97">
            <v>40.749374639505547</v>
          </cell>
          <cell r="BC97">
            <v>40.749374639505547</v>
          </cell>
          <cell r="BD97">
            <v>35</v>
          </cell>
        </row>
        <row r="98">
          <cell r="A98" t="str">
            <v>8160-01-199</v>
          </cell>
          <cell r="B98" t="str">
            <v>Ofer Adler</v>
          </cell>
          <cell r="C98" t="str">
            <v>027750660</v>
          </cell>
          <cell r="D98">
            <v>27750660</v>
          </cell>
          <cell r="F98" t="str">
            <v>עופר אדלר</v>
          </cell>
          <cell r="G98" t="str">
            <v>III</v>
          </cell>
          <cell r="I98">
            <v>280000</v>
          </cell>
          <cell r="J98">
            <v>3.8244925089665227E-3</v>
          </cell>
          <cell r="K98">
            <v>9568.637163849764</v>
          </cell>
          <cell r="L98">
            <v>2455.9934769455776</v>
          </cell>
          <cell r="M98">
            <v>7112.6436869041863</v>
          </cell>
          <cell r="N98">
            <v>51</v>
          </cell>
          <cell r="O98">
            <v>7163.6436869041863</v>
          </cell>
          <cell r="P98">
            <v>12429.012298728834</v>
          </cell>
          <cell r="Q98">
            <v>13</v>
          </cell>
          <cell r="R98">
            <v>12442.012298728834</v>
          </cell>
          <cell r="S98">
            <v>19605.65598563302</v>
          </cell>
          <cell r="T98">
            <v>1790.9109217260466</v>
          </cell>
          <cell r="U98">
            <v>297.40477587326541</v>
          </cell>
          <cell r="V98">
            <v>6</v>
          </cell>
          <cell r="W98">
            <v>303.40477587326541</v>
          </cell>
          <cell r="X98">
            <v>-303.40477587326541</v>
          </cell>
          <cell r="Y98">
            <v>1487.5061458527812</v>
          </cell>
          <cell r="Z98">
            <v>7</v>
          </cell>
          <cell r="AA98">
            <v>1494.5061458527812</v>
          </cell>
          <cell r="AB98" t="str">
            <v>X</v>
          </cell>
          <cell r="AD98">
            <v>78</v>
          </cell>
          <cell r="AE98">
            <v>91</v>
          </cell>
          <cell r="AF98">
            <v>1585.5061458527812</v>
          </cell>
          <cell r="AG98">
            <v>381.40477587326541</v>
          </cell>
          <cell r="AH98">
            <v>1966.9109217260466</v>
          </cell>
          <cell r="AI98">
            <v>18111.149839780239</v>
          </cell>
          <cell r="AJ98">
            <v>0</v>
          </cell>
          <cell r="AK98">
            <v>0</v>
          </cell>
          <cell r="AL98">
            <v>158881</v>
          </cell>
          <cell r="AM98">
            <v>0</v>
          </cell>
          <cell r="AN98">
            <v>37131</v>
          </cell>
          <cell r="AO98" t="str">
            <v>Zero investment in 2019</v>
          </cell>
          <cell r="AP98">
            <v>8096</v>
          </cell>
          <cell r="AQ98">
            <v>6205</v>
          </cell>
          <cell r="AR98">
            <v>21496.65598563302</v>
          </cell>
          <cell r="AS98">
            <v>19605.65598563302</v>
          </cell>
          <cell r="AT98">
            <v>1487.5061458527812</v>
          </cell>
          <cell r="AU98">
            <v>18111.149839780239</v>
          </cell>
          <cell r="AV98">
            <v>1966.9109217260466</v>
          </cell>
          <cell r="BB98">
            <v>38.033414663538501</v>
          </cell>
          <cell r="BC98">
            <v>38.033414663538501</v>
          </cell>
          <cell r="BD98">
            <v>35</v>
          </cell>
        </row>
        <row r="99">
          <cell r="A99" t="str">
            <v>8160-01-200</v>
          </cell>
          <cell r="B99" t="str">
            <v>Tamir Cohen</v>
          </cell>
          <cell r="C99" t="str">
            <v>024117152</v>
          </cell>
          <cell r="D99">
            <v>24117152</v>
          </cell>
          <cell r="F99" t="str">
            <v>תמיר כהן</v>
          </cell>
          <cell r="G99" t="str">
            <v>III</v>
          </cell>
          <cell r="I99">
            <v>100000</v>
          </cell>
          <cell r="J99">
            <v>1.3658901817737582E-3</v>
          </cell>
          <cell r="K99">
            <v>3417.37041566063</v>
          </cell>
          <cell r="L99">
            <v>877.14052748056349</v>
          </cell>
          <cell r="M99">
            <v>2540.2298881800666</v>
          </cell>
          <cell r="N99">
            <v>18</v>
          </cell>
          <cell r="O99">
            <v>2558.2298881800666</v>
          </cell>
          <cell r="P99">
            <v>4438.9329638317267</v>
          </cell>
          <cell r="Q99">
            <v>5</v>
          </cell>
          <cell r="R99">
            <v>4443.9329638317267</v>
          </cell>
          <cell r="S99">
            <v>7002.1628520117938</v>
          </cell>
          <cell r="T99">
            <v>639.55747204501665</v>
          </cell>
          <cell r="U99">
            <v>106.21599138330909</v>
          </cell>
          <cell r="V99">
            <v>2</v>
          </cell>
          <cell r="W99">
            <v>108.21599138330909</v>
          </cell>
          <cell r="X99">
            <v>-108.21599138330909</v>
          </cell>
          <cell r="Y99">
            <v>531.34148066170758</v>
          </cell>
          <cell r="Z99">
            <v>2</v>
          </cell>
          <cell r="AA99">
            <v>533.34148066170758</v>
          </cell>
          <cell r="AB99" t="str">
            <v>X</v>
          </cell>
          <cell r="AD99">
            <v>28</v>
          </cell>
          <cell r="AE99">
            <v>33</v>
          </cell>
          <cell r="AF99">
            <v>566.34148066170758</v>
          </cell>
          <cell r="AG99">
            <v>136.21599138330907</v>
          </cell>
          <cell r="AH99">
            <v>702.55747204501665</v>
          </cell>
          <cell r="AI99">
            <v>6468.8213713500863</v>
          </cell>
          <cell r="AJ99">
            <v>0</v>
          </cell>
          <cell r="AK99">
            <v>0</v>
          </cell>
          <cell r="AL99">
            <v>56743</v>
          </cell>
          <cell r="AM99">
            <v>0</v>
          </cell>
          <cell r="AN99">
            <v>13261</v>
          </cell>
          <cell r="AO99" t="str">
            <v>Zero investment in 2019</v>
          </cell>
          <cell r="AP99">
            <v>2892</v>
          </cell>
          <cell r="AQ99">
            <v>2216</v>
          </cell>
          <cell r="AR99">
            <v>7678.1628520117938</v>
          </cell>
          <cell r="AS99">
            <v>7002.1628520117938</v>
          </cell>
          <cell r="AT99">
            <v>531.34148066170758</v>
          </cell>
          <cell r="AU99">
            <v>6468.8213713500863</v>
          </cell>
          <cell r="AV99">
            <v>702.55747204501665</v>
          </cell>
          <cell r="BB99">
            <v>13.584524879835181</v>
          </cell>
          <cell r="BC99">
            <v>18</v>
          </cell>
          <cell r="BD99">
            <v>35</v>
          </cell>
        </row>
        <row r="100">
          <cell r="A100" t="str">
            <v>8160-01-201</v>
          </cell>
          <cell r="B100" t="str">
            <v>Zeev Kalimi</v>
          </cell>
          <cell r="C100" t="str">
            <v>056076888</v>
          </cell>
          <cell r="D100">
            <v>56076888</v>
          </cell>
          <cell r="F100" t="str">
            <v>זאב קלימי</v>
          </cell>
          <cell r="G100" t="str">
            <v>III</v>
          </cell>
          <cell r="I100">
            <v>300000</v>
          </cell>
          <cell r="J100">
            <v>4.0976705453212746E-3</v>
          </cell>
          <cell r="K100">
            <v>10252.111246981891</v>
          </cell>
          <cell r="L100">
            <v>2631.4215824416906</v>
          </cell>
          <cell r="M100">
            <v>7620.6896645402003</v>
          </cell>
          <cell r="N100">
            <v>54</v>
          </cell>
          <cell r="O100">
            <v>7674.6896645402003</v>
          </cell>
          <cell r="P100">
            <v>13316.798891495182</v>
          </cell>
          <cell r="Q100">
            <v>14</v>
          </cell>
          <cell r="R100">
            <v>13330.798891495182</v>
          </cell>
          <cell r="S100">
            <v>21005.488556035383</v>
          </cell>
          <cell r="T100">
            <v>1918.6724161350501</v>
          </cell>
          <cell r="U100">
            <v>318.64797414992728</v>
          </cell>
          <cell r="V100">
            <v>6</v>
          </cell>
          <cell r="W100">
            <v>324.64797414992728</v>
          </cell>
          <cell r="X100">
            <v>-324.64797414992728</v>
          </cell>
          <cell r="Y100">
            <v>1594.0244419851228</v>
          </cell>
          <cell r="Z100">
            <v>7</v>
          </cell>
          <cell r="AA100">
            <v>1601.0244419851228</v>
          </cell>
          <cell r="AB100" t="str">
            <v>X</v>
          </cell>
          <cell r="AD100">
            <v>84</v>
          </cell>
          <cell r="AE100">
            <v>98</v>
          </cell>
          <cell r="AF100">
            <v>1699.0244419851228</v>
          </cell>
          <cell r="AG100">
            <v>408.64797414992728</v>
          </cell>
          <cell r="AH100">
            <v>2107.6724161350503</v>
          </cell>
          <cell r="AI100">
            <v>19404.464114050261</v>
          </cell>
          <cell r="AJ100">
            <v>0</v>
          </cell>
          <cell r="AK100">
            <v>0</v>
          </cell>
          <cell r="AL100">
            <v>170230</v>
          </cell>
          <cell r="AM100">
            <v>0</v>
          </cell>
          <cell r="AN100">
            <v>39784</v>
          </cell>
          <cell r="AO100" t="str">
            <v>Zero investment in 2019</v>
          </cell>
          <cell r="AP100">
            <v>8675</v>
          </cell>
          <cell r="AQ100">
            <v>6649</v>
          </cell>
          <cell r="AR100">
            <v>23031.488556035383</v>
          </cell>
          <cell r="AS100">
            <v>21005.488556035383</v>
          </cell>
          <cell r="AT100">
            <v>1594.0244419851228</v>
          </cell>
          <cell r="AU100">
            <v>19404.464114050261</v>
          </cell>
          <cell r="AV100">
            <v>2107.6724161350503</v>
          </cell>
          <cell r="BB100">
            <v>40.749374639505547</v>
          </cell>
          <cell r="BC100">
            <v>40.749374639505547</v>
          </cell>
          <cell r="BD100">
            <v>35</v>
          </cell>
        </row>
        <row r="101">
          <cell r="A101" t="str">
            <v>8160-01-202</v>
          </cell>
          <cell r="B101" t="str">
            <v>Cidev Group LTD</v>
          </cell>
          <cell r="C101">
            <v>510657612</v>
          </cell>
          <cell r="D101">
            <v>510657612</v>
          </cell>
          <cell r="E101" t="str">
            <v>Cidev Group LTD</v>
          </cell>
          <cell r="F101" t="str">
            <v>קבוצת סידב בע"מ</v>
          </cell>
          <cell r="G101" t="str">
            <v>III</v>
          </cell>
          <cell r="I101">
            <v>500000</v>
          </cell>
          <cell r="J101">
            <v>6.8294509088687909E-3</v>
          </cell>
          <cell r="K101">
            <v>17086.852078303149</v>
          </cell>
          <cell r="L101">
            <v>4385.7026374028173</v>
          </cell>
          <cell r="M101">
            <v>12701.149440900334</v>
          </cell>
          <cell r="N101">
            <v>90</v>
          </cell>
          <cell r="O101">
            <v>12791.149440900334</v>
          </cell>
          <cell r="P101">
            <v>22194.664819158636</v>
          </cell>
          <cell r="Q101">
            <v>23</v>
          </cell>
          <cell r="R101">
            <v>22217.664819158636</v>
          </cell>
          <cell r="S101">
            <v>35008.814260058971</v>
          </cell>
          <cell r="U101">
            <v>531.07995691654548</v>
          </cell>
          <cell r="V101">
            <v>10</v>
          </cell>
          <cell r="W101">
            <v>541.07995691654548</v>
          </cell>
          <cell r="AB101" t="str">
            <v>V</v>
          </cell>
          <cell r="AC101">
            <v>531.07995691654548</v>
          </cell>
          <cell r="AD101">
            <v>140</v>
          </cell>
          <cell r="AF101">
            <v>0</v>
          </cell>
          <cell r="AG101">
            <v>681.07995691654548</v>
          </cell>
          <cell r="AH101">
            <v>681.07995691654548</v>
          </cell>
          <cell r="AI101">
            <v>35008.814260058971</v>
          </cell>
          <cell r="AJ101" t="e">
            <v>#N/A</v>
          </cell>
          <cell r="AK101" t="e">
            <v>#N/A</v>
          </cell>
          <cell r="AL101" t="e">
            <v>#N/A</v>
          </cell>
          <cell r="AM101" t="e">
            <v>#N/A</v>
          </cell>
          <cell r="AN101" t="e">
            <v>#N/A</v>
          </cell>
          <cell r="AO101" t="str">
            <v>Zero investment in 2019</v>
          </cell>
          <cell r="AP101">
            <v>14458</v>
          </cell>
          <cell r="AQ101">
            <v>11081</v>
          </cell>
          <cell r="AR101">
            <v>38385.814260058971</v>
          </cell>
          <cell r="AS101">
            <v>35008.814260058971</v>
          </cell>
          <cell r="AT101">
            <v>0</v>
          </cell>
          <cell r="AU101">
            <v>35008.814260058971</v>
          </cell>
          <cell r="AV101">
            <v>681.07995691654548</v>
          </cell>
          <cell r="BB101">
            <v>73.518509946123828</v>
          </cell>
          <cell r="BC101">
            <v>73.518509946123828</v>
          </cell>
          <cell r="BD101">
            <v>35</v>
          </cell>
        </row>
        <row r="102">
          <cell r="A102" t="str">
            <v>8160-01-204</v>
          </cell>
          <cell r="B102" t="str">
            <v>S.H.I.F.A.T Architectures Ltd</v>
          </cell>
          <cell r="C102">
            <v>513075838</v>
          </cell>
          <cell r="D102">
            <v>513075838</v>
          </cell>
          <cell r="E102" t="str">
            <v>S.H.I.F.A.T Architectures Ltd</v>
          </cell>
          <cell r="F102" t="str">
            <v>ש.י.פ.ת לוי אדריכלים בע"מ</v>
          </cell>
          <cell r="G102" t="str">
            <v>III</v>
          </cell>
          <cell r="I102">
            <v>250000</v>
          </cell>
          <cell r="J102">
            <v>3.4147254544343955E-3</v>
          </cell>
          <cell r="K102">
            <v>8543.4260391515745</v>
          </cell>
          <cell r="L102">
            <v>2192.8513187014087</v>
          </cell>
          <cell r="M102">
            <v>6350.5747204501668</v>
          </cell>
          <cell r="N102">
            <v>45</v>
          </cell>
          <cell r="O102">
            <v>6395.5747204501668</v>
          </cell>
          <cell r="P102">
            <v>11097.332409579318</v>
          </cell>
          <cell r="Q102">
            <v>12</v>
          </cell>
          <cell r="R102">
            <v>11109.332409579318</v>
          </cell>
          <cell r="S102">
            <v>17504.907130029485</v>
          </cell>
          <cell r="U102">
            <v>265.53997845827274</v>
          </cell>
          <cell r="V102">
            <v>5</v>
          </cell>
          <cell r="W102">
            <v>270.53997845827274</v>
          </cell>
          <cell r="AB102" t="str">
            <v>V</v>
          </cell>
          <cell r="AC102">
            <v>265.53997845827274</v>
          </cell>
          <cell r="AD102">
            <v>70</v>
          </cell>
          <cell r="AF102">
            <v>0</v>
          </cell>
          <cell r="AG102">
            <v>340.53997845827274</v>
          </cell>
          <cell r="AH102">
            <v>340.53997845827274</v>
          </cell>
          <cell r="AI102">
            <v>17504.907130029485</v>
          </cell>
          <cell r="AJ102" t="e">
            <v>#N/A</v>
          </cell>
          <cell r="AK102" t="e">
            <v>#N/A</v>
          </cell>
          <cell r="AL102" t="e">
            <v>#N/A</v>
          </cell>
          <cell r="AM102" t="e">
            <v>#N/A</v>
          </cell>
          <cell r="AN102" t="e">
            <v>#N/A</v>
          </cell>
          <cell r="AO102" t="str">
            <v>Zero investment in 2019</v>
          </cell>
          <cell r="AP102">
            <v>7229</v>
          </cell>
          <cell r="AQ102">
            <v>5541</v>
          </cell>
          <cell r="AR102">
            <v>19192.907130029485</v>
          </cell>
          <cell r="AS102">
            <v>17504.907130029485</v>
          </cell>
          <cell r="AT102">
            <v>0</v>
          </cell>
          <cell r="AU102">
            <v>17504.907130029485</v>
          </cell>
          <cell r="AV102">
            <v>340.53997845827274</v>
          </cell>
          <cell r="BB102">
            <v>36.76030497306192</v>
          </cell>
          <cell r="BC102">
            <v>36.76030497306192</v>
          </cell>
          <cell r="BD102">
            <v>35</v>
          </cell>
        </row>
        <row r="103">
          <cell r="A103" t="str">
            <v>8160-01-205</v>
          </cell>
          <cell r="B103" t="str">
            <v>R.B LTD</v>
          </cell>
          <cell r="C103">
            <v>513179796</v>
          </cell>
          <cell r="D103">
            <v>513179796</v>
          </cell>
          <cell r="E103" t="str">
            <v>R.B LTD</v>
          </cell>
          <cell r="F103" t="str">
            <v>אר.בי ביטון רפאל החזקות בע"מ</v>
          </cell>
          <cell r="G103" t="str">
            <v>III</v>
          </cell>
          <cell r="I103">
            <v>300000</v>
          </cell>
          <cell r="J103">
            <v>4.0976705453212746E-3</v>
          </cell>
          <cell r="K103">
            <v>10252.111246981891</v>
          </cell>
          <cell r="L103">
            <v>2631.4215824416906</v>
          </cell>
          <cell r="M103">
            <v>7620.6896645402003</v>
          </cell>
          <cell r="N103">
            <v>54</v>
          </cell>
          <cell r="O103">
            <v>7674.6896645402003</v>
          </cell>
          <cell r="P103">
            <v>13316.798891495182</v>
          </cell>
          <cell r="Q103">
            <v>14</v>
          </cell>
          <cell r="R103">
            <v>13330.798891495182</v>
          </cell>
          <cell r="S103">
            <v>21005.488556035383</v>
          </cell>
          <cell r="U103">
            <v>318.64797414992728</v>
          </cell>
          <cell r="V103">
            <v>6</v>
          </cell>
          <cell r="W103">
            <v>324.64797414992728</v>
          </cell>
          <cell r="AB103" t="str">
            <v>V</v>
          </cell>
          <cell r="AC103">
            <v>318.64797414992728</v>
          </cell>
          <cell r="AD103">
            <v>84</v>
          </cell>
          <cell r="AF103">
            <v>0</v>
          </cell>
          <cell r="AG103">
            <v>408.64797414992728</v>
          </cell>
          <cell r="AH103">
            <v>408.64797414992728</v>
          </cell>
          <cell r="AI103">
            <v>21005.488556035383</v>
          </cell>
          <cell r="AJ103" t="e">
            <v>#N/A</v>
          </cell>
          <cell r="AK103" t="e">
            <v>#N/A</v>
          </cell>
          <cell r="AL103" t="e">
            <v>#N/A</v>
          </cell>
          <cell r="AM103" t="e">
            <v>#N/A</v>
          </cell>
          <cell r="AN103" t="e">
            <v>#N/A</v>
          </cell>
          <cell r="AO103" t="str">
            <v>Zero investment in 2019</v>
          </cell>
          <cell r="AP103">
            <v>8675</v>
          </cell>
          <cell r="AQ103">
            <v>6649</v>
          </cell>
          <cell r="AR103">
            <v>23031.488556035383</v>
          </cell>
          <cell r="AS103">
            <v>21005.488556035383</v>
          </cell>
          <cell r="AT103">
            <v>0</v>
          </cell>
          <cell r="AU103">
            <v>21005.488556035383</v>
          </cell>
          <cell r="AV103">
            <v>408.64797414992728</v>
          </cell>
          <cell r="BB103">
            <v>44.111525967674304</v>
          </cell>
          <cell r="BC103">
            <v>44.111525967674304</v>
          </cell>
          <cell r="BD103">
            <v>35</v>
          </cell>
        </row>
        <row r="104">
          <cell r="A104" t="str">
            <v>8160-01-206</v>
          </cell>
          <cell r="B104" t="str">
            <v>Hevra Kadisha Haifa</v>
          </cell>
          <cell r="C104">
            <v>580014777</v>
          </cell>
          <cell r="D104">
            <v>580014777</v>
          </cell>
          <cell r="E104" t="str">
            <v>Hevra Kadisha Haifa</v>
          </cell>
          <cell r="F104" t="str">
            <v>חברה קדישא חיפה</v>
          </cell>
          <cell r="G104" t="str">
            <v>III</v>
          </cell>
          <cell r="I104">
            <v>570000</v>
          </cell>
          <cell r="J104">
            <v>7.785574036110421E-3</v>
          </cell>
          <cell r="K104">
            <v>19479.01136926559</v>
          </cell>
          <cell r="L104">
            <v>4999.7010066392113</v>
          </cell>
          <cell r="M104">
            <v>14479.310362626378</v>
          </cell>
          <cell r="N104">
            <v>103</v>
          </cell>
          <cell r="O104">
            <v>14582.310362626378</v>
          </cell>
          <cell r="P104">
            <v>25301.91789384084</v>
          </cell>
          <cell r="Q104">
            <v>26</v>
          </cell>
          <cell r="R104">
            <v>25327.91789384084</v>
          </cell>
          <cell r="S104">
            <v>39910.22825646722</v>
          </cell>
          <cell r="U104">
            <v>605.43115088486172</v>
          </cell>
          <cell r="V104">
            <v>12</v>
          </cell>
          <cell r="W104">
            <v>617.43115088486172</v>
          </cell>
          <cell r="AB104" t="str">
            <v>V</v>
          </cell>
          <cell r="AC104">
            <v>605.43115088486172</v>
          </cell>
          <cell r="AD104">
            <v>159</v>
          </cell>
          <cell r="AF104">
            <v>0</v>
          </cell>
          <cell r="AG104">
            <v>776.43115088486172</v>
          </cell>
          <cell r="AH104">
            <v>776.43115088486172</v>
          </cell>
          <cell r="AI104">
            <v>39910.22825646722</v>
          </cell>
          <cell r="AJ104">
            <v>0</v>
          </cell>
          <cell r="AK104">
            <v>0</v>
          </cell>
          <cell r="AL104">
            <v>323437</v>
          </cell>
          <cell r="AM104">
            <v>0</v>
          </cell>
          <cell r="AN104">
            <v>75589</v>
          </cell>
          <cell r="AO104" t="str">
            <v>Zero investment in 2019</v>
          </cell>
          <cell r="AP104">
            <v>16482</v>
          </cell>
          <cell r="AQ104">
            <v>12633</v>
          </cell>
          <cell r="AR104">
            <v>43759.22825646722</v>
          </cell>
          <cell r="AS104">
            <v>39910.22825646722</v>
          </cell>
          <cell r="AT104">
            <v>0</v>
          </cell>
          <cell r="AU104">
            <v>39910.22825646722</v>
          </cell>
          <cell r="AV104">
            <v>776.43115088486172</v>
          </cell>
          <cell r="BB104">
            <v>83.811479338581151</v>
          </cell>
          <cell r="BC104">
            <v>83.811479338581151</v>
          </cell>
          <cell r="BD104">
            <v>35</v>
          </cell>
        </row>
        <row r="105">
          <cell r="A105" t="str">
            <v>8160-01-207</v>
          </cell>
          <cell r="B105" t="str">
            <v>Assaf Burstein</v>
          </cell>
          <cell r="C105" t="str">
            <v>058837238</v>
          </cell>
          <cell r="D105">
            <v>58837238</v>
          </cell>
          <cell r="F105" t="str">
            <v>אסף בורשטיין</v>
          </cell>
          <cell r="G105" t="str">
            <v>III</v>
          </cell>
          <cell r="I105">
            <v>300000</v>
          </cell>
          <cell r="J105">
            <v>4.0976705453212746E-3</v>
          </cell>
          <cell r="K105">
            <v>10252.111246981891</v>
          </cell>
          <cell r="L105">
            <v>2631.4215824416906</v>
          </cell>
          <cell r="M105">
            <v>7620.6896645402003</v>
          </cell>
          <cell r="N105">
            <v>54</v>
          </cell>
          <cell r="O105">
            <v>7674.6896645402003</v>
          </cell>
          <cell r="P105">
            <v>13316.798891495182</v>
          </cell>
          <cell r="Q105">
            <v>14</v>
          </cell>
          <cell r="R105">
            <v>13330.798891495182</v>
          </cell>
          <cell r="S105">
            <v>21005.488556035383</v>
          </cell>
          <cell r="T105">
            <v>1918.6724161350501</v>
          </cell>
          <cell r="U105">
            <v>318.64797414992728</v>
          </cell>
          <cell r="V105">
            <v>6</v>
          </cell>
          <cell r="W105">
            <v>324.64797414992728</v>
          </cell>
          <cell r="X105">
            <v>-324.64797414992728</v>
          </cell>
          <cell r="Y105">
            <v>1594.0244419851228</v>
          </cell>
          <cell r="Z105">
            <v>7</v>
          </cell>
          <cell r="AA105">
            <v>1601.0244419851228</v>
          </cell>
          <cell r="AB105" t="str">
            <v>X</v>
          </cell>
          <cell r="AD105">
            <v>84</v>
          </cell>
          <cell r="AE105">
            <v>98</v>
          </cell>
          <cell r="AF105">
            <v>1699.0244419851228</v>
          </cell>
          <cell r="AG105">
            <v>408.64797414992728</v>
          </cell>
          <cell r="AH105">
            <v>2107.6724161350503</v>
          </cell>
          <cell r="AI105">
            <v>19404.464114050261</v>
          </cell>
          <cell r="AJ105">
            <v>0</v>
          </cell>
          <cell r="AK105">
            <v>0</v>
          </cell>
          <cell r="AL105">
            <v>170230</v>
          </cell>
          <cell r="AM105">
            <v>0</v>
          </cell>
          <cell r="AN105">
            <v>39784</v>
          </cell>
          <cell r="AO105" t="str">
            <v>Zero investment in 2019</v>
          </cell>
          <cell r="AP105">
            <v>8675</v>
          </cell>
          <cell r="AQ105">
            <v>6649</v>
          </cell>
          <cell r="AR105">
            <v>23031.488556035383</v>
          </cell>
          <cell r="AS105">
            <v>21005.488556035383</v>
          </cell>
          <cell r="AT105">
            <v>1594.0244419851228</v>
          </cell>
          <cell r="AU105">
            <v>19404.464114050261</v>
          </cell>
          <cell r="AV105">
            <v>2107.6724161350503</v>
          </cell>
          <cell r="BB105">
            <v>40.749374639505547</v>
          </cell>
          <cell r="BC105">
            <v>40.749374639505547</v>
          </cell>
          <cell r="BD105">
            <v>35</v>
          </cell>
        </row>
        <row r="106">
          <cell r="A106" t="str">
            <v>8160-01-208</v>
          </cell>
          <cell r="B106" t="str">
            <v>Dan Arazi</v>
          </cell>
          <cell r="C106" t="str">
            <v>08986978</v>
          </cell>
          <cell r="D106">
            <v>8986978</v>
          </cell>
          <cell r="F106" t="str">
            <v>דן ארזי</v>
          </cell>
          <cell r="G106" t="str">
            <v>III</v>
          </cell>
          <cell r="I106">
            <v>250000</v>
          </cell>
          <cell r="J106">
            <v>3.4147254544343955E-3</v>
          </cell>
          <cell r="K106">
            <v>8543.4260391515745</v>
          </cell>
          <cell r="L106">
            <v>2192.8513187014087</v>
          </cell>
          <cell r="M106">
            <v>6350.5747204501668</v>
          </cell>
          <cell r="N106">
            <v>45</v>
          </cell>
          <cell r="O106">
            <v>6395.5747204501668</v>
          </cell>
          <cell r="P106">
            <v>11097.332409579318</v>
          </cell>
          <cell r="Q106">
            <v>12</v>
          </cell>
          <cell r="R106">
            <v>11109.332409579318</v>
          </cell>
          <cell r="S106">
            <v>17504.907130029485</v>
          </cell>
          <cell r="T106">
            <v>1598.8936801125417</v>
          </cell>
          <cell r="U106">
            <v>265.53997845827274</v>
          </cell>
          <cell r="V106">
            <v>5</v>
          </cell>
          <cell r="W106">
            <v>270.53997845827274</v>
          </cell>
          <cell r="X106">
            <v>-270.53997845827274</v>
          </cell>
          <cell r="Y106">
            <v>1328.3537016542689</v>
          </cell>
          <cell r="Z106">
            <v>6</v>
          </cell>
          <cell r="AA106">
            <v>1334.3537016542689</v>
          </cell>
          <cell r="AB106" t="str">
            <v>X</v>
          </cell>
          <cell r="AD106">
            <v>70</v>
          </cell>
          <cell r="AE106">
            <v>81</v>
          </cell>
          <cell r="AF106">
            <v>1415.3537016542689</v>
          </cell>
          <cell r="AG106">
            <v>340.53997845827274</v>
          </cell>
          <cell r="AH106">
            <v>1755.8936801125417</v>
          </cell>
          <cell r="AI106">
            <v>16170.553428375217</v>
          </cell>
          <cell r="AJ106">
            <v>0</v>
          </cell>
          <cell r="AK106">
            <v>0</v>
          </cell>
          <cell r="AL106">
            <v>141858</v>
          </cell>
          <cell r="AM106">
            <v>0</v>
          </cell>
          <cell r="AN106">
            <v>33153</v>
          </cell>
          <cell r="AO106" t="str">
            <v>Zero investment in 2019</v>
          </cell>
          <cell r="AP106">
            <v>7229</v>
          </cell>
          <cell r="AQ106">
            <v>5541</v>
          </cell>
          <cell r="AR106">
            <v>19192.907130029485</v>
          </cell>
          <cell r="AS106">
            <v>17504.907130029485</v>
          </cell>
          <cell r="AT106">
            <v>1328.3537016542689</v>
          </cell>
          <cell r="AU106">
            <v>16170.553428375217</v>
          </cell>
          <cell r="AV106">
            <v>1755.8936801125417</v>
          </cell>
          <cell r="BB106">
            <v>33.958162199587953</v>
          </cell>
          <cell r="BC106">
            <v>33.958162199587953</v>
          </cell>
          <cell r="BD106">
            <v>35</v>
          </cell>
        </row>
        <row r="107">
          <cell r="A107" t="str">
            <v>8160-01-209</v>
          </cell>
          <cell r="B107" t="str">
            <v>Daphna Cohen Ben Shaul</v>
          </cell>
          <cell r="C107" t="str">
            <v>054201264</v>
          </cell>
          <cell r="D107">
            <v>54201264</v>
          </cell>
          <cell r="F107" t="str">
            <v>דפנה כהן בן שאול</v>
          </cell>
          <cell r="G107" t="str">
            <v>III</v>
          </cell>
          <cell r="I107">
            <v>300000</v>
          </cell>
          <cell r="J107">
            <v>4.0976705453212746E-3</v>
          </cell>
          <cell r="K107">
            <v>10252.111246981891</v>
          </cell>
          <cell r="L107">
            <v>2631.4215824416906</v>
          </cell>
          <cell r="M107">
            <v>7620.6896645402003</v>
          </cell>
          <cell r="N107">
            <v>54</v>
          </cell>
          <cell r="O107">
            <v>7674.6896645402003</v>
          </cell>
          <cell r="P107">
            <v>13316.798891495182</v>
          </cell>
          <cell r="Q107">
            <v>14</v>
          </cell>
          <cell r="R107">
            <v>13330.798891495182</v>
          </cell>
          <cell r="S107">
            <v>21005.488556035383</v>
          </cell>
          <cell r="T107">
            <v>1918.6724161350501</v>
          </cell>
          <cell r="U107">
            <v>318.64797414992728</v>
          </cell>
          <cell r="V107">
            <v>6</v>
          </cell>
          <cell r="W107">
            <v>324.64797414992728</v>
          </cell>
          <cell r="X107">
            <v>-324.64797414992728</v>
          </cell>
          <cell r="Y107">
            <v>1594.0244419851228</v>
          </cell>
          <cell r="Z107">
            <v>7</v>
          </cell>
          <cell r="AA107">
            <v>1601.0244419851228</v>
          </cell>
          <cell r="AB107" t="str">
            <v>X</v>
          </cell>
          <cell r="AD107">
            <v>84</v>
          </cell>
          <cell r="AE107">
            <v>98</v>
          </cell>
          <cell r="AF107">
            <v>1699.0244419851228</v>
          </cell>
          <cell r="AG107">
            <v>408.64797414992728</v>
          </cell>
          <cell r="AH107">
            <v>2107.6724161350503</v>
          </cell>
          <cell r="AI107">
            <v>19404.464114050261</v>
          </cell>
          <cell r="AJ107">
            <v>0</v>
          </cell>
          <cell r="AK107">
            <v>0</v>
          </cell>
          <cell r="AL107">
            <v>170230</v>
          </cell>
          <cell r="AM107">
            <v>0</v>
          </cell>
          <cell r="AN107">
            <v>39784</v>
          </cell>
          <cell r="AO107" t="str">
            <v>Zero investment in 2019</v>
          </cell>
          <cell r="AP107">
            <v>8675</v>
          </cell>
          <cell r="AQ107">
            <v>6649</v>
          </cell>
          <cell r="AR107">
            <v>23031.488556035383</v>
          </cell>
          <cell r="AS107">
            <v>21005.488556035383</v>
          </cell>
          <cell r="AT107">
            <v>1594.0244419851228</v>
          </cell>
          <cell r="AU107">
            <v>19404.464114050261</v>
          </cell>
          <cell r="AV107">
            <v>2107.6724161350503</v>
          </cell>
          <cell r="BB107">
            <v>40.749374639505547</v>
          </cell>
          <cell r="BC107">
            <v>40.749374639505547</v>
          </cell>
          <cell r="BD107">
            <v>35</v>
          </cell>
        </row>
        <row r="108">
          <cell r="A108" t="str">
            <v>8160-01-210</v>
          </cell>
          <cell r="B108" t="str">
            <v>Eyal Kishon</v>
          </cell>
          <cell r="C108" t="str">
            <v>056197676</v>
          </cell>
          <cell r="D108">
            <v>56197676</v>
          </cell>
          <cell r="F108" t="str">
            <v>איל קישון</v>
          </cell>
          <cell r="G108" t="str">
            <v>III</v>
          </cell>
          <cell r="I108">
            <v>500000</v>
          </cell>
          <cell r="J108">
            <v>6.8294509088687909E-3</v>
          </cell>
          <cell r="K108">
            <v>17086.852078303149</v>
          </cell>
          <cell r="L108">
            <v>4385.7026374028173</v>
          </cell>
          <cell r="M108">
            <v>12701.149440900334</v>
          </cell>
          <cell r="N108">
            <v>90</v>
          </cell>
          <cell r="O108">
            <v>12791.149440900334</v>
          </cell>
          <cell r="P108">
            <v>22194.664819158636</v>
          </cell>
          <cell r="Q108">
            <v>23</v>
          </cell>
          <cell r="R108">
            <v>22217.664819158636</v>
          </cell>
          <cell r="S108">
            <v>35008.814260058971</v>
          </cell>
          <cell r="T108">
            <v>3197.7873602250834</v>
          </cell>
          <cell r="U108">
            <v>531.07995691654548</v>
          </cell>
          <cell r="V108">
            <v>10</v>
          </cell>
          <cell r="W108">
            <v>541.07995691654548</v>
          </cell>
          <cell r="X108">
            <v>-541.07995691654548</v>
          </cell>
          <cell r="Y108">
            <v>2656.7074033085378</v>
          </cell>
          <cell r="Z108">
            <v>12</v>
          </cell>
          <cell r="AA108">
            <v>2668.7074033085378</v>
          </cell>
          <cell r="AB108" t="str">
            <v>X</v>
          </cell>
          <cell r="AD108">
            <v>140</v>
          </cell>
          <cell r="AE108">
            <v>163</v>
          </cell>
          <cell r="AF108">
            <v>2831.7074033085378</v>
          </cell>
          <cell r="AG108">
            <v>681.07995691654548</v>
          </cell>
          <cell r="AH108">
            <v>3512.7873602250834</v>
          </cell>
          <cell r="AI108">
            <v>32340.106856750434</v>
          </cell>
          <cell r="AJ108">
            <v>0</v>
          </cell>
          <cell r="AK108">
            <v>0</v>
          </cell>
          <cell r="AL108">
            <v>283717</v>
          </cell>
          <cell r="AM108">
            <v>0</v>
          </cell>
          <cell r="AN108">
            <v>66306</v>
          </cell>
          <cell r="AO108" t="str">
            <v>Zero investment in 2019</v>
          </cell>
          <cell r="AP108">
            <v>14458</v>
          </cell>
          <cell r="AQ108">
            <v>11081</v>
          </cell>
          <cell r="AR108">
            <v>38385.814260058971</v>
          </cell>
          <cell r="AS108">
            <v>35008.814260058971</v>
          </cell>
          <cell r="AT108">
            <v>2656.7074033085378</v>
          </cell>
          <cell r="AU108">
            <v>32340.106856750434</v>
          </cell>
          <cell r="AV108">
            <v>3512.7873602250834</v>
          </cell>
          <cell r="BB108">
            <v>67.914224399175907</v>
          </cell>
          <cell r="BC108">
            <v>67.914224399175907</v>
          </cell>
          <cell r="BD108">
            <v>35</v>
          </cell>
        </row>
        <row r="109">
          <cell r="A109" t="str">
            <v>8160-01-211</v>
          </cell>
          <cell r="B109" t="str">
            <v>Gideon Schurr</v>
          </cell>
          <cell r="C109" t="str">
            <v>051251288</v>
          </cell>
          <cell r="D109">
            <v>51251288</v>
          </cell>
          <cell r="F109" t="str">
            <v>גדעון שור</v>
          </cell>
          <cell r="G109" t="str">
            <v>III</v>
          </cell>
          <cell r="I109">
            <v>250000</v>
          </cell>
          <cell r="J109">
            <v>3.4147254544343955E-3</v>
          </cell>
          <cell r="K109">
            <v>8543.4260391515745</v>
          </cell>
          <cell r="L109">
            <v>2192.8513187014087</v>
          </cell>
          <cell r="M109">
            <v>6350.5747204501668</v>
          </cell>
          <cell r="N109">
            <v>45</v>
          </cell>
          <cell r="O109">
            <v>6395.5747204501668</v>
          </cell>
          <cell r="P109">
            <v>11097.332409579318</v>
          </cell>
          <cell r="Q109">
            <v>12</v>
          </cell>
          <cell r="R109">
            <v>11109.332409579318</v>
          </cell>
          <cell r="S109">
            <v>17504.907130029485</v>
          </cell>
          <cell r="T109">
            <v>1598.8936801125417</v>
          </cell>
          <cell r="U109">
            <v>265.53997845827274</v>
          </cell>
          <cell r="V109">
            <v>5</v>
          </cell>
          <cell r="W109">
            <v>270.53997845827274</v>
          </cell>
          <cell r="X109">
            <v>-270.53997845827274</v>
          </cell>
          <cell r="Y109">
            <v>1328.3537016542689</v>
          </cell>
          <cell r="Z109">
            <v>6</v>
          </cell>
          <cell r="AA109">
            <v>1334.3537016542689</v>
          </cell>
          <cell r="AB109" t="str">
            <v>X</v>
          </cell>
          <cell r="AD109">
            <v>70</v>
          </cell>
          <cell r="AE109">
            <v>81</v>
          </cell>
          <cell r="AF109">
            <v>1415.3537016542689</v>
          </cell>
          <cell r="AG109">
            <v>340.53997845827274</v>
          </cell>
          <cell r="AH109">
            <v>1755.8936801125417</v>
          </cell>
          <cell r="AI109">
            <v>16170.553428375217</v>
          </cell>
          <cell r="AJ109">
            <v>0</v>
          </cell>
          <cell r="AK109">
            <v>0</v>
          </cell>
          <cell r="AL109">
            <v>141858</v>
          </cell>
          <cell r="AM109">
            <v>0</v>
          </cell>
          <cell r="AN109">
            <v>33150.5</v>
          </cell>
          <cell r="AO109" t="str">
            <v>Zero investment in 2019</v>
          </cell>
          <cell r="AP109">
            <v>7229</v>
          </cell>
          <cell r="AQ109">
            <v>5541</v>
          </cell>
          <cell r="AR109">
            <v>19192.907130029485</v>
          </cell>
          <cell r="AS109">
            <v>17504.907130029485</v>
          </cell>
          <cell r="AT109">
            <v>1328.3537016542689</v>
          </cell>
          <cell r="AU109">
            <v>16170.553428375217</v>
          </cell>
          <cell r="AV109">
            <v>1755.8936801125417</v>
          </cell>
          <cell r="BB109">
            <v>33.958162199587953</v>
          </cell>
          <cell r="BC109">
            <v>33.958162199587953</v>
          </cell>
          <cell r="BD109">
            <v>35</v>
          </cell>
        </row>
        <row r="110">
          <cell r="A110" t="str">
            <v>8160-01-212</v>
          </cell>
          <cell r="B110" t="str">
            <v>Cipora Elkis</v>
          </cell>
          <cell r="C110" t="str">
            <v>007318157</v>
          </cell>
          <cell r="D110">
            <v>512065202</v>
          </cell>
          <cell r="F110" t="str">
            <v>ציפורה אלקיס</v>
          </cell>
          <cell r="G110" t="str">
            <v>III</v>
          </cell>
          <cell r="H110" t="str">
            <v>Meitav</v>
          </cell>
          <cell r="I110">
            <v>250000</v>
          </cell>
          <cell r="J110">
            <v>3.4147254544343955E-3</v>
          </cell>
          <cell r="K110">
            <v>8543.4260391515745</v>
          </cell>
          <cell r="L110">
            <v>2192.8513187014087</v>
          </cell>
          <cell r="M110">
            <v>6350.5747204501668</v>
          </cell>
          <cell r="N110">
            <v>45</v>
          </cell>
          <cell r="O110">
            <v>6395.5747204501668</v>
          </cell>
          <cell r="P110">
            <v>11097.332409579318</v>
          </cell>
          <cell r="Q110">
            <v>12</v>
          </cell>
          <cell r="R110">
            <v>11109.332409579318</v>
          </cell>
          <cell r="S110">
            <v>17504.907130029485</v>
          </cell>
          <cell r="U110">
            <v>265.53997845827274</v>
          </cell>
          <cell r="V110">
            <v>5</v>
          </cell>
          <cell r="W110">
            <v>270.53997845827274</v>
          </cell>
          <cell r="AB110" t="str">
            <v>IRA</v>
          </cell>
          <cell r="AC110">
            <v>265.53997845827274</v>
          </cell>
          <cell r="AD110">
            <v>70</v>
          </cell>
          <cell r="AE110">
            <v>0</v>
          </cell>
          <cell r="AF110">
            <v>0</v>
          </cell>
          <cell r="AG110">
            <v>340.53997845827274</v>
          </cell>
          <cell r="AH110">
            <v>340.53997845827274</v>
          </cell>
          <cell r="AI110">
            <v>17504.907130029485</v>
          </cell>
          <cell r="AJ110">
            <v>0</v>
          </cell>
          <cell r="AK110">
            <v>0</v>
          </cell>
          <cell r="AL110">
            <v>141858</v>
          </cell>
          <cell r="AM110">
            <v>0</v>
          </cell>
          <cell r="AN110">
            <v>33153</v>
          </cell>
          <cell r="AO110" t="str">
            <v>Zero investment in 2019</v>
          </cell>
          <cell r="AP110">
            <v>7229</v>
          </cell>
          <cell r="AQ110">
            <v>5541</v>
          </cell>
          <cell r="AR110">
            <v>19192.907130029485</v>
          </cell>
          <cell r="AS110">
            <v>17504.907130029485</v>
          </cell>
          <cell r="AT110">
            <v>0</v>
          </cell>
          <cell r="AU110">
            <v>17504.907130029485</v>
          </cell>
          <cell r="AV110">
            <v>340.53997845827274</v>
          </cell>
          <cell r="BB110">
            <v>36.76030497306192</v>
          </cell>
          <cell r="BC110">
            <v>36.76030497306192</v>
          </cell>
          <cell r="BD110">
            <v>35</v>
          </cell>
        </row>
        <row r="111">
          <cell r="A111" t="str">
            <v>8160-01-213</v>
          </cell>
          <cell r="B111" t="str">
            <v>Ester Tal</v>
          </cell>
          <cell r="C111" t="str">
            <v>057146813</v>
          </cell>
          <cell r="D111">
            <v>512065202</v>
          </cell>
          <cell r="F111" t="str">
            <v>אסתר טל</v>
          </cell>
          <cell r="G111" t="str">
            <v>III</v>
          </cell>
          <cell r="H111" t="str">
            <v>Meitav</v>
          </cell>
          <cell r="I111">
            <v>250000</v>
          </cell>
          <cell r="J111">
            <v>3.4147254544343955E-3</v>
          </cell>
          <cell r="K111">
            <v>8543.4260391515745</v>
          </cell>
          <cell r="L111">
            <v>2192.8513187014087</v>
          </cell>
          <cell r="M111">
            <v>6350.5747204501668</v>
          </cell>
          <cell r="N111">
            <v>45</v>
          </cell>
          <cell r="O111">
            <v>6395.5747204501668</v>
          </cell>
          <cell r="P111">
            <v>11097.332409579318</v>
          </cell>
          <cell r="Q111">
            <v>12</v>
          </cell>
          <cell r="R111">
            <v>11109.332409579318</v>
          </cell>
          <cell r="S111">
            <v>17504.907130029485</v>
          </cell>
          <cell r="U111">
            <v>265.53997845827274</v>
          </cell>
          <cell r="V111">
            <v>5</v>
          </cell>
          <cell r="W111">
            <v>270.53997845827274</v>
          </cell>
          <cell r="AB111" t="str">
            <v>IRA</v>
          </cell>
          <cell r="AC111">
            <v>265.53997845827274</v>
          </cell>
          <cell r="AD111">
            <v>70</v>
          </cell>
          <cell r="AE111">
            <v>0</v>
          </cell>
          <cell r="AF111">
            <v>0</v>
          </cell>
          <cell r="AG111">
            <v>340.53997845827274</v>
          </cell>
          <cell r="AH111">
            <v>340.53997845827274</v>
          </cell>
          <cell r="AI111">
            <v>17504.907130029485</v>
          </cell>
          <cell r="AJ111">
            <v>0</v>
          </cell>
          <cell r="AK111">
            <v>0</v>
          </cell>
          <cell r="AL111">
            <v>141858</v>
          </cell>
          <cell r="AM111">
            <v>0</v>
          </cell>
          <cell r="AN111">
            <v>33153</v>
          </cell>
          <cell r="AO111" t="str">
            <v>Zero investment in 2019</v>
          </cell>
          <cell r="AP111">
            <v>7229</v>
          </cell>
          <cell r="AQ111">
            <v>5541</v>
          </cell>
          <cell r="AR111">
            <v>19192.907130029485</v>
          </cell>
          <cell r="AS111">
            <v>17504.907130029485</v>
          </cell>
          <cell r="AT111">
            <v>0</v>
          </cell>
          <cell r="AU111">
            <v>17504.907130029485</v>
          </cell>
          <cell r="AV111">
            <v>340.53997845827274</v>
          </cell>
          <cell r="BB111">
            <v>36.76030497306192</v>
          </cell>
          <cell r="BC111">
            <v>36.76030497306192</v>
          </cell>
          <cell r="BD111">
            <v>35</v>
          </cell>
        </row>
        <row r="112">
          <cell r="A112" t="str">
            <v>8160-01-214</v>
          </cell>
          <cell r="B112" t="str">
            <v>Eyal Yaakov</v>
          </cell>
          <cell r="C112" t="str">
            <v>027136324</v>
          </cell>
          <cell r="D112">
            <v>512065202</v>
          </cell>
          <cell r="F112" t="str">
            <v>איל יעקב</v>
          </cell>
          <cell r="G112" t="str">
            <v>III</v>
          </cell>
          <cell r="H112" t="str">
            <v>Meitav</v>
          </cell>
          <cell r="I112">
            <v>220000</v>
          </cell>
          <cell r="J112">
            <v>3.0049583999022678E-3</v>
          </cell>
          <cell r="K112">
            <v>7518.214914453386</v>
          </cell>
          <cell r="L112">
            <v>1929.7091604572395</v>
          </cell>
          <cell r="M112">
            <v>5588.5057539961463</v>
          </cell>
          <cell r="N112">
            <v>40</v>
          </cell>
          <cell r="O112">
            <v>5628.5057539961463</v>
          </cell>
          <cell r="P112">
            <v>9765.6525204297996</v>
          </cell>
          <cell r="Q112">
            <v>10</v>
          </cell>
          <cell r="R112">
            <v>9775.6525204297996</v>
          </cell>
          <cell r="S112">
            <v>15404.158274425947</v>
          </cell>
          <cell r="U112">
            <v>233.67518104327999</v>
          </cell>
          <cell r="V112">
            <v>5</v>
          </cell>
          <cell r="W112">
            <v>238.67518104327999</v>
          </cell>
          <cell r="AB112" t="str">
            <v>IRA</v>
          </cell>
          <cell r="AC112">
            <v>233.67518104327999</v>
          </cell>
          <cell r="AD112">
            <v>62</v>
          </cell>
          <cell r="AE112">
            <v>0</v>
          </cell>
          <cell r="AF112">
            <v>0</v>
          </cell>
          <cell r="AG112">
            <v>300.67518104327996</v>
          </cell>
          <cell r="AH112">
            <v>300.67518104327996</v>
          </cell>
          <cell r="AI112">
            <v>15404.158274425947</v>
          </cell>
          <cell r="AJ112">
            <v>0</v>
          </cell>
          <cell r="AK112">
            <v>0</v>
          </cell>
          <cell r="AL112">
            <v>124835</v>
          </cell>
          <cell r="AM112">
            <v>0</v>
          </cell>
          <cell r="AN112">
            <v>29175</v>
          </cell>
          <cell r="AO112" t="str">
            <v>Zero investment in 2019</v>
          </cell>
          <cell r="AP112">
            <v>6361</v>
          </cell>
          <cell r="AQ112">
            <v>4876</v>
          </cell>
          <cell r="AR112">
            <v>16889.158274425947</v>
          </cell>
          <cell r="AS112">
            <v>15404.158274425947</v>
          </cell>
          <cell r="AT112">
            <v>0</v>
          </cell>
          <cell r="AU112">
            <v>15404.158274425947</v>
          </cell>
          <cell r="AV112">
            <v>300.67518104327996</v>
          </cell>
          <cell r="BB112">
            <v>32.348732376294485</v>
          </cell>
          <cell r="BC112">
            <v>32.348732376294485</v>
          </cell>
          <cell r="BD112">
            <v>35</v>
          </cell>
        </row>
        <row r="113">
          <cell r="A113" t="str">
            <v>8160-01-215</v>
          </cell>
          <cell r="B113" t="str">
            <v>Guy Caspary</v>
          </cell>
          <cell r="C113" t="str">
            <v>027473156</v>
          </cell>
          <cell r="D113">
            <v>512065202</v>
          </cell>
          <cell r="F113" t="str">
            <v>גיא כספרי</v>
          </cell>
          <cell r="G113" t="str">
            <v>III</v>
          </cell>
          <cell r="H113" t="str">
            <v>Meitav</v>
          </cell>
          <cell r="I113">
            <v>279997</v>
          </cell>
          <cell r="J113">
            <v>3.8244515322610694E-3</v>
          </cell>
          <cell r="K113">
            <v>9568.5346427372933</v>
          </cell>
          <cell r="L113">
            <v>2455.967162729753</v>
          </cell>
          <cell r="M113">
            <v>7112.5674800075412</v>
          </cell>
          <cell r="N113">
            <v>51</v>
          </cell>
          <cell r="O113">
            <v>7163.5674800075412</v>
          </cell>
          <cell r="P113">
            <v>12428.879130739921</v>
          </cell>
          <cell r="Q113">
            <v>13</v>
          </cell>
          <cell r="R113">
            <v>12441.879130739921</v>
          </cell>
          <cell r="S113">
            <v>19605.446610747462</v>
          </cell>
          <cell r="U113">
            <v>297.40158939352392</v>
          </cell>
          <cell r="V113">
            <v>6</v>
          </cell>
          <cell r="W113">
            <v>303.40158939352392</v>
          </cell>
          <cell r="AB113" t="str">
            <v>IRA</v>
          </cell>
          <cell r="AC113">
            <v>297.40158939352392</v>
          </cell>
          <cell r="AD113">
            <v>78</v>
          </cell>
          <cell r="AE113">
            <v>0</v>
          </cell>
          <cell r="AF113">
            <v>0</v>
          </cell>
          <cell r="AG113">
            <v>381.40158939352392</v>
          </cell>
          <cell r="AH113">
            <v>381.40158939352392</v>
          </cell>
          <cell r="AI113">
            <v>19605.446610747462</v>
          </cell>
          <cell r="AJ113">
            <v>0</v>
          </cell>
          <cell r="AK113">
            <v>0</v>
          </cell>
          <cell r="AL113">
            <v>158880</v>
          </cell>
          <cell r="AM113">
            <v>0</v>
          </cell>
          <cell r="AN113">
            <v>37128.5</v>
          </cell>
          <cell r="AO113" t="str">
            <v>Zero investment in 2019</v>
          </cell>
          <cell r="AP113">
            <v>8096</v>
          </cell>
          <cell r="AQ113">
            <v>6205</v>
          </cell>
          <cell r="AR113">
            <v>21496.446610747462</v>
          </cell>
          <cell r="AS113">
            <v>19605.446610747462</v>
          </cell>
          <cell r="AT113">
            <v>0</v>
          </cell>
          <cell r="AU113">
            <v>19605.446610747462</v>
          </cell>
          <cell r="AV113">
            <v>381.40158939352392</v>
          </cell>
          <cell r="BB113">
            <v>41.17143788256967</v>
          </cell>
          <cell r="BC113">
            <v>41.17143788256967</v>
          </cell>
          <cell r="BD113">
            <v>35</v>
          </cell>
        </row>
        <row r="114">
          <cell r="A114" t="str">
            <v>8160-01-216</v>
          </cell>
          <cell r="B114" t="str">
            <v>Shmuel (Muli) Ben Zvi - IRA</v>
          </cell>
          <cell r="C114" t="str">
            <v>056231475</v>
          </cell>
          <cell r="D114">
            <v>512065202</v>
          </cell>
          <cell r="F114" t="str">
            <v>שמואל בן צבי</v>
          </cell>
          <cell r="G114" t="str">
            <v>III</v>
          </cell>
          <cell r="H114" t="str">
            <v>Meitav</v>
          </cell>
          <cell r="I114">
            <v>100000</v>
          </cell>
          <cell r="J114">
            <v>1.3658901817737582E-3</v>
          </cell>
          <cell r="K114">
            <v>3417.37041566063</v>
          </cell>
          <cell r="L114">
            <v>877.14052748056349</v>
          </cell>
          <cell r="M114">
            <v>2540.2298881800666</v>
          </cell>
          <cell r="N114">
            <v>18</v>
          </cell>
          <cell r="O114">
            <v>2558.2298881800666</v>
          </cell>
          <cell r="P114">
            <v>4438.9329638317267</v>
          </cell>
          <cell r="Q114">
            <v>5</v>
          </cell>
          <cell r="R114">
            <v>4443.9329638317267</v>
          </cell>
          <cell r="S114">
            <v>7002.1628520117938</v>
          </cell>
          <cell r="U114">
            <v>106.21599138330909</v>
          </cell>
          <cell r="V114">
            <v>2</v>
          </cell>
          <cell r="W114">
            <v>108.21599138330909</v>
          </cell>
          <cell r="AB114" t="str">
            <v>IRA</v>
          </cell>
          <cell r="AC114">
            <v>106.21599138330909</v>
          </cell>
          <cell r="AD114">
            <v>28</v>
          </cell>
          <cell r="AE114">
            <v>0</v>
          </cell>
          <cell r="AF114">
            <v>0</v>
          </cell>
          <cell r="AG114">
            <v>136.21599138330907</v>
          </cell>
          <cell r="AH114">
            <v>136.21599138330907</v>
          </cell>
          <cell r="AI114">
            <v>7002.1628520117938</v>
          </cell>
          <cell r="AJ114">
            <v>0</v>
          </cell>
          <cell r="AK114">
            <v>0</v>
          </cell>
          <cell r="AL114">
            <v>56740.5</v>
          </cell>
          <cell r="AM114">
            <v>0</v>
          </cell>
          <cell r="AN114">
            <v>13264</v>
          </cell>
          <cell r="AO114" t="str">
            <v>Zero investment in 2019</v>
          </cell>
          <cell r="AP114">
            <v>2892</v>
          </cell>
          <cell r="AQ114">
            <v>2216</v>
          </cell>
          <cell r="AR114">
            <v>7678.1628520117938</v>
          </cell>
          <cell r="AS114">
            <v>7002.1628520117938</v>
          </cell>
          <cell r="AT114">
            <v>0</v>
          </cell>
          <cell r="AU114">
            <v>7002.1628520117938</v>
          </cell>
          <cell r="AV114">
            <v>136.21599138330907</v>
          </cell>
          <cell r="BB114">
            <v>14.704541989224767</v>
          </cell>
          <cell r="BC114">
            <v>18</v>
          </cell>
          <cell r="BD114">
            <v>35</v>
          </cell>
        </row>
        <row r="115">
          <cell r="A115" t="str">
            <v>8160-01-217</v>
          </cell>
          <cell r="B115" t="str">
            <v>Yehiel Tal</v>
          </cell>
          <cell r="C115" t="str">
            <v>054125224</v>
          </cell>
          <cell r="D115">
            <v>512065202</v>
          </cell>
          <cell r="F115" t="str">
            <v>יחיאל טל</v>
          </cell>
          <cell r="G115" t="str">
            <v>III</v>
          </cell>
          <cell r="H115" t="str">
            <v>Meitav</v>
          </cell>
          <cell r="I115">
            <v>250000</v>
          </cell>
          <cell r="J115">
            <v>3.4147254544343955E-3</v>
          </cell>
          <cell r="K115">
            <v>8543.4260391515745</v>
          </cell>
          <cell r="L115">
            <v>2192.8513187014087</v>
          </cell>
          <cell r="M115">
            <v>6350.5747204501668</v>
          </cell>
          <cell r="N115">
            <v>45</v>
          </cell>
          <cell r="O115">
            <v>6395.5747204501668</v>
          </cell>
          <cell r="P115">
            <v>11097.332409579318</v>
          </cell>
          <cell r="Q115">
            <v>12</v>
          </cell>
          <cell r="R115">
            <v>11109.332409579318</v>
          </cell>
          <cell r="S115">
            <v>17504.907130029485</v>
          </cell>
          <cell r="U115">
            <v>265.53997845827274</v>
          </cell>
          <cell r="V115">
            <v>5</v>
          </cell>
          <cell r="W115">
            <v>270.53997845827274</v>
          </cell>
          <cell r="AB115" t="str">
            <v>IRA</v>
          </cell>
          <cell r="AC115">
            <v>265.53997845827274</v>
          </cell>
          <cell r="AD115">
            <v>70</v>
          </cell>
          <cell r="AE115">
            <v>0</v>
          </cell>
          <cell r="AF115">
            <v>0</v>
          </cell>
          <cell r="AG115">
            <v>340.53997845827274</v>
          </cell>
          <cell r="AH115">
            <v>340.53997845827274</v>
          </cell>
          <cell r="AI115">
            <v>17504.907130029485</v>
          </cell>
          <cell r="AJ115">
            <v>0</v>
          </cell>
          <cell r="AK115">
            <v>0</v>
          </cell>
          <cell r="AL115">
            <v>141858</v>
          </cell>
          <cell r="AM115">
            <v>0</v>
          </cell>
          <cell r="AN115">
            <v>33153</v>
          </cell>
          <cell r="AO115" t="str">
            <v>Zero investment in 2019</v>
          </cell>
          <cell r="AP115">
            <v>7229</v>
          </cell>
          <cell r="AQ115">
            <v>5541</v>
          </cell>
          <cell r="AR115">
            <v>19192.907130029485</v>
          </cell>
          <cell r="AS115">
            <v>17504.907130029485</v>
          </cell>
          <cell r="AT115">
            <v>0</v>
          </cell>
          <cell r="AU115">
            <v>17504.907130029485</v>
          </cell>
          <cell r="AV115">
            <v>340.53997845827274</v>
          </cell>
          <cell r="BB115">
            <v>36.76030497306192</v>
          </cell>
          <cell r="BC115">
            <v>36.76030497306192</v>
          </cell>
          <cell r="BD115">
            <v>35</v>
          </cell>
        </row>
        <row r="116">
          <cell r="A116" t="str">
            <v>8160-01-218</v>
          </cell>
          <cell r="B116" t="str">
            <v>Dror HaCham</v>
          </cell>
          <cell r="C116" t="str">
            <v>022383210</v>
          </cell>
          <cell r="D116">
            <v>520023185</v>
          </cell>
          <cell r="F116" t="str">
            <v>דרורי חכם</v>
          </cell>
          <cell r="G116" t="str">
            <v>III</v>
          </cell>
          <cell r="H116" t="str">
            <v>Phoenix</v>
          </cell>
          <cell r="I116">
            <v>250000</v>
          </cell>
          <cell r="J116">
            <v>3.4147254544343955E-3</v>
          </cell>
          <cell r="K116">
            <v>8543.4260391515745</v>
          </cell>
          <cell r="L116">
            <v>2192.8513187014087</v>
          </cell>
          <cell r="M116">
            <v>6350.5747204501668</v>
          </cell>
          <cell r="N116">
            <v>45</v>
          </cell>
          <cell r="O116">
            <v>6395.5747204501668</v>
          </cell>
          <cell r="P116">
            <v>11097.332409579318</v>
          </cell>
          <cell r="Q116">
            <v>12</v>
          </cell>
          <cell r="R116">
            <v>11109.332409579318</v>
          </cell>
          <cell r="S116">
            <v>17504.907130029485</v>
          </cell>
          <cell r="U116">
            <v>265.53997845827274</v>
          </cell>
          <cell r="V116">
            <v>5</v>
          </cell>
          <cell r="W116">
            <v>270.53997845827274</v>
          </cell>
          <cell r="AB116" t="str">
            <v>IRA</v>
          </cell>
          <cell r="AC116">
            <v>265.53997845827274</v>
          </cell>
          <cell r="AD116">
            <v>70</v>
          </cell>
          <cell r="AE116">
            <v>0</v>
          </cell>
          <cell r="AF116">
            <v>0</v>
          </cell>
          <cell r="AG116">
            <v>340.53997845827274</v>
          </cell>
          <cell r="AH116">
            <v>340.53997845827274</v>
          </cell>
          <cell r="AI116">
            <v>17504.907130029485</v>
          </cell>
          <cell r="AJ116">
            <v>0</v>
          </cell>
          <cell r="AK116">
            <v>0</v>
          </cell>
          <cell r="AL116">
            <v>141858</v>
          </cell>
          <cell r="AM116">
            <v>0</v>
          </cell>
          <cell r="AN116">
            <v>33153</v>
          </cell>
          <cell r="AO116" t="str">
            <v>Zero investment in 2019</v>
          </cell>
          <cell r="AP116">
            <v>7229</v>
          </cell>
          <cell r="AQ116">
            <v>5541</v>
          </cell>
          <cell r="AR116">
            <v>19192.907130029485</v>
          </cell>
          <cell r="AS116">
            <v>17504.907130029485</v>
          </cell>
          <cell r="AT116">
            <v>0</v>
          </cell>
          <cell r="AU116">
            <v>17504.907130029485</v>
          </cell>
          <cell r="AV116">
            <v>340.53997845827274</v>
          </cell>
          <cell r="BB116">
            <v>36.76030497306192</v>
          </cell>
          <cell r="BC116">
            <v>36.76030497306192</v>
          </cell>
          <cell r="BD116">
            <v>35</v>
          </cell>
        </row>
        <row r="117">
          <cell r="A117" t="str">
            <v>8160-01-219</v>
          </cell>
          <cell r="B117" t="str">
            <v>Ornit Goren Agmon</v>
          </cell>
          <cell r="C117" t="str">
            <v>057671869</v>
          </cell>
          <cell r="D117">
            <v>57671869</v>
          </cell>
          <cell r="F117" t="str">
            <v>אורנית גורן אגמון</v>
          </cell>
          <cell r="G117" t="str">
            <v>III</v>
          </cell>
          <cell r="I117">
            <v>250000</v>
          </cell>
          <cell r="J117">
            <v>3.4147254544343955E-3</v>
          </cell>
          <cell r="K117">
            <v>8543.4260391515745</v>
          </cell>
          <cell r="L117">
            <v>2192.8513187014087</v>
          </cell>
          <cell r="M117">
            <v>6350.5747204501668</v>
          </cell>
          <cell r="N117">
            <v>45</v>
          </cell>
          <cell r="O117">
            <v>6395.5747204501668</v>
          </cell>
          <cell r="P117">
            <v>11097.332409579318</v>
          </cell>
          <cell r="Q117">
            <v>12</v>
          </cell>
          <cell r="R117">
            <v>11109.332409579318</v>
          </cell>
          <cell r="S117">
            <v>17504.907130029485</v>
          </cell>
          <cell r="T117">
            <v>1598.8936801125417</v>
          </cell>
          <cell r="U117">
            <v>265.53997845827274</v>
          </cell>
          <cell r="V117">
            <v>5</v>
          </cell>
          <cell r="W117">
            <v>270.53997845827274</v>
          </cell>
          <cell r="X117">
            <v>-270.53997845827274</v>
          </cell>
          <cell r="Y117">
            <v>1328.3537016542689</v>
          </cell>
          <cell r="Z117">
            <v>6</v>
          </cell>
          <cell r="AA117">
            <v>1334.3537016542689</v>
          </cell>
          <cell r="AB117" t="str">
            <v>X</v>
          </cell>
          <cell r="AD117">
            <v>70</v>
          </cell>
          <cell r="AE117">
            <v>81</v>
          </cell>
          <cell r="AF117">
            <v>1415.3537016542689</v>
          </cell>
          <cell r="AG117">
            <v>340.53997845827274</v>
          </cell>
          <cell r="AH117">
            <v>1755.8936801125417</v>
          </cell>
          <cell r="AI117">
            <v>16170.553428375217</v>
          </cell>
          <cell r="AJ117">
            <v>0</v>
          </cell>
          <cell r="AK117">
            <v>0</v>
          </cell>
          <cell r="AL117">
            <v>141858</v>
          </cell>
          <cell r="AM117">
            <v>0</v>
          </cell>
          <cell r="AN117">
            <v>33153</v>
          </cell>
          <cell r="AO117" t="str">
            <v>Zero investment in 2019</v>
          </cell>
          <cell r="AP117">
            <v>7229</v>
          </cell>
          <cell r="AQ117">
            <v>5541</v>
          </cell>
          <cell r="AR117">
            <v>19192.907130029485</v>
          </cell>
          <cell r="AS117">
            <v>17504.907130029485</v>
          </cell>
          <cell r="AT117">
            <v>1328.3537016542689</v>
          </cell>
          <cell r="AU117">
            <v>16170.553428375217</v>
          </cell>
          <cell r="AV117">
            <v>1755.8936801125417</v>
          </cell>
          <cell r="BB117">
            <v>33.958162199587953</v>
          </cell>
          <cell r="BC117">
            <v>33.958162199587953</v>
          </cell>
          <cell r="BD117">
            <v>35</v>
          </cell>
        </row>
        <row r="118">
          <cell r="A118" t="str">
            <v>8160-01-220</v>
          </cell>
          <cell r="B118" t="str">
            <v>Ron Segre</v>
          </cell>
          <cell r="C118" t="str">
            <v>027239847</v>
          </cell>
          <cell r="D118">
            <v>27239847</v>
          </cell>
          <cell r="F118" t="str">
            <v>רון סגרה</v>
          </cell>
          <cell r="G118" t="str">
            <v>III</v>
          </cell>
          <cell r="I118">
            <v>250000</v>
          </cell>
          <cell r="J118">
            <v>3.4147254544343955E-3</v>
          </cell>
          <cell r="K118">
            <v>8543.4260391515745</v>
          </cell>
          <cell r="L118">
            <v>2192.8513187014087</v>
          </cell>
          <cell r="M118">
            <v>6350.5747204501668</v>
          </cell>
          <cell r="N118">
            <v>45</v>
          </cell>
          <cell r="O118">
            <v>6395.5747204501668</v>
          </cell>
          <cell r="P118">
            <v>11097.332409579318</v>
          </cell>
          <cell r="Q118">
            <v>12</v>
          </cell>
          <cell r="R118">
            <v>11109.332409579318</v>
          </cell>
          <cell r="S118">
            <v>17504.907130029485</v>
          </cell>
          <cell r="T118">
            <v>1598.8936801125417</v>
          </cell>
          <cell r="U118">
            <v>265.53997845827274</v>
          </cell>
          <cell r="V118">
            <v>5</v>
          </cell>
          <cell r="W118">
            <v>270.53997845827274</v>
          </cell>
          <cell r="X118">
            <v>-270.53997845827274</v>
          </cell>
          <cell r="Y118">
            <v>1328.3537016542689</v>
          </cell>
          <cell r="Z118">
            <v>6</v>
          </cell>
          <cell r="AA118">
            <v>1334.3537016542689</v>
          </cell>
          <cell r="AB118" t="str">
            <v>X</v>
          </cell>
          <cell r="AD118">
            <v>70</v>
          </cell>
          <cell r="AE118">
            <v>81</v>
          </cell>
          <cell r="AF118">
            <v>1415.3537016542689</v>
          </cell>
          <cell r="AG118">
            <v>340.53997845827274</v>
          </cell>
          <cell r="AH118">
            <v>1755.8936801125417</v>
          </cell>
          <cell r="AI118">
            <v>16170.553428375217</v>
          </cell>
          <cell r="AJ118">
            <v>0</v>
          </cell>
          <cell r="AK118">
            <v>0</v>
          </cell>
          <cell r="AL118">
            <v>141858</v>
          </cell>
          <cell r="AM118">
            <v>0</v>
          </cell>
          <cell r="AN118">
            <v>33153</v>
          </cell>
          <cell r="AO118" t="str">
            <v>Zero investment in 2019</v>
          </cell>
          <cell r="AP118">
            <v>7229</v>
          </cell>
          <cell r="AQ118">
            <v>5541</v>
          </cell>
          <cell r="AR118">
            <v>19192.907130029485</v>
          </cell>
          <cell r="AS118">
            <v>17504.907130029485</v>
          </cell>
          <cell r="AT118">
            <v>1328.3537016542689</v>
          </cell>
          <cell r="AU118">
            <v>16170.553428375217</v>
          </cell>
          <cell r="AV118">
            <v>1755.8936801125417</v>
          </cell>
          <cell r="AW118" t="str">
            <v>לא מקבלים כסף</v>
          </cell>
          <cell r="BB118">
            <v>33.958162199587953</v>
          </cell>
          <cell r="BC118">
            <v>33.958162199587953</v>
          </cell>
          <cell r="BD118">
            <v>35</v>
          </cell>
        </row>
        <row r="119">
          <cell r="A119" t="str">
            <v>8160-01-221</v>
          </cell>
          <cell r="B119" t="str">
            <v>Shmuel (Muli) Ben Zvi</v>
          </cell>
          <cell r="C119" t="str">
            <v>056231475</v>
          </cell>
          <cell r="D119">
            <v>56231475</v>
          </cell>
          <cell r="F119" t="str">
            <v>שמואל בן צבי</v>
          </cell>
          <cell r="G119" t="str">
            <v>III</v>
          </cell>
          <cell r="I119">
            <v>150000</v>
          </cell>
          <cell r="J119">
            <v>2.0488352726606373E-3</v>
          </cell>
          <cell r="K119">
            <v>5126.0556234909454</v>
          </cell>
          <cell r="L119">
            <v>1315.7107912208453</v>
          </cell>
          <cell r="M119">
            <v>3810.3448322701001</v>
          </cell>
          <cell r="N119">
            <v>27</v>
          </cell>
          <cell r="O119">
            <v>3837.3448322701001</v>
          </cell>
          <cell r="P119">
            <v>6658.399445747591</v>
          </cell>
          <cell r="Q119">
            <v>7</v>
          </cell>
          <cell r="R119">
            <v>6665.399445747591</v>
          </cell>
          <cell r="S119">
            <v>10502.744278017692</v>
          </cell>
          <cell r="T119">
            <v>959.33620806752504</v>
          </cell>
          <cell r="U119">
            <v>159.32398707496364</v>
          </cell>
          <cell r="V119">
            <v>3</v>
          </cell>
          <cell r="W119">
            <v>162.32398707496364</v>
          </cell>
          <cell r="X119">
            <v>-162.32398707496364</v>
          </cell>
          <cell r="Y119">
            <v>797.01222099256142</v>
          </cell>
          <cell r="Z119">
            <v>4</v>
          </cell>
          <cell r="AA119">
            <v>801.01222099256142</v>
          </cell>
          <cell r="AB119" t="str">
            <v>X</v>
          </cell>
          <cell r="AD119">
            <v>42</v>
          </cell>
          <cell r="AE119">
            <v>49</v>
          </cell>
          <cell r="AF119">
            <v>850.01222099256142</v>
          </cell>
          <cell r="AG119">
            <v>204.32398707496364</v>
          </cell>
          <cell r="AH119">
            <v>1054.3362080675251</v>
          </cell>
          <cell r="AI119">
            <v>9701.7320570251304</v>
          </cell>
          <cell r="AJ119">
            <v>0</v>
          </cell>
          <cell r="AK119">
            <v>0</v>
          </cell>
          <cell r="AL119">
            <v>85115</v>
          </cell>
          <cell r="AM119">
            <v>0</v>
          </cell>
          <cell r="AN119">
            <v>19889.5</v>
          </cell>
          <cell r="AO119" t="str">
            <v>Zero investment in 2019</v>
          </cell>
          <cell r="AP119">
            <v>4337</v>
          </cell>
          <cell r="AQ119">
            <v>3324</v>
          </cell>
          <cell r="AR119">
            <v>11515.744278017692</v>
          </cell>
          <cell r="AS119">
            <v>10502.744278017692</v>
          </cell>
          <cell r="AT119">
            <v>797.01222099256142</v>
          </cell>
          <cell r="AU119">
            <v>9701.7320570251304</v>
          </cell>
          <cell r="AV119">
            <v>1054.3362080675251</v>
          </cell>
          <cell r="BB119">
            <v>20.373637319752774</v>
          </cell>
          <cell r="BC119">
            <v>20.373637319752774</v>
          </cell>
          <cell r="BD119">
            <v>35</v>
          </cell>
        </row>
        <row r="120">
          <cell r="A120" t="str">
            <v>8160-01-222</v>
          </cell>
          <cell r="B120" t="str">
            <v>Nihshei Mishpahat Spivak</v>
          </cell>
          <cell r="C120">
            <v>512359852</v>
          </cell>
          <cell r="D120">
            <v>512359852</v>
          </cell>
          <cell r="E120" t="str">
            <v>Nihshei Mishpahat Spivak</v>
          </cell>
          <cell r="F120" t="str">
            <v>נכסי משפחת ספיבק בע"מ</v>
          </cell>
          <cell r="G120" t="str">
            <v>III</v>
          </cell>
          <cell r="I120">
            <v>250000</v>
          </cell>
          <cell r="J120">
            <v>3.4147254544343955E-3</v>
          </cell>
          <cell r="K120">
            <v>8543.4260391515745</v>
          </cell>
          <cell r="L120">
            <v>2192.8513187014087</v>
          </cell>
          <cell r="M120">
            <v>6350.5747204501668</v>
          </cell>
          <cell r="N120">
            <v>45</v>
          </cell>
          <cell r="O120">
            <v>6395.5747204501668</v>
          </cell>
          <cell r="P120">
            <v>11097.332409579318</v>
          </cell>
          <cell r="Q120">
            <v>12</v>
          </cell>
          <cell r="R120">
            <v>11109.332409579318</v>
          </cell>
          <cell r="S120">
            <v>17504.907130029485</v>
          </cell>
          <cell r="U120">
            <v>265.53997845827274</v>
          </cell>
          <cell r="V120">
            <v>5</v>
          </cell>
          <cell r="W120">
            <v>270.53997845827274</v>
          </cell>
          <cell r="AB120" t="str">
            <v>V</v>
          </cell>
          <cell r="AD120">
            <v>70</v>
          </cell>
          <cell r="AE120">
            <v>0</v>
          </cell>
          <cell r="AF120">
            <v>0</v>
          </cell>
          <cell r="AG120">
            <v>340.53997845827274</v>
          </cell>
          <cell r="AH120">
            <v>340.53997845827274</v>
          </cell>
          <cell r="AI120">
            <v>17504.907130029485</v>
          </cell>
          <cell r="AJ120">
            <v>0</v>
          </cell>
          <cell r="AK120">
            <v>0</v>
          </cell>
          <cell r="AL120">
            <v>141858</v>
          </cell>
          <cell r="AM120">
            <v>0</v>
          </cell>
          <cell r="AN120">
            <v>33153</v>
          </cell>
          <cell r="AO120" t="str">
            <v>Zero investment in 2019</v>
          </cell>
          <cell r="AP120">
            <v>7229</v>
          </cell>
          <cell r="AQ120">
            <v>5541</v>
          </cell>
          <cell r="AR120">
            <v>19192.907130029485</v>
          </cell>
          <cell r="AS120">
            <v>17504.907130029485</v>
          </cell>
          <cell r="AT120">
            <v>0</v>
          </cell>
          <cell r="AU120">
            <v>17504.907130029485</v>
          </cell>
          <cell r="AV120">
            <v>340.53997845827274</v>
          </cell>
          <cell r="BB120">
            <v>36.76030497306192</v>
          </cell>
          <cell r="BC120">
            <v>36.76030497306192</v>
          </cell>
          <cell r="BD120">
            <v>35</v>
          </cell>
        </row>
        <row r="121">
          <cell r="A121" t="str">
            <v>8160-01-223</v>
          </cell>
          <cell r="B121" t="str">
            <v>Uri Mishol</v>
          </cell>
          <cell r="C121" t="str">
            <v>033452475</v>
          </cell>
          <cell r="D121">
            <v>33452475</v>
          </cell>
          <cell r="F121" t="str">
            <v>אורי משעול</v>
          </cell>
          <cell r="G121" t="str">
            <v>III</v>
          </cell>
          <cell r="I121">
            <v>300000</v>
          </cell>
          <cell r="J121">
            <v>4.0976705453212746E-3</v>
          </cell>
          <cell r="K121">
            <v>10252.111246981891</v>
          </cell>
          <cell r="L121">
            <v>2631.4215824416906</v>
          </cell>
          <cell r="M121">
            <v>7620.6896645402003</v>
          </cell>
          <cell r="N121">
            <v>54</v>
          </cell>
          <cell r="O121">
            <v>7674.6896645402003</v>
          </cell>
          <cell r="P121">
            <v>13316.798891495182</v>
          </cell>
          <cell r="Q121">
            <v>14</v>
          </cell>
          <cell r="R121">
            <v>13330.798891495182</v>
          </cell>
          <cell r="S121">
            <v>21005.488556035383</v>
          </cell>
          <cell r="T121">
            <v>1918.6724161350501</v>
          </cell>
          <cell r="U121">
            <v>318.64797414992728</v>
          </cell>
          <cell r="V121">
            <v>6</v>
          </cell>
          <cell r="W121">
            <v>324.64797414992728</v>
          </cell>
          <cell r="X121">
            <v>-324.64797414992728</v>
          </cell>
          <cell r="Y121">
            <v>1594.0244419851228</v>
          </cell>
          <cell r="Z121">
            <v>7</v>
          </cell>
          <cell r="AA121">
            <v>1601.0244419851228</v>
          </cell>
          <cell r="AB121" t="str">
            <v>X</v>
          </cell>
          <cell r="AD121">
            <v>84</v>
          </cell>
          <cell r="AE121">
            <v>98</v>
          </cell>
          <cell r="AF121">
            <v>1699.0244419851228</v>
          </cell>
          <cell r="AG121">
            <v>408.64797414992728</v>
          </cell>
          <cell r="AH121">
            <v>2107.6724161350503</v>
          </cell>
          <cell r="AI121">
            <v>19404.464114050261</v>
          </cell>
          <cell r="AJ121">
            <v>0</v>
          </cell>
          <cell r="AK121">
            <v>0</v>
          </cell>
          <cell r="AL121">
            <v>170230</v>
          </cell>
          <cell r="AM121">
            <v>0</v>
          </cell>
          <cell r="AN121">
            <v>39784</v>
          </cell>
          <cell r="AO121" t="str">
            <v>Zero investment in 2019</v>
          </cell>
          <cell r="AP121">
            <v>8675</v>
          </cell>
          <cell r="AQ121">
            <v>6649</v>
          </cell>
          <cell r="AR121">
            <v>23031.488556035383</v>
          </cell>
          <cell r="AS121">
            <v>21005.488556035383</v>
          </cell>
          <cell r="AT121">
            <v>1594.0244419851228</v>
          </cell>
          <cell r="AU121">
            <v>19404.464114050261</v>
          </cell>
          <cell r="AV121">
            <v>2107.6724161350503</v>
          </cell>
          <cell r="BB121">
            <v>40.749374639505547</v>
          </cell>
          <cell r="BC121">
            <v>40.749374639505547</v>
          </cell>
          <cell r="BD121">
            <v>35</v>
          </cell>
        </row>
        <row r="122">
          <cell r="A122" t="str">
            <v>8160-01-224</v>
          </cell>
          <cell r="B122" t="str">
            <v>Yochai Tiroche</v>
          </cell>
          <cell r="C122" t="str">
            <v>051033256</v>
          </cell>
          <cell r="D122">
            <v>51033256</v>
          </cell>
          <cell r="F122" t="str">
            <v>יוחאי תירוש</v>
          </cell>
          <cell r="G122" t="str">
            <v>III</v>
          </cell>
          <cell r="I122">
            <v>400000</v>
          </cell>
          <cell r="J122">
            <v>5.4635607270950327E-3</v>
          </cell>
          <cell r="K122">
            <v>13669.48166264252</v>
          </cell>
          <cell r="L122">
            <v>3508.562109922254</v>
          </cell>
          <cell r="M122">
            <v>10160.919552720266</v>
          </cell>
          <cell r="N122">
            <v>72</v>
          </cell>
          <cell r="O122">
            <v>10232.919552720266</v>
          </cell>
          <cell r="P122">
            <v>17755.731855326907</v>
          </cell>
          <cell r="Q122">
            <v>18</v>
          </cell>
          <cell r="R122">
            <v>17773.731855326907</v>
          </cell>
          <cell r="S122">
            <v>28006.651408047175</v>
          </cell>
          <cell r="T122">
            <v>2558.2298881800666</v>
          </cell>
          <cell r="U122">
            <v>424.86396553323635</v>
          </cell>
          <cell r="V122">
            <v>8</v>
          </cell>
          <cell r="W122">
            <v>432.86396553323635</v>
          </cell>
          <cell r="X122">
            <v>-432.86396553323635</v>
          </cell>
          <cell r="Y122">
            <v>2125.3659226468303</v>
          </cell>
          <cell r="Z122">
            <v>10</v>
          </cell>
          <cell r="AA122">
            <v>2135.3659226468303</v>
          </cell>
          <cell r="AB122" t="str">
            <v>X</v>
          </cell>
          <cell r="AD122">
            <v>112</v>
          </cell>
          <cell r="AE122">
            <v>130</v>
          </cell>
          <cell r="AF122">
            <v>2265.3659226468303</v>
          </cell>
          <cell r="AG122">
            <v>544.8639655332363</v>
          </cell>
          <cell r="AH122">
            <v>2810.2298881800666</v>
          </cell>
          <cell r="AI122">
            <v>25871.285485400345</v>
          </cell>
          <cell r="AJ122">
            <v>0</v>
          </cell>
          <cell r="AK122">
            <v>0</v>
          </cell>
          <cell r="AL122">
            <v>226973</v>
          </cell>
          <cell r="AM122">
            <v>0</v>
          </cell>
          <cell r="AN122">
            <v>53045</v>
          </cell>
          <cell r="AO122" t="str">
            <v>Zero investment in 2019</v>
          </cell>
          <cell r="AP122">
            <v>11566</v>
          </cell>
          <cell r="AQ122">
            <v>8865</v>
          </cell>
          <cell r="AR122">
            <v>30707.651408047175</v>
          </cell>
          <cell r="AS122">
            <v>28006.651408047175</v>
          </cell>
          <cell r="AT122">
            <v>2125.3659226468303</v>
          </cell>
          <cell r="AU122">
            <v>25871.285485400345</v>
          </cell>
          <cell r="AV122">
            <v>2810.2298881800666</v>
          </cell>
          <cell r="BB122">
            <v>54.329699519340721</v>
          </cell>
          <cell r="BC122">
            <v>54.329699519340721</v>
          </cell>
          <cell r="BD122">
            <v>35</v>
          </cell>
        </row>
        <row r="123">
          <cell r="A123" t="str">
            <v>8160-01-225</v>
          </cell>
          <cell r="B123" t="str">
            <v>Aki Ratner</v>
          </cell>
          <cell r="C123" t="str">
            <v>054040977</v>
          </cell>
          <cell r="D123">
            <v>54040977</v>
          </cell>
          <cell r="F123" t="str">
            <v>יצחק איזיק רטנר</v>
          </cell>
          <cell r="G123" t="str">
            <v>IV</v>
          </cell>
          <cell r="I123">
            <v>250000</v>
          </cell>
          <cell r="J123">
            <v>3.4147254544343955E-3</v>
          </cell>
          <cell r="K123">
            <v>8543.4260391515745</v>
          </cell>
          <cell r="L123">
            <v>2192.8513187014087</v>
          </cell>
          <cell r="M123">
            <v>6350.5747204501668</v>
          </cell>
          <cell r="N123">
            <v>45</v>
          </cell>
          <cell r="O123">
            <v>6395.5747204501668</v>
          </cell>
          <cell r="P123">
            <v>11097.332409579318</v>
          </cell>
          <cell r="Q123">
            <v>12</v>
          </cell>
          <cell r="R123">
            <v>11109.332409579318</v>
          </cell>
          <cell r="S123">
            <v>17504.907130029485</v>
          </cell>
          <cell r="T123">
            <v>1598.8936801125417</v>
          </cell>
          <cell r="U123">
            <v>265.53997845827274</v>
          </cell>
          <cell r="V123">
            <v>5</v>
          </cell>
          <cell r="W123">
            <v>270.53997845827274</v>
          </cell>
          <cell r="X123">
            <v>-270.53997845827274</v>
          </cell>
          <cell r="Y123">
            <v>1328.3537016542689</v>
          </cell>
          <cell r="Z123">
            <v>6</v>
          </cell>
          <cell r="AA123">
            <v>1334.3537016542689</v>
          </cell>
          <cell r="AB123" t="str">
            <v>X</v>
          </cell>
          <cell r="AD123">
            <v>666</v>
          </cell>
          <cell r="AE123">
            <v>774</v>
          </cell>
          <cell r="AF123">
            <v>2108.3537016542687</v>
          </cell>
          <cell r="AG123">
            <v>936.5399784582728</v>
          </cell>
          <cell r="AH123">
            <v>3044.8936801125415</v>
          </cell>
          <cell r="AI123">
            <v>16170.553428375217</v>
          </cell>
          <cell r="AJ123">
            <v>0</v>
          </cell>
          <cell r="AK123">
            <v>0</v>
          </cell>
          <cell r="AL123">
            <v>0</v>
          </cell>
          <cell r="AM123">
            <v>141858</v>
          </cell>
          <cell r="AN123">
            <v>33153</v>
          </cell>
          <cell r="AO123" t="str">
            <v>Zero investment in 2019</v>
          </cell>
          <cell r="AP123">
            <v>7229</v>
          </cell>
          <cell r="AR123">
            <v>24733.907130029485</v>
          </cell>
          <cell r="AS123">
            <v>17504.907130029485</v>
          </cell>
          <cell r="AT123">
            <v>1328.3537016542689</v>
          </cell>
          <cell r="AU123">
            <v>16170.553428375217</v>
          </cell>
          <cell r="AV123">
            <v>3044.8936801125415</v>
          </cell>
          <cell r="BB123">
            <v>33.958162199587953</v>
          </cell>
          <cell r="BC123">
            <v>33.958162199587953</v>
          </cell>
          <cell r="BD123">
            <v>35</v>
          </cell>
        </row>
        <row r="124">
          <cell r="A124" t="str">
            <v>8160-01-226</v>
          </cell>
          <cell r="B124" t="str">
            <v>Amos &amp; Gili Weizman</v>
          </cell>
          <cell r="C124" t="str">
            <v>Amos - '008128910
Gili - '053387239</v>
          </cell>
          <cell r="D124" t="str">
            <v>Amos - '008128910
Gili - '053387239</v>
          </cell>
          <cell r="F124" t="str">
            <v>עמוס זוסיא ויצמן וגילי ויצמן עפרון</v>
          </cell>
          <cell r="G124" t="str">
            <v>IV</v>
          </cell>
          <cell r="I124">
            <v>250000</v>
          </cell>
          <cell r="J124">
            <v>3.4147254544343955E-3</v>
          </cell>
          <cell r="K124">
            <v>8543.4260391515745</v>
          </cell>
          <cell r="L124">
            <v>2192.8513187014087</v>
          </cell>
          <cell r="M124">
            <v>6350.5747204501668</v>
          </cell>
          <cell r="N124">
            <v>45</v>
          </cell>
          <cell r="O124">
            <v>6395.5747204501668</v>
          </cell>
          <cell r="P124">
            <v>11097.332409579318</v>
          </cell>
          <cell r="Q124">
            <v>12</v>
          </cell>
          <cell r="R124">
            <v>11109.332409579318</v>
          </cell>
          <cell r="S124">
            <v>17504.907130029485</v>
          </cell>
          <cell r="T124">
            <v>1598.8936801125417</v>
          </cell>
          <cell r="U124">
            <v>265.53997845827274</v>
          </cell>
          <cell r="V124">
            <v>5</v>
          </cell>
          <cell r="W124">
            <v>270.53997845827274</v>
          </cell>
          <cell r="X124">
            <v>-270.53997845827274</v>
          </cell>
          <cell r="Y124">
            <v>1328.3537016542689</v>
          </cell>
          <cell r="Z124">
            <v>6</v>
          </cell>
          <cell r="AA124">
            <v>1334.3537016542689</v>
          </cell>
          <cell r="AB124" t="str">
            <v>X</v>
          </cell>
          <cell r="AD124">
            <v>666</v>
          </cell>
          <cell r="AE124">
            <v>774</v>
          </cell>
          <cell r="AF124">
            <v>2108.3537016542687</v>
          </cell>
          <cell r="AG124">
            <v>936.5399784582728</v>
          </cell>
          <cell r="AH124">
            <v>3044.8936801125415</v>
          </cell>
          <cell r="AI124">
            <v>16170.553428375217</v>
          </cell>
          <cell r="AJ124">
            <v>0</v>
          </cell>
          <cell r="AK124">
            <v>0</v>
          </cell>
          <cell r="AL124">
            <v>0</v>
          </cell>
          <cell r="AM124">
            <v>141855.5</v>
          </cell>
          <cell r="AN124">
            <v>33150.5</v>
          </cell>
          <cell r="AO124" t="str">
            <v>Zero investment in 2019</v>
          </cell>
          <cell r="AP124">
            <v>7229</v>
          </cell>
          <cell r="AR124">
            <v>24733.907130029485</v>
          </cell>
          <cell r="AS124">
            <v>17504.907130029485</v>
          </cell>
          <cell r="AT124">
            <v>1328.3537016542689</v>
          </cell>
          <cell r="AU124">
            <v>16170.553428375217</v>
          </cell>
          <cell r="AV124">
            <v>3044.8936801125415</v>
          </cell>
          <cell r="BB124">
            <v>33.958162199587953</v>
          </cell>
          <cell r="BC124">
            <v>33.958162199587953</v>
          </cell>
          <cell r="BD124">
            <v>35</v>
          </cell>
        </row>
        <row r="125">
          <cell r="A125" t="str">
            <v>8160-01-227</v>
          </cell>
          <cell r="B125" t="str">
            <v>Ben Zion Zilberfarb</v>
          </cell>
          <cell r="C125" t="str">
            <v>030134605</v>
          </cell>
          <cell r="D125">
            <v>30134605</v>
          </cell>
          <cell r="F125" t="str">
            <v>בן ציון זילברפארב</v>
          </cell>
          <cell r="G125" t="str">
            <v>IV</v>
          </cell>
          <cell r="I125">
            <v>250000</v>
          </cell>
          <cell r="J125">
            <v>3.4147254544343955E-3</v>
          </cell>
          <cell r="K125">
            <v>8543.4260391515745</v>
          </cell>
          <cell r="L125">
            <v>2192.8513187014087</v>
          </cell>
          <cell r="M125">
            <v>6350.5747204501668</v>
          </cell>
          <cell r="N125">
            <v>45</v>
          </cell>
          <cell r="O125">
            <v>6395.5747204501668</v>
          </cell>
          <cell r="P125">
            <v>11097.332409579318</v>
          </cell>
          <cell r="Q125">
            <v>12</v>
          </cell>
          <cell r="R125">
            <v>11109.332409579318</v>
          </cell>
          <cell r="S125">
            <v>17504.907130029485</v>
          </cell>
          <cell r="T125">
            <v>1598.8936801125417</v>
          </cell>
          <cell r="U125">
            <v>265.53997845827274</v>
          </cell>
          <cell r="V125">
            <v>5</v>
          </cell>
          <cell r="W125">
            <v>270.53997845827274</v>
          </cell>
          <cell r="X125">
            <v>-270.53997845827274</v>
          </cell>
          <cell r="Y125">
            <v>1328.3537016542689</v>
          </cell>
          <cell r="Z125">
            <v>6</v>
          </cell>
          <cell r="AA125">
            <v>1334.3537016542689</v>
          </cell>
          <cell r="AB125" t="str">
            <v>X</v>
          </cell>
          <cell r="AD125">
            <v>666</v>
          </cell>
          <cell r="AE125">
            <v>774</v>
          </cell>
          <cell r="AF125">
            <v>2108.3537016542687</v>
          </cell>
          <cell r="AG125">
            <v>936.5399784582728</v>
          </cell>
          <cell r="AH125">
            <v>3044.8936801125415</v>
          </cell>
          <cell r="AI125">
            <v>16170.553428375217</v>
          </cell>
          <cell r="AJ125">
            <v>0</v>
          </cell>
          <cell r="AK125">
            <v>0</v>
          </cell>
          <cell r="AL125">
            <v>0</v>
          </cell>
          <cell r="AM125">
            <v>141858</v>
          </cell>
          <cell r="AN125">
            <v>33150.5</v>
          </cell>
          <cell r="AO125" t="str">
            <v>Zero investment in 2019</v>
          </cell>
          <cell r="AP125">
            <v>7229</v>
          </cell>
          <cell r="AR125">
            <v>24733.907130029485</v>
          </cell>
          <cell r="AS125">
            <v>17504.907130029485</v>
          </cell>
          <cell r="AT125">
            <v>1328.3537016542689</v>
          </cell>
          <cell r="AU125">
            <v>16170.553428375217</v>
          </cell>
          <cell r="AV125">
            <v>3044.8936801125415</v>
          </cell>
          <cell r="BB125">
            <v>33.958162199587953</v>
          </cell>
          <cell r="BC125">
            <v>33.958162199587953</v>
          </cell>
          <cell r="BD125">
            <v>35</v>
          </cell>
        </row>
        <row r="126">
          <cell r="A126" t="str">
            <v>8160-01-228</v>
          </cell>
          <cell r="B126" t="str">
            <v>D. Pasternak Managment and Holdings LTD</v>
          </cell>
          <cell r="C126">
            <v>515305746</v>
          </cell>
          <cell r="D126">
            <v>515305746</v>
          </cell>
          <cell r="E126" t="str">
            <v>D. Pasternak Managment and Holdings LTD</v>
          </cell>
          <cell r="F126" t="str">
            <v>ד. פסטרנק ניהול ואחזקות בע"מ</v>
          </cell>
          <cell r="G126" t="str">
            <v>IV</v>
          </cell>
          <cell r="I126">
            <v>250000</v>
          </cell>
          <cell r="J126">
            <v>3.4147254544343955E-3</v>
          </cell>
          <cell r="K126">
            <v>8543.4260391515745</v>
          </cell>
          <cell r="L126">
            <v>2192.8513187014087</v>
          </cell>
          <cell r="M126">
            <v>6350.5747204501668</v>
          </cell>
          <cell r="N126">
            <v>45</v>
          </cell>
          <cell r="O126">
            <v>6395.5747204501668</v>
          </cell>
          <cell r="P126">
            <v>11097.332409579318</v>
          </cell>
          <cell r="Q126">
            <v>12</v>
          </cell>
          <cell r="R126">
            <v>11109.332409579318</v>
          </cell>
          <cell r="S126">
            <v>17504.907130029485</v>
          </cell>
          <cell r="U126">
            <v>265.53997845827274</v>
          </cell>
          <cell r="V126">
            <v>5</v>
          </cell>
          <cell r="W126">
            <v>270.53997845827274</v>
          </cell>
          <cell r="Z126">
            <v>0</v>
          </cell>
          <cell r="AB126" t="str">
            <v>V</v>
          </cell>
          <cell r="AC126">
            <v>265.53997845827274</v>
          </cell>
          <cell r="AD126">
            <v>666</v>
          </cell>
          <cell r="AF126">
            <v>0</v>
          </cell>
          <cell r="AG126">
            <v>936.5399784582728</v>
          </cell>
          <cell r="AH126">
            <v>936.5399784582728</v>
          </cell>
          <cell r="AI126">
            <v>17504.907130029485</v>
          </cell>
          <cell r="AJ126" t="e">
            <v>#N/A</v>
          </cell>
          <cell r="AK126" t="e">
            <v>#N/A</v>
          </cell>
          <cell r="AL126" t="e">
            <v>#N/A</v>
          </cell>
          <cell r="AM126" t="e">
            <v>#N/A</v>
          </cell>
          <cell r="AN126" t="e">
            <v>#N/A</v>
          </cell>
          <cell r="AO126" t="str">
            <v>Zero investment in 2019</v>
          </cell>
          <cell r="AP126">
            <v>7229</v>
          </cell>
          <cell r="AR126">
            <v>24733.907130029485</v>
          </cell>
          <cell r="AS126">
            <v>17504.907130029485</v>
          </cell>
          <cell r="AT126">
            <v>0</v>
          </cell>
          <cell r="AU126">
            <v>17504.907130029485</v>
          </cell>
          <cell r="AV126">
            <v>936.5399784582728</v>
          </cell>
          <cell r="BB126">
            <v>36.76030497306192</v>
          </cell>
          <cell r="BC126">
            <v>36.76030497306192</v>
          </cell>
          <cell r="BD126">
            <v>35</v>
          </cell>
        </row>
        <row r="127">
          <cell r="A127" t="str">
            <v>8160-01-229</v>
          </cell>
          <cell r="B127" t="str">
            <v>Doron &amp; Yaffa Shalit</v>
          </cell>
          <cell r="C127" t="str">
            <v>Doron - 053971701
Yaffa - 054237763</v>
          </cell>
          <cell r="D127" t="str">
            <v>Doron - 053971701
Yaffa - 054237763</v>
          </cell>
          <cell r="F127" t="str">
            <v>דורון שליט ויפה שליט</v>
          </cell>
          <cell r="G127" t="str">
            <v>IV</v>
          </cell>
          <cell r="I127">
            <v>250000</v>
          </cell>
          <cell r="J127">
            <v>3.4147254544343955E-3</v>
          </cell>
          <cell r="K127">
            <v>8543.4260391515745</v>
          </cell>
          <cell r="L127">
            <v>2192.8513187014087</v>
          </cell>
          <cell r="M127">
            <v>6350.5747204501668</v>
          </cell>
          <cell r="N127">
            <v>45</v>
          </cell>
          <cell r="O127">
            <v>6395.5747204501668</v>
          </cell>
          <cell r="P127">
            <v>11097.332409579318</v>
          </cell>
          <cell r="Q127">
            <v>12</v>
          </cell>
          <cell r="R127">
            <v>11109.332409579318</v>
          </cell>
          <cell r="S127">
            <v>17504.907130029485</v>
          </cell>
          <cell r="T127">
            <v>1598.8936801125417</v>
          </cell>
          <cell r="U127">
            <v>265.53997845827274</v>
          </cell>
          <cell r="V127">
            <v>5</v>
          </cell>
          <cell r="W127">
            <v>270.53997845827274</v>
          </cell>
          <cell r="X127">
            <v>-270.53997845827274</v>
          </cell>
          <cell r="Y127">
            <v>1328.3537016542689</v>
          </cell>
          <cell r="Z127">
            <v>6</v>
          </cell>
          <cell r="AA127">
            <v>1334.3537016542689</v>
          </cell>
          <cell r="AB127" t="str">
            <v>X</v>
          </cell>
          <cell r="AD127">
            <v>666</v>
          </cell>
          <cell r="AE127">
            <v>774</v>
          </cell>
          <cell r="AF127">
            <v>2108.3537016542687</v>
          </cell>
          <cell r="AG127">
            <v>936.5399784582728</v>
          </cell>
          <cell r="AH127">
            <v>3044.8936801125415</v>
          </cell>
          <cell r="AI127">
            <v>16170.553428375217</v>
          </cell>
          <cell r="AJ127">
            <v>0</v>
          </cell>
          <cell r="AK127">
            <v>0</v>
          </cell>
          <cell r="AL127">
            <v>0</v>
          </cell>
          <cell r="AM127">
            <v>141858</v>
          </cell>
          <cell r="AN127">
            <v>33153</v>
          </cell>
          <cell r="AO127" t="str">
            <v>Zero investment in 2019</v>
          </cell>
          <cell r="AP127">
            <v>7229</v>
          </cell>
          <cell r="AR127">
            <v>24733.907130029485</v>
          </cell>
          <cell r="AS127">
            <v>17504.907130029485</v>
          </cell>
          <cell r="AT127">
            <v>1328.3537016542689</v>
          </cell>
          <cell r="AU127">
            <v>16170.553428375217</v>
          </cell>
          <cell r="AV127">
            <v>3044.8936801125415</v>
          </cell>
          <cell r="BB127">
            <v>33.958162199587953</v>
          </cell>
          <cell r="BC127">
            <v>33.958162199587953</v>
          </cell>
          <cell r="BD127">
            <v>35</v>
          </cell>
        </row>
        <row r="128">
          <cell r="A128" t="str">
            <v>8160-01-230</v>
          </cell>
          <cell r="B128" t="str">
            <v>Eran Brener</v>
          </cell>
          <cell r="C128" t="str">
            <v>027310887</v>
          </cell>
          <cell r="D128">
            <v>27310887</v>
          </cell>
          <cell r="F128" t="str">
            <v>ערן יוחנן ברנר</v>
          </cell>
          <cell r="G128" t="str">
            <v>IV</v>
          </cell>
          <cell r="I128">
            <v>150000</v>
          </cell>
          <cell r="J128">
            <v>2.0488352726606373E-3</v>
          </cell>
          <cell r="K128">
            <v>5126.0556234909454</v>
          </cell>
          <cell r="L128">
            <v>1315.7107912208453</v>
          </cell>
          <cell r="M128">
            <v>3810.3448322701001</v>
          </cell>
          <cell r="N128">
            <v>27</v>
          </cell>
          <cell r="O128">
            <v>3837.3448322701001</v>
          </cell>
          <cell r="P128">
            <v>6658.399445747591</v>
          </cell>
          <cell r="Q128">
            <v>7</v>
          </cell>
          <cell r="R128">
            <v>6665.399445747591</v>
          </cell>
          <cell r="S128">
            <v>10502.744278017692</v>
          </cell>
          <cell r="T128">
            <v>959.33620806752504</v>
          </cell>
          <cell r="U128">
            <v>159.32398707496364</v>
          </cell>
          <cell r="V128">
            <v>3</v>
          </cell>
          <cell r="W128">
            <v>162.32398707496364</v>
          </cell>
          <cell r="X128">
            <v>-162.32398707496364</v>
          </cell>
          <cell r="Y128">
            <v>797.01222099256142</v>
          </cell>
          <cell r="Z128">
            <v>4</v>
          </cell>
          <cell r="AA128">
            <v>801.01222099256142</v>
          </cell>
          <cell r="AB128" t="str">
            <v>X</v>
          </cell>
          <cell r="AD128">
            <v>400</v>
          </cell>
          <cell r="AE128">
            <v>465</v>
          </cell>
          <cell r="AF128">
            <v>1266.0122209925614</v>
          </cell>
          <cell r="AG128">
            <v>562.32398707496361</v>
          </cell>
          <cell r="AH128">
            <v>1828.3362080675251</v>
          </cell>
          <cell r="AI128">
            <v>9701.7320570251304</v>
          </cell>
          <cell r="AJ128">
            <v>0</v>
          </cell>
          <cell r="AK128">
            <v>0</v>
          </cell>
          <cell r="AL128">
            <v>0</v>
          </cell>
          <cell r="AM128">
            <v>85115</v>
          </cell>
          <cell r="AN128">
            <v>19892</v>
          </cell>
          <cell r="AO128" t="str">
            <v>Zero investment in 2019</v>
          </cell>
          <cell r="AP128">
            <v>4337</v>
          </cell>
          <cell r="AR128">
            <v>14839.744278017692</v>
          </cell>
          <cell r="AS128">
            <v>10502.744278017692</v>
          </cell>
          <cell r="AT128">
            <v>797.01222099256142</v>
          </cell>
          <cell r="AU128">
            <v>9701.7320570251304</v>
          </cell>
          <cell r="AV128">
            <v>1828.3362080675251</v>
          </cell>
          <cell r="BB128">
            <v>20.373637319752774</v>
          </cell>
          <cell r="BC128">
            <v>20.373637319752774</v>
          </cell>
          <cell r="BD128">
            <v>35</v>
          </cell>
        </row>
        <row r="129">
          <cell r="A129" t="str">
            <v>8160-01-231</v>
          </cell>
          <cell r="B129" t="str">
            <v>Gad Graff</v>
          </cell>
          <cell r="C129" t="str">
            <v>057520074</v>
          </cell>
          <cell r="D129">
            <v>57520074</v>
          </cell>
          <cell r="F129" t="str">
            <v>גד גרף</v>
          </cell>
          <cell r="G129" t="str">
            <v>IV</v>
          </cell>
          <cell r="I129">
            <v>200000</v>
          </cell>
          <cell r="J129">
            <v>2.7317803635475164E-3</v>
          </cell>
          <cell r="K129">
            <v>6834.74083132126</v>
          </cell>
          <cell r="L129">
            <v>1754.281054961127</v>
          </cell>
          <cell r="M129">
            <v>5080.4597763601332</v>
          </cell>
          <cell r="N129">
            <v>36</v>
          </cell>
          <cell r="O129">
            <v>5116.4597763601332</v>
          </cell>
          <cell r="P129">
            <v>8877.8659276634535</v>
          </cell>
          <cell r="Q129">
            <v>9</v>
          </cell>
          <cell r="R129">
            <v>8886.8659276634535</v>
          </cell>
          <cell r="S129">
            <v>14003.325704023588</v>
          </cell>
          <cell r="T129">
            <v>1279.1149440900333</v>
          </cell>
          <cell r="U129">
            <v>212.43198276661818</v>
          </cell>
          <cell r="V129">
            <v>4</v>
          </cell>
          <cell r="W129">
            <v>216.43198276661818</v>
          </cell>
          <cell r="X129">
            <v>-216.43198276661818</v>
          </cell>
          <cell r="Y129">
            <v>1062.6829613234152</v>
          </cell>
          <cell r="Z129">
            <v>5</v>
          </cell>
          <cell r="AA129">
            <v>1067.6829613234152</v>
          </cell>
          <cell r="AB129" t="str">
            <v>X</v>
          </cell>
          <cell r="AD129">
            <v>533</v>
          </cell>
          <cell r="AE129">
            <v>619</v>
          </cell>
          <cell r="AF129">
            <v>1686.6829613234152</v>
          </cell>
          <cell r="AG129">
            <v>749.43198276661815</v>
          </cell>
          <cell r="AH129">
            <v>2436.1149440900335</v>
          </cell>
          <cell r="AI129">
            <v>12935.642742700173</v>
          </cell>
          <cell r="AJ129">
            <v>0</v>
          </cell>
          <cell r="AK129">
            <v>0</v>
          </cell>
          <cell r="AL129">
            <v>0</v>
          </cell>
          <cell r="AM129">
            <v>113487</v>
          </cell>
          <cell r="AN129">
            <v>26522</v>
          </cell>
          <cell r="AO129" t="str">
            <v>Zero investment in 2019</v>
          </cell>
          <cell r="AP129">
            <v>5783</v>
          </cell>
          <cell r="AR129">
            <v>19786.325704023588</v>
          </cell>
          <cell r="AS129">
            <v>14003.325704023588</v>
          </cell>
          <cell r="AT129">
            <v>1062.6829613234152</v>
          </cell>
          <cell r="AU129">
            <v>12935.642742700173</v>
          </cell>
          <cell r="AV129">
            <v>2436.1149440900335</v>
          </cell>
          <cell r="BB129">
            <v>27.164849759670361</v>
          </cell>
          <cell r="BC129">
            <v>27.164849759670361</v>
          </cell>
          <cell r="BD129">
            <v>35</v>
          </cell>
        </row>
        <row r="130">
          <cell r="A130" t="str">
            <v>8160-01-232</v>
          </cell>
          <cell r="B130" t="str">
            <v>Tamar &amp; Shimon Gesundheit</v>
          </cell>
          <cell r="C130" t="str">
            <v>Tamar - 012426821
Shimon - 014762710</v>
          </cell>
          <cell r="D130" t="str">
            <v>Tamar - 012426821
Shimon - 014762710</v>
          </cell>
          <cell r="F130" t="str">
            <v>תמר גזונדהייט ושמעון גזונדהייט</v>
          </cell>
          <cell r="G130" t="str">
            <v>IV</v>
          </cell>
          <cell r="I130">
            <v>1500000</v>
          </cell>
          <cell r="J130">
            <v>2.048835272660637E-2</v>
          </cell>
          <cell r="K130">
            <v>51260.556234909447</v>
          </cell>
          <cell r="L130">
            <v>13157.10791220845</v>
          </cell>
          <cell r="M130">
            <v>38103.448322700999</v>
          </cell>
          <cell r="N130">
            <v>271</v>
          </cell>
          <cell r="O130">
            <v>38374.448322700999</v>
          </cell>
          <cell r="P130">
            <v>66583.994457475899</v>
          </cell>
          <cell r="Q130">
            <v>69</v>
          </cell>
          <cell r="R130">
            <v>66652.994457475899</v>
          </cell>
          <cell r="S130">
            <v>105027.44278017691</v>
          </cell>
          <cell r="T130">
            <v>9593.6120806752497</v>
          </cell>
          <cell r="U130">
            <v>1593.2398707496361</v>
          </cell>
          <cell r="V130">
            <v>31</v>
          </cell>
          <cell r="W130">
            <v>1624.2398707496361</v>
          </cell>
          <cell r="X130">
            <v>-1624.2398707496361</v>
          </cell>
          <cell r="Y130">
            <v>7969.3722099256138</v>
          </cell>
          <cell r="Z130">
            <v>36</v>
          </cell>
          <cell r="AA130">
            <v>8005.3722099256138</v>
          </cell>
          <cell r="AB130" t="str">
            <v>X</v>
          </cell>
          <cell r="AD130">
            <v>3995</v>
          </cell>
          <cell r="AE130">
            <v>4645</v>
          </cell>
          <cell r="AF130">
            <v>12650.372209925614</v>
          </cell>
          <cell r="AG130">
            <v>5619.2398707496359</v>
          </cell>
          <cell r="AH130">
            <v>18269.612080675251</v>
          </cell>
          <cell r="AI130">
            <v>97022.070570251293</v>
          </cell>
          <cell r="AJ130">
            <v>0</v>
          </cell>
          <cell r="AK130">
            <v>0</v>
          </cell>
          <cell r="AL130">
            <v>0</v>
          </cell>
          <cell r="AM130">
            <v>851147.5</v>
          </cell>
          <cell r="AN130">
            <v>198918</v>
          </cell>
          <cell r="AO130" t="str">
            <v>Zero investment in 2019</v>
          </cell>
          <cell r="AP130">
            <v>43373</v>
          </cell>
          <cell r="AR130">
            <v>148400.44278017691</v>
          </cell>
          <cell r="AS130">
            <v>105027.44278017691</v>
          </cell>
          <cell r="AT130">
            <v>7969.3722099256138</v>
          </cell>
          <cell r="AU130">
            <v>97022.070570251293</v>
          </cell>
          <cell r="AV130">
            <v>18269.612080675251</v>
          </cell>
          <cell r="BB130">
            <v>203.74634819752771</v>
          </cell>
          <cell r="BC130">
            <v>203.74634819752771</v>
          </cell>
          <cell r="BD130">
            <v>35</v>
          </cell>
        </row>
        <row r="131">
          <cell r="A131" t="str">
            <v>8160-01-233</v>
          </cell>
          <cell r="B131" t="str">
            <v>Harlap Holdings LTD</v>
          </cell>
          <cell r="C131">
            <v>513262063</v>
          </cell>
          <cell r="D131">
            <v>513262063</v>
          </cell>
          <cell r="E131" t="str">
            <v>Harlap Holdings LTD</v>
          </cell>
          <cell r="F131" t="str">
            <v>חרל"פ אחזקות בע"מ</v>
          </cell>
          <cell r="G131" t="str">
            <v>IV</v>
          </cell>
          <cell r="I131">
            <v>280000</v>
          </cell>
          <cell r="J131">
            <v>3.8244925089665227E-3</v>
          </cell>
          <cell r="K131">
            <v>9568.637163849764</v>
          </cell>
          <cell r="L131">
            <v>2455.9934769455776</v>
          </cell>
          <cell r="M131">
            <v>7112.6436869041863</v>
          </cell>
          <cell r="N131">
            <v>51</v>
          </cell>
          <cell r="O131">
            <v>7163.6436869041863</v>
          </cell>
          <cell r="P131">
            <v>12429.012298728834</v>
          </cell>
          <cell r="Q131">
            <v>13</v>
          </cell>
          <cell r="R131">
            <v>12442.012298728834</v>
          </cell>
          <cell r="S131">
            <v>19605.65598563302</v>
          </cell>
          <cell r="U131">
            <v>297.40477587326541</v>
          </cell>
          <cell r="V131">
            <v>6</v>
          </cell>
          <cell r="W131">
            <v>303.40477587326541</v>
          </cell>
          <cell r="AB131" t="str">
            <v>V</v>
          </cell>
          <cell r="AC131">
            <v>297.40477587326541</v>
          </cell>
          <cell r="AD131">
            <v>746</v>
          </cell>
          <cell r="AF131">
            <v>0</v>
          </cell>
          <cell r="AG131">
            <v>1049.4047758732654</v>
          </cell>
          <cell r="AH131">
            <v>1049.4047758732654</v>
          </cell>
          <cell r="AI131">
            <v>19605.65598563302</v>
          </cell>
          <cell r="AJ131" t="e">
            <v>#N/A</v>
          </cell>
          <cell r="AK131" t="e">
            <v>#N/A</v>
          </cell>
          <cell r="AL131" t="e">
            <v>#N/A</v>
          </cell>
          <cell r="AM131" t="e">
            <v>#N/A</v>
          </cell>
          <cell r="AN131" t="e">
            <v>#N/A</v>
          </cell>
          <cell r="AO131" t="str">
            <v>Zero investment in 2019</v>
          </cell>
          <cell r="AP131">
            <v>8096</v>
          </cell>
          <cell r="AR131">
            <v>27701.65598563302</v>
          </cell>
          <cell r="AS131">
            <v>19605.65598563302</v>
          </cell>
          <cell r="AT131">
            <v>0</v>
          </cell>
          <cell r="AU131">
            <v>19605.65598563302</v>
          </cell>
          <cell r="AV131">
            <v>1049.4047758732654</v>
          </cell>
          <cell r="BB131">
            <v>41.171877569829341</v>
          </cell>
          <cell r="BC131">
            <v>41.171877569829341</v>
          </cell>
          <cell r="BD131">
            <v>35</v>
          </cell>
        </row>
        <row r="132">
          <cell r="A132" t="str">
            <v>8160-01-234</v>
          </cell>
          <cell r="B132" t="str">
            <v>Avraham Fried</v>
          </cell>
          <cell r="C132" t="str">
            <v>056166804</v>
          </cell>
          <cell r="D132">
            <v>512065202</v>
          </cell>
          <cell r="F132" t="str">
            <v>אברהם פריד</v>
          </cell>
          <cell r="G132" t="str">
            <v>IV</v>
          </cell>
          <cell r="H132" t="str">
            <v>Meitav</v>
          </cell>
          <cell r="I132">
            <v>1000000</v>
          </cell>
          <cell r="J132">
            <v>1.3658901817737582E-2</v>
          </cell>
          <cell r="K132">
            <v>34173.704156606298</v>
          </cell>
          <cell r="L132">
            <v>8771.4052748056347</v>
          </cell>
          <cell r="M132">
            <v>25402.298881800667</v>
          </cell>
          <cell r="N132">
            <v>181</v>
          </cell>
          <cell r="O132">
            <v>25583.298881800667</v>
          </cell>
          <cell r="P132">
            <v>44389.329638317271</v>
          </cell>
          <cell r="Q132">
            <v>46</v>
          </cell>
          <cell r="R132">
            <v>44435.329638317271</v>
          </cell>
          <cell r="S132">
            <v>70018.628520117942</v>
          </cell>
          <cell r="U132">
            <v>1062.159913833091</v>
          </cell>
          <cell r="V132">
            <v>21</v>
          </cell>
          <cell r="W132">
            <v>1083.159913833091</v>
          </cell>
          <cell r="AB132" t="str">
            <v>IRA</v>
          </cell>
          <cell r="AC132">
            <v>1062.159913833091</v>
          </cell>
          <cell r="AD132">
            <v>2664</v>
          </cell>
          <cell r="AE132">
            <v>0</v>
          </cell>
          <cell r="AF132">
            <v>0</v>
          </cell>
          <cell r="AG132">
            <v>3747.1599138330912</v>
          </cell>
          <cell r="AH132">
            <v>3747.1599138330912</v>
          </cell>
          <cell r="AI132">
            <v>70018.628520117942</v>
          </cell>
          <cell r="AJ132">
            <v>0</v>
          </cell>
          <cell r="AK132">
            <v>0</v>
          </cell>
          <cell r="AL132">
            <v>0</v>
          </cell>
          <cell r="AM132">
            <v>567433</v>
          </cell>
          <cell r="AN132">
            <v>132612</v>
          </cell>
          <cell r="AO132" t="str">
            <v>Zero investment in 2019</v>
          </cell>
          <cell r="AP132">
            <v>28916</v>
          </cell>
          <cell r="AR132">
            <v>98934.628520117942</v>
          </cell>
          <cell r="AS132">
            <v>70018.628520117942</v>
          </cell>
          <cell r="AT132">
            <v>0</v>
          </cell>
          <cell r="AU132">
            <v>70018.628520117942</v>
          </cell>
          <cell r="AV132">
            <v>3747.1599138330912</v>
          </cell>
          <cell r="BB132">
            <v>147.03911989224767</v>
          </cell>
          <cell r="BC132">
            <v>147.03911989224767</v>
          </cell>
          <cell r="BD132">
            <v>35</v>
          </cell>
        </row>
        <row r="133">
          <cell r="A133" t="str">
            <v>8160-01-235</v>
          </cell>
          <cell r="B133" t="str">
            <v>Meir Benyamin Hershkovitz</v>
          </cell>
          <cell r="C133" t="str">
            <v>030319610</v>
          </cell>
          <cell r="D133">
            <v>512065202</v>
          </cell>
          <cell r="F133" t="str">
            <v>מאיר בנימין הרשקוביץ</v>
          </cell>
          <cell r="G133" t="str">
            <v>IV</v>
          </cell>
          <cell r="H133" t="str">
            <v>Meitav</v>
          </cell>
          <cell r="I133">
            <v>500000</v>
          </cell>
          <cell r="J133">
            <v>6.8294509088687909E-3</v>
          </cell>
          <cell r="K133">
            <v>17086.852078303149</v>
          </cell>
          <cell r="L133">
            <v>4385.7026374028173</v>
          </cell>
          <cell r="M133">
            <v>12701.149440900334</v>
          </cell>
          <cell r="N133">
            <v>90</v>
          </cell>
          <cell r="O133">
            <v>12791.149440900334</v>
          </cell>
          <cell r="P133">
            <v>22194.664819158636</v>
          </cell>
          <cell r="Q133">
            <v>23</v>
          </cell>
          <cell r="R133">
            <v>22217.664819158636</v>
          </cell>
          <cell r="S133">
            <v>35008.814260058971</v>
          </cell>
          <cell r="U133">
            <v>531.07995691654548</v>
          </cell>
          <cell r="V133">
            <v>10</v>
          </cell>
          <cell r="W133">
            <v>541.07995691654548</v>
          </cell>
          <cell r="AB133" t="str">
            <v>IRA</v>
          </cell>
          <cell r="AC133">
            <v>531.07995691654548</v>
          </cell>
          <cell r="AD133">
            <v>1332</v>
          </cell>
          <cell r="AE133">
            <v>0</v>
          </cell>
          <cell r="AF133">
            <v>0</v>
          </cell>
          <cell r="AG133">
            <v>1873.0799569165456</v>
          </cell>
          <cell r="AH133">
            <v>1873.0799569165456</v>
          </cell>
          <cell r="AI133">
            <v>35008.814260058971</v>
          </cell>
          <cell r="AJ133">
            <v>0</v>
          </cell>
          <cell r="AK133">
            <v>0</v>
          </cell>
          <cell r="AL133">
            <v>0</v>
          </cell>
          <cell r="AM133">
            <v>283717</v>
          </cell>
          <cell r="AN133">
            <v>66283</v>
          </cell>
          <cell r="AO133" t="str">
            <v>Zero investment in 2019</v>
          </cell>
          <cell r="AP133">
            <v>14458</v>
          </cell>
          <cell r="AR133">
            <v>49466.814260058971</v>
          </cell>
          <cell r="AS133">
            <v>35008.814260058971</v>
          </cell>
          <cell r="AT133">
            <v>0</v>
          </cell>
          <cell r="AU133">
            <v>35008.814260058971</v>
          </cell>
          <cell r="AV133">
            <v>1873.0799569165456</v>
          </cell>
          <cell r="BB133">
            <v>73.518509946123828</v>
          </cell>
          <cell r="BC133">
            <v>73.518509946123828</v>
          </cell>
          <cell r="BD133">
            <v>35</v>
          </cell>
        </row>
        <row r="134">
          <cell r="A134" t="str">
            <v>8160-01-236</v>
          </cell>
          <cell r="B134" t="str">
            <v>Avraham Zivony</v>
          </cell>
          <cell r="C134" t="str">
            <v>051598373</v>
          </cell>
          <cell r="D134">
            <v>512065202</v>
          </cell>
          <cell r="F134" t="str">
            <v>אברהם צבעוני</v>
          </cell>
          <cell r="G134" t="str">
            <v>IV</v>
          </cell>
          <cell r="H134" t="str">
            <v>Meitav</v>
          </cell>
          <cell r="I134">
            <v>250000</v>
          </cell>
          <cell r="J134">
            <v>3.4147254544343955E-3</v>
          </cell>
          <cell r="K134">
            <v>8543.4260391515745</v>
          </cell>
          <cell r="L134">
            <v>2192.8513187014087</v>
          </cell>
          <cell r="M134">
            <v>6350.5747204501668</v>
          </cell>
          <cell r="N134">
            <v>45</v>
          </cell>
          <cell r="O134">
            <v>6395.5747204501668</v>
          </cell>
          <cell r="P134">
            <v>11097.332409579318</v>
          </cell>
          <cell r="Q134">
            <v>12</v>
          </cell>
          <cell r="R134">
            <v>11109.332409579318</v>
          </cell>
          <cell r="S134">
            <v>17504.907130029485</v>
          </cell>
          <cell r="U134">
            <v>265.53997845827274</v>
          </cell>
          <cell r="V134">
            <v>5</v>
          </cell>
          <cell r="W134">
            <v>270.53997845827274</v>
          </cell>
          <cell r="AB134" t="str">
            <v>IRA</v>
          </cell>
          <cell r="AC134">
            <v>265.53997845827274</v>
          </cell>
          <cell r="AD134">
            <v>666</v>
          </cell>
          <cell r="AE134">
            <v>0</v>
          </cell>
          <cell r="AF134">
            <v>0</v>
          </cell>
          <cell r="AG134">
            <v>936.5399784582728</v>
          </cell>
          <cell r="AH134">
            <v>936.5399784582728</v>
          </cell>
          <cell r="AI134">
            <v>17504.907130029485</v>
          </cell>
          <cell r="AJ134">
            <v>0</v>
          </cell>
          <cell r="AK134">
            <v>0</v>
          </cell>
          <cell r="AL134">
            <v>0</v>
          </cell>
          <cell r="AM134">
            <v>141858</v>
          </cell>
          <cell r="AN134">
            <v>33153</v>
          </cell>
          <cell r="AO134" t="str">
            <v>Zero investment in 2019</v>
          </cell>
          <cell r="AP134">
            <v>7229</v>
          </cell>
          <cell r="AR134">
            <v>24733.907130029485</v>
          </cell>
          <cell r="AS134">
            <v>17504.907130029485</v>
          </cell>
          <cell r="AT134">
            <v>0</v>
          </cell>
          <cell r="AU134">
            <v>17504.907130029485</v>
          </cell>
          <cell r="AV134">
            <v>936.5399784582728</v>
          </cell>
          <cell r="BB134">
            <v>36.76030497306192</v>
          </cell>
          <cell r="BC134">
            <v>36.76030497306192</v>
          </cell>
          <cell r="BD134">
            <v>35</v>
          </cell>
        </row>
        <row r="135">
          <cell r="A135" t="str">
            <v>8160-01-237</v>
          </cell>
          <cell r="B135" t="str">
            <v>Limor Ariel Yakobi</v>
          </cell>
          <cell r="C135" t="str">
            <v>054934567</v>
          </cell>
          <cell r="D135">
            <v>512065202</v>
          </cell>
          <cell r="F135" t="str">
            <v>לימור אריאל יעקבי</v>
          </cell>
          <cell r="G135" t="str">
            <v>IV</v>
          </cell>
          <cell r="H135" t="str">
            <v>Meitav</v>
          </cell>
          <cell r="I135">
            <v>300000</v>
          </cell>
          <cell r="J135">
            <v>4.0976705453212746E-3</v>
          </cell>
          <cell r="K135">
            <v>10252.111246981891</v>
          </cell>
          <cell r="L135">
            <v>2631.4215824416906</v>
          </cell>
          <cell r="M135">
            <v>7620.6896645402003</v>
          </cell>
          <cell r="N135">
            <v>54</v>
          </cell>
          <cell r="O135">
            <v>7674.6896645402003</v>
          </cell>
          <cell r="P135">
            <v>13316.798891495182</v>
          </cell>
          <cell r="Q135">
            <v>14</v>
          </cell>
          <cell r="R135">
            <v>13330.798891495182</v>
          </cell>
          <cell r="S135">
            <v>21005.488556035383</v>
          </cell>
          <cell r="U135">
            <v>318.64797414992728</v>
          </cell>
          <cell r="V135">
            <v>6</v>
          </cell>
          <cell r="W135">
            <v>324.64797414992728</v>
          </cell>
          <cell r="AB135" t="str">
            <v>IRA</v>
          </cell>
          <cell r="AC135">
            <v>318.64797414992728</v>
          </cell>
          <cell r="AD135">
            <v>799</v>
          </cell>
          <cell r="AE135">
            <v>0</v>
          </cell>
          <cell r="AF135">
            <v>0</v>
          </cell>
          <cell r="AG135">
            <v>1123.6479741499272</v>
          </cell>
          <cell r="AH135">
            <v>1123.6479741499272</v>
          </cell>
          <cell r="AI135">
            <v>21005.488556035383</v>
          </cell>
          <cell r="AJ135">
            <v>0</v>
          </cell>
          <cell r="AK135">
            <v>0</v>
          </cell>
          <cell r="AL135">
            <v>0</v>
          </cell>
          <cell r="AM135">
            <v>170230</v>
          </cell>
          <cell r="AN135">
            <v>39784</v>
          </cell>
          <cell r="AO135" t="str">
            <v>Zero investment in 2019</v>
          </cell>
          <cell r="AP135">
            <v>8675</v>
          </cell>
          <cell r="AR135">
            <v>29680.488556035383</v>
          </cell>
          <cell r="AS135">
            <v>21005.488556035383</v>
          </cell>
          <cell r="AT135">
            <v>0</v>
          </cell>
          <cell r="AU135">
            <v>21005.488556035383</v>
          </cell>
          <cell r="AV135">
            <v>1123.6479741499272</v>
          </cell>
          <cell r="BB135">
            <v>44.111525967674304</v>
          </cell>
          <cell r="BC135">
            <v>44.111525967674304</v>
          </cell>
          <cell r="BD135">
            <v>35</v>
          </cell>
        </row>
        <row r="136">
          <cell r="A136" t="str">
            <v>8160-01-238</v>
          </cell>
          <cell r="B136" t="str">
            <v>Gila Klinger</v>
          </cell>
          <cell r="C136" t="str">
            <v>022692370</v>
          </cell>
          <cell r="D136">
            <v>512065202</v>
          </cell>
          <cell r="F136" t="str">
            <v>גילה קלינגר</v>
          </cell>
          <cell r="G136" t="str">
            <v>IV</v>
          </cell>
          <cell r="H136" t="str">
            <v>Meitav</v>
          </cell>
          <cell r="I136">
            <v>200000</v>
          </cell>
          <cell r="J136">
            <v>2.7317803635475164E-3</v>
          </cell>
          <cell r="K136">
            <v>6834.74083132126</v>
          </cell>
          <cell r="L136">
            <v>1754.281054961127</v>
          </cell>
          <cell r="M136">
            <v>5080.4597763601332</v>
          </cell>
          <cell r="N136">
            <v>36</v>
          </cell>
          <cell r="O136">
            <v>5116.4597763601332</v>
          </cell>
          <cell r="P136">
            <v>8877.8659276634535</v>
          </cell>
          <cell r="Q136">
            <v>9</v>
          </cell>
          <cell r="R136">
            <v>8886.8659276634535</v>
          </cell>
          <cell r="S136">
            <v>14003.325704023588</v>
          </cell>
          <cell r="U136">
            <v>212.43198276661818</v>
          </cell>
          <cell r="V136">
            <v>4</v>
          </cell>
          <cell r="W136">
            <v>216.43198276661818</v>
          </cell>
          <cell r="AB136" t="str">
            <v>IRA</v>
          </cell>
          <cell r="AC136">
            <v>212.43198276661818</v>
          </cell>
          <cell r="AD136">
            <v>533</v>
          </cell>
          <cell r="AE136">
            <v>0</v>
          </cell>
          <cell r="AF136">
            <v>0</v>
          </cell>
          <cell r="AG136">
            <v>749.43198276661815</v>
          </cell>
          <cell r="AH136">
            <v>749.43198276661815</v>
          </cell>
          <cell r="AI136">
            <v>14003.325704023588</v>
          </cell>
          <cell r="AJ136">
            <v>0</v>
          </cell>
          <cell r="AK136">
            <v>0</v>
          </cell>
          <cell r="AL136">
            <v>0</v>
          </cell>
          <cell r="AM136">
            <v>113487</v>
          </cell>
          <cell r="AN136">
            <v>26522</v>
          </cell>
          <cell r="AO136" t="str">
            <v>Zero investment in 2019</v>
          </cell>
          <cell r="AP136">
            <v>5783</v>
          </cell>
          <cell r="AR136">
            <v>19786.325704023588</v>
          </cell>
          <cell r="AS136">
            <v>14003.325704023588</v>
          </cell>
          <cell r="AT136">
            <v>0</v>
          </cell>
          <cell r="AU136">
            <v>14003.325704023588</v>
          </cell>
          <cell r="AV136">
            <v>749.43198276661815</v>
          </cell>
          <cell r="BB136">
            <v>29.406983978449531</v>
          </cell>
          <cell r="BC136">
            <v>29.406983978449531</v>
          </cell>
          <cell r="BD136">
            <v>35</v>
          </cell>
        </row>
        <row r="137">
          <cell r="A137" t="str">
            <v>8160-01-239</v>
          </cell>
          <cell r="B137" t="str">
            <v>Nachshon Gal</v>
          </cell>
          <cell r="C137" t="str">
            <v>054502901</v>
          </cell>
          <cell r="D137">
            <v>512065202</v>
          </cell>
          <cell r="F137" t="str">
            <v>נחשון גל</v>
          </cell>
          <cell r="G137" t="str">
            <v>IV</v>
          </cell>
          <cell r="H137" t="str">
            <v>Meitav</v>
          </cell>
          <cell r="I137">
            <v>250000</v>
          </cell>
          <cell r="J137">
            <v>3.4147254544343955E-3</v>
          </cell>
          <cell r="K137">
            <v>8543.4260391515745</v>
          </cell>
          <cell r="L137">
            <v>2192.8513187014087</v>
          </cell>
          <cell r="M137">
            <v>6350.5747204501668</v>
          </cell>
          <cell r="N137">
            <v>45</v>
          </cell>
          <cell r="O137">
            <v>6395.5747204501668</v>
          </cell>
          <cell r="P137">
            <v>11097.332409579318</v>
          </cell>
          <cell r="Q137">
            <v>12</v>
          </cell>
          <cell r="R137">
            <v>11109.332409579318</v>
          </cell>
          <cell r="S137">
            <v>17504.907130029485</v>
          </cell>
          <cell r="U137">
            <v>265.53997845827274</v>
          </cell>
          <cell r="V137">
            <v>5</v>
          </cell>
          <cell r="W137">
            <v>270.53997845827274</v>
          </cell>
          <cell r="AB137" t="str">
            <v>IRA</v>
          </cell>
          <cell r="AC137">
            <v>265.53997845827274</v>
          </cell>
          <cell r="AD137">
            <v>666</v>
          </cell>
          <cell r="AE137">
            <v>0</v>
          </cell>
          <cell r="AF137">
            <v>0</v>
          </cell>
          <cell r="AG137">
            <v>936.5399784582728</v>
          </cell>
          <cell r="AH137">
            <v>936.5399784582728</v>
          </cell>
          <cell r="AI137">
            <v>17504.907130029485</v>
          </cell>
          <cell r="AJ137">
            <v>0</v>
          </cell>
          <cell r="AK137">
            <v>0</v>
          </cell>
          <cell r="AL137">
            <v>0</v>
          </cell>
          <cell r="AM137">
            <v>141858</v>
          </cell>
          <cell r="AN137">
            <v>33153</v>
          </cell>
          <cell r="AO137" t="str">
            <v>Zero investment in 2019</v>
          </cell>
          <cell r="AP137">
            <v>7229</v>
          </cell>
          <cell r="AR137">
            <v>24733.907130029485</v>
          </cell>
          <cell r="AS137">
            <v>17504.907130029485</v>
          </cell>
          <cell r="AT137">
            <v>0</v>
          </cell>
          <cell r="AU137">
            <v>17504.907130029485</v>
          </cell>
          <cell r="AV137">
            <v>936.5399784582728</v>
          </cell>
          <cell r="BB137">
            <v>36.76030497306192</v>
          </cell>
          <cell r="BC137">
            <v>36.76030497306192</v>
          </cell>
          <cell r="BD137">
            <v>35</v>
          </cell>
        </row>
        <row r="138">
          <cell r="A138" t="str">
            <v>8160-01-240</v>
          </cell>
          <cell r="B138" t="str">
            <v>Reuven Nir</v>
          </cell>
          <cell r="C138" t="str">
            <v>050499839</v>
          </cell>
          <cell r="D138">
            <v>512065202</v>
          </cell>
          <cell r="F138" t="str">
            <v>ראובן ניר</v>
          </cell>
          <cell r="G138" t="str">
            <v>IV</v>
          </cell>
          <cell r="H138" t="str">
            <v>Meitav</v>
          </cell>
          <cell r="I138">
            <v>400000</v>
          </cell>
          <cell r="J138">
            <v>5.4635607270950327E-3</v>
          </cell>
          <cell r="K138">
            <v>13669.48166264252</v>
          </cell>
          <cell r="L138">
            <v>3508.562109922254</v>
          </cell>
          <cell r="M138">
            <v>10160.919552720266</v>
          </cell>
          <cell r="N138">
            <v>72</v>
          </cell>
          <cell r="O138">
            <v>10232.919552720266</v>
          </cell>
          <cell r="P138">
            <v>17755.731855326907</v>
          </cell>
          <cell r="Q138">
            <v>18</v>
          </cell>
          <cell r="R138">
            <v>17773.731855326907</v>
          </cell>
          <cell r="S138">
            <v>28006.651408047175</v>
          </cell>
          <cell r="U138">
            <v>424.86396553323635</v>
          </cell>
          <cell r="V138">
            <v>8</v>
          </cell>
          <cell r="W138">
            <v>432.86396553323635</v>
          </cell>
          <cell r="AB138" t="str">
            <v>IRA</v>
          </cell>
          <cell r="AC138">
            <v>424.86396553323635</v>
          </cell>
          <cell r="AD138">
            <v>1065</v>
          </cell>
          <cell r="AE138">
            <v>0</v>
          </cell>
          <cell r="AF138">
            <v>0</v>
          </cell>
          <cell r="AG138">
            <v>1497.8639655332363</v>
          </cell>
          <cell r="AH138">
            <v>1497.8639655332363</v>
          </cell>
          <cell r="AI138">
            <v>28006.651408047175</v>
          </cell>
          <cell r="AJ138">
            <v>0</v>
          </cell>
          <cell r="AK138">
            <v>0</v>
          </cell>
          <cell r="AL138">
            <v>0</v>
          </cell>
          <cell r="AM138">
            <v>226973</v>
          </cell>
          <cell r="AN138">
            <v>53045</v>
          </cell>
          <cell r="AO138" t="str">
            <v>Zero investment in 2019</v>
          </cell>
          <cell r="AP138">
            <v>11566</v>
          </cell>
          <cell r="AR138">
            <v>39572.651408047175</v>
          </cell>
          <cell r="AS138">
            <v>28006.651408047175</v>
          </cell>
          <cell r="AT138">
            <v>0</v>
          </cell>
          <cell r="AU138">
            <v>28006.651408047175</v>
          </cell>
          <cell r="AV138">
            <v>1497.8639655332363</v>
          </cell>
          <cell r="BB138">
            <v>58.813967956899063</v>
          </cell>
          <cell r="BC138">
            <v>58.813967956899063</v>
          </cell>
          <cell r="BD138">
            <v>35</v>
          </cell>
        </row>
        <row r="139">
          <cell r="A139" t="str">
            <v>8160-01-241</v>
          </cell>
          <cell r="B139" t="str">
            <v>Shevach Zeev Tentzer</v>
          </cell>
          <cell r="C139" t="str">
            <v>053665899</v>
          </cell>
          <cell r="D139">
            <v>512065202</v>
          </cell>
          <cell r="F139" t="str">
            <v>שבח זאב טנצר</v>
          </cell>
          <cell r="G139" t="str">
            <v>IV</v>
          </cell>
          <cell r="H139" t="str">
            <v>Meitav</v>
          </cell>
          <cell r="I139">
            <v>250000</v>
          </cell>
          <cell r="J139">
            <v>3.4147254544343955E-3</v>
          </cell>
          <cell r="K139">
            <v>8543.4260391515745</v>
          </cell>
          <cell r="L139">
            <v>2192.8513187014087</v>
          </cell>
          <cell r="M139">
            <v>6350.5747204501668</v>
          </cell>
          <cell r="N139">
            <v>45</v>
          </cell>
          <cell r="O139">
            <v>6395.5747204501668</v>
          </cell>
          <cell r="P139">
            <v>11097.332409579318</v>
          </cell>
          <cell r="Q139">
            <v>12</v>
          </cell>
          <cell r="R139">
            <v>11109.332409579318</v>
          </cell>
          <cell r="S139">
            <v>17504.907130029485</v>
          </cell>
          <cell r="U139">
            <v>265.53997845827274</v>
          </cell>
          <cell r="V139">
            <v>5</v>
          </cell>
          <cell r="W139">
            <v>270.53997845827274</v>
          </cell>
          <cell r="AB139" t="str">
            <v>IRA</v>
          </cell>
          <cell r="AC139">
            <v>265.53997845827274</v>
          </cell>
          <cell r="AD139">
            <v>666</v>
          </cell>
          <cell r="AE139">
            <v>0</v>
          </cell>
          <cell r="AF139">
            <v>0</v>
          </cell>
          <cell r="AG139">
            <v>936.5399784582728</v>
          </cell>
          <cell r="AH139">
            <v>936.5399784582728</v>
          </cell>
          <cell r="AI139">
            <v>17504.907130029485</v>
          </cell>
          <cell r="AJ139">
            <v>0</v>
          </cell>
          <cell r="AK139">
            <v>0</v>
          </cell>
          <cell r="AL139">
            <v>0</v>
          </cell>
          <cell r="AM139">
            <v>141858</v>
          </cell>
          <cell r="AN139">
            <v>33153</v>
          </cell>
          <cell r="AO139" t="str">
            <v>Zero investment in 2019</v>
          </cell>
          <cell r="AP139">
            <v>7229</v>
          </cell>
          <cell r="AR139">
            <v>24733.907130029485</v>
          </cell>
          <cell r="AS139">
            <v>17504.907130029485</v>
          </cell>
          <cell r="AT139">
            <v>0</v>
          </cell>
          <cell r="AU139">
            <v>17504.907130029485</v>
          </cell>
          <cell r="AV139">
            <v>936.5399784582728</v>
          </cell>
          <cell r="BB139">
            <v>36.76030497306192</v>
          </cell>
          <cell r="BC139">
            <v>36.76030497306192</v>
          </cell>
          <cell r="BD139">
            <v>35</v>
          </cell>
        </row>
        <row r="140">
          <cell r="A140" t="str">
            <v>8160-01-242</v>
          </cell>
          <cell r="B140" t="str">
            <v>Yona Fogel</v>
          </cell>
          <cell r="C140" t="str">
            <v>052102001</v>
          </cell>
          <cell r="D140">
            <v>512065202</v>
          </cell>
          <cell r="F140" t="str">
            <v>יונה פוגל</v>
          </cell>
          <cell r="G140" t="str">
            <v>IV</v>
          </cell>
          <cell r="H140" t="str">
            <v>Meitav</v>
          </cell>
          <cell r="I140">
            <v>175011</v>
          </cell>
          <cell r="J140">
            <v>2.3904580660240719E-3</v>
          </cell>
          <cell r="K140">
            <v>5980.7741381518254</v>
          </cell>
          <cell r="L140">
            <v>1535.092408549009</v>
          </cell>
          <cell r="M140">
            <v>4445.6817296028166</v>
          </cell>
          <cell r="N140">
            <v>-1696</v>
          </cell>
          <cell r="O140">
            <v>2749.6817296028166</v>
          </cell>
          <cell r="P140">
            <v>7768.6209693315441</v>
          </cell>
          <cell r="Q140">
            <v>-432</v>
          </cell>
          <cell r="R140">
            <v>7336.6209693315441</v>
          </cell>
          <cell r="S140">
            <v>10086.30269893436</v>
          </cell>
          <cell r="U140">
            <v>185.88966867984306</v>
          </cell>
          <cell r="V140">
            <v>-196</v>
          </cell>
          <cell r="W140">
            <v>-10.110331320156945</v>
          </cell>
          <cell r="AB140" t="str">
            <v>IRA</v>
          </cell>
          <cell r="AC140">
            <v>185.88966867984306</v>
          </cell>
          <cell r="AD140">
            <v>666</v>
          </cell>
          <cell r="AE140">
            <v>0</v>
          </cell>
          <cell r="AF140">
            <v>0</v>
          </cell>
          <cell r="AG140">
            <v>655.889668679843</v>
          </cell>
          <cell r="AH140">
            <v>655.889668679843</v>
          </cell>
          <cell r="AI140">
            <v>10086.30269893436</v>
          </cell>
          <cell r="AJ140">
            <v>0</v>
          </cell>
          <cell r="AK140">
            <v>0</v>
          </cell>
          <cell r="AL140">
            <v>0</v>
          </cell>
          <cell r="AM140">
            <v>141858</v>
          </cell>
          <cell r="AN140">
            <v>33153</v>
          </cell>
          <cell r="AO140" t="str">
            <v>Zero investment in 2019</v>
          </cell>
          <cell r="AP140">
            <v>7229</v>
          </cell>
          <cell r="AR140">
            <v>17315.30269893436</v>
          </cell>
          <cell r="AS140">
            <v>10086.30269893436</v>
          </cell>
          <cell r="AT140">
            <v>0</v>
          </cell>
          <cell r="AU140">
            <v>10086.30269893436</v>
          </cell>
          <cell r="AV140">
            <v>655.889668679843</v>
          </cell>
          <cell r="BB140">
            <v>21.181235667762156</v>
          </cell>
          <cell r="BC140">
            <v>21.181235667762156</v>
          </cell>
          <cell r="BD140">
            <v>35</v>
          </cell>
        </row>
        <row r="141">
          <cell r="A141" t="str">
            <v>8160-01-243</v>
          </cell>
          <cell r="B141" t="str">
            <v>Monica Iancu</v>
          </cell>
          <cell r="C141" t="str">
            <v>016641623</v>
          </cell>
          <cell r="D141">
            <v>512065202</v>
          </cell>
          <cell r="F141" t="str">
            <v>מוניקה ינקו</v>
          </cell>
          <cell r="G141" t="str">
            <v>IV</v>
          </cell>
          <cell r="H141" t="str">
            <v>Meitav</v>
          </cell>
          <cell r="I141">
            <v>300000</v>
          </cell>
          <cell r="J141">
            <v>4.0976705453212746E-3</v>
          </cell>
          <cell r="K141">
            <v>10252.111246981891</v>
          </cell>
          <cell r="L141">
            <v>2631.4215824416906</v>
          </cell>
          <cell r="M141">
            <v>7620.6896645402003</v>
          </cell>
          <cell r="N141">
            <v>54</v>
          </cell>
          <cell r="O141">
            <v>7674.6896645402003</v>
          </cell>
          <cell r="P141">
            <v>13316.798891495182</v>
          </cell>
          <cell r="Q141">
            <v>14</v>
          </cell>
          <cell r="R141">
            <v>13330.798891495182</v>
          </cell>
          <cell r="S141">
            <v>21005.488556035383</v>
          </cell>
          <cell r="U141">
            <v>318.64797414992728</v>
          </cell>
          <cell r="V141">
            <v>6</v>
          </cell>
          <cell r="W141">
            <v>324.64797414992728</v>
          </cell>
          <cell r="AB141" t="str">
            <v>IRA</v>
          </cell>
          <cell r="AC141">
            <v>318.64797414992728</v>
          </cell>
          <cell r="AD141">
            <v>799</v>
          </cell>
          <cell r="AE141">
            <v>0</v>
          </cell>
          <cell r="AF141">
            <v>0</v>
          </cell>
          <cell r="AG141">
            <v>1123.6479741499272</v>
          </cell>
          <cell r="AH141">
            <v>1123.6479741499272</v>
          </cell>
          <cell r="AI141">
            <v>21005.488556035383</v>
          </cell>
          <cell r="AJ141">
            <v>0</v>
          </cell>
          <cell r="AK141">
            <v>0</v>
          </cell>
          <cell r="AL141">
            <v>0</v>
          </cell>
          <cell r="AM141">
            <v>170230</v>
          </cell>
          <cell r="AN141">
            <v>39784</v>
          </cell>
          <cell r="AO141" t="str">
            <v>Zero investment in 2019</v>
          </cell>
          <cell r="AP141">
            <v>8675</v>
          </cell>
          <cell r="AR141">
            <v>29680.488556035383</v>
          </cell>
          <cell r="AS141">
            <v>21005.488556035383</v>
          </cell>
          <cell r="AT141">
            <v>0</v>
          </cell>
          <cell r="AU141">
            <v>21005.488556035383</v>
          </cell>
          <cell r="AV141">
            <v>1123.6479741499272</v>
          </cell>
          <cell r="BB141">
            <v>44.111525967674304</v>
          </cell>
          <cell r="BC141">
            <v>44.111525967674304</v>
          </cell>
          <cell r="BD141">
            <v>35</v>
          </cell>
        </row>
        <row r="142">
          <cell r="A142" t="str">
            <v>8160-01-244</v>
          </cell>
          <cell r="B142" t="str">
            <v>Oron Stern</v>
          </cell>
          <cell r="C142" t="str">
            <v>054336698</v>
          </cell>
          <cell r="D142">
            <v>512065202</v>
          </cell>
          <cell r="F142" t="str">
            <v>אורון משה שטר</v>
          </cell>
          <cell r="G142" t="str">
            <v>IV</v>
          </cell>
          <cell r="H142" t="str">
            <v>Meitav</v>
          </cell>
          <cell r="I142">
            <v>250000</v>
          </cell>
          <cell r="J142">
            <v>3.4147254544343955E-3</v>
          </cell>
          <cell r="K142">
            <v>8543.4260391515745</v>
          </cell>
          <cell r="L142">
            <v>2192.8513187014087</v>
          </cell>
          <cell r="M142">
            <v>6350.5747204501668</v>
          </cell>
          <cell r="N142">
            <v>45</v>
          </cell>
          <cell r="O142">
            <v>6395.5747204501668</v>
          </cell>
          <cell r="P142">
            <v>11097.332409579318</v>
          </cell>
          <cell r="Q142">
            <v>12</v>
          </cell>
          <cell r="R142">
            <v>11109.332409579318</v>
          </cell>
          <cell r="S142">
            <v>17504.907130029485</v>
          </cell>
          <cell r="U142">
            <v>265.53997845827274</v>
          </cell>
          <cell r="V142">
            <v>5</v>
          </cell>
          <cell r="W142">
            <v>270.53997845827274</v>
          </cell>
          <cell r="AB142" t="str">
            <v>IRA</v>
          </cell>
          <cell r="AC142">
            <v>265.53997845827274</v>
          </cell>
          <cell r="AD142">
            <v>666</v>
          </cell>
          <cell r="AE142">
            <v>0</v>
          </cell>
          <cell r="AF142">
            <v>0</v>
          </cell>
          <cell r="AG142">
            <v>936.5399784582728</v>
          </cell>
          <cell r="AH142">
            <v>936.5399784582728</v>
          </cell>
          <cell r="AI142">
            <v>17504.907130029485</v>
          </cell>
          <cell r="AJ142">
            <v>0</v>
          </cell>
          <cell r="AK142">
            <v>0</v>
          </cell>
          <cell r="AL142">
            <v>0</v>
          </cell>
          <cell r="AM142">
            <v>141858</v>
          </cell>
          <cell r="AN142">
            <v>33153</v>
          </cell>
          <cell r="AO142" t="str">
            <v>Zero investment in 2019</v>
          </cell>
          <cell r="AP142">
            <v>7229</v>
          </cell>
          <cell r="AR142">
            <v>24733.907130029485</v>
          </cell>
          <cell r="AS142">
            <v>17504.907130029485</v>
          </cell>
          <cell r="AT142">
            <v>0</v>
          </cell>
          <cell r="AU142">
            <v>17504.907130029485</v>
          </cell>
          <cell r="AV142">
            <v>936.5399784582728</v>
          </cell>
          <cell r="BB142">
            <v>36.76030497306192</v>
          </cell>
          <cell r="BC142">
            <v>36.76030497306192</v>
          </cell>
          <cell r="BD142">
            <v>35</v>
          </cell>
        </row>
        <row r="143">
          <cell r="A143" t="str">
            <v>8160-01-245</v>
          </cell>
          <cell r="B143" t="str">
            <v>Itay Shalom Brener</v>
          </cell>
          <cell r="C143" t="str">
            <v>025232448</v>
          </cell>
          <cell r="D143">
            <v>25232448</v>
          </cell>
          <cell r="F143" t="str">
            <v>איתי שלום ברנר</v>
          </cell>
          <cell r="G143" t="str">
            <v>IV</v>
          </cell>
          <cell r="I143">
            <v>150000</v>
          </cell>
          <cell r="J143">
            <v>2.0488352726606373E-3</v>
          </cell>
          <cell r="K143">
            <v>5126.0556234909454</v>
          </cell>
          <cell r="L143">
            <v>1315.7107912208453</v>
          </cell>
          <cell r="M143">
            <v>3810.3448322701001</v>
          </cell>
          <cell r="N143">
            <v>27</v>
          </cell>
          <cell r="O143">
            <v>3837.3448322701001</v>
          </cell>
          <cell r="P143">
            <v>6658.399445747591</v>
          </cell>
          <cell r="Q143">
            <v>7</v>
          </cell>
          <cell r="R143">
            <v>6665.399445747591</v>
          </cell>
          <cell r="S143">
            <v>10502.744278017692</v>
          </cell>
          <cell r="T143">
            <v>959.33620806752504</v>
          </cell>
          <cell r="U143">
            <v>159.32398707496364</v>
          </cell>
          <cell r="V143">
            <v>3</v>
          </cell>
          <cell r="W143">
            <v>162.32398707496364</v>
          </cell>
          <cell r="X143">
            <v>-162.32398707496364</v>
          </cell>
          <cell r="Y143">
            <v>797.01222099256142</v>
          </cell>
          <cell r="Z143">
            <v>4</v>
          </cell>
          <cell r="AA143">
            <v>801.01222099256142</v>
          </cell>
          <cell r="AB143" t="str">
            <v>X</v>
          </cell>
          <cell r="AD143">
            <v>400</v>
          </cell>
          <cell r="AE143">
            <v>465</v>
          </cell>
          <cell r="AF143">
            <v>1266.0122209925614</v>
          </cell>
          <cell r="AG143">
            <v>562.32398707496361</v>
          </cell>
          <cell r="AH143">
            <v>1828.3362080675251</v>
          </cell>
          <cell r="AI143">
            <v>9701.7320570251304</v>
          </cell>
          <cell r="AJ143">
            <v>0</v>
          </cell>
          <cell r="AK143">
            <v>0</v>
          </cell>
          <cell r="AL143">
            <v>0</v>
          </cell>
          <cell r="AM143">
            <v>85115</v>
          </cell>
          <cell r="AN143">
            <v>19885</v>
          </cell>
          <cell r="AO143" t="str">
            <v>Zero investment in 2019</v>
          </cell>
          <cell r="AP143">
            <v>4337</v>
          </cell>
          <cell r="AR143">
            <v>14839.744278017692</v>
          </cell>
          <cell r="AS143">
            <v>10502.744278017692</v>
          </cell>
          <cell r="AT143">
            <v>797.01222099256142</v>
          </cell>
          <cell r="AU143">
            <v>9701.7320570251304</v>
          </cell>
          <cell r="AV143">
            <v>1828.3362080675251</v>
          </cell>
          <cell r="BB143">
            <v>20.373637319752774</v>
          </cell>
          <cell r="BC143">
            <v>20.373637319752774</v>
          </cell>
          <cell r="BD143">
            <v>35</v>
          </cell>
        </row>
        <row r="144">
          <cell r="A144" t="str">
            <v>8160-01-246</v>
          </cell>
          <cell r="B144" t="str">
            <v>Kibbutz Ein Hashofet</v>
          </cell>
          <cell r="C144">
            <v>570001511</v>
          </cell>
          <cell r="D144">
            <v>570001511</v>
          </cell>
          <cell r="E144" t="str">
            <v>Kibbutz Ein Hashofet</v>
          </cell>
          <cell r="F144" t="str">
            <v>קיבוץ עין השופט</v>
          </cell>
          <cell r="G144" t="str">
            <v>IV</v>
          </cell>
          <cell r="I144">
            <v>500000</v>
          </cell>
          <cell r="J144">
            <v>6.8294509088687909E-3</v>
          </cell>
          <cell r="K144">
            <v>17086.852078303149</v>
          </cell>
          <cell r="L144">
            <v>4385.7026374028173</v>
          </cell>
          <cell r="M144">
            <v>12701.149440900334</v>
          </cell>
          <cell r="N144">
            <v>90</v>
          </cell>
          <cell r="O144">
            <v>12791.149440900334</v>
          </cell>
          <cell r="P144">
            <v>22194.664819158636</v>
          </cell>
          <cell r="Q144">
            <v>23</v>
          </cell>
          <cell r="R144">
            <v>22217.664819158636</v>
          </cell>
          <cell r="S144">
            <v>35008.814260058971</v>
          </cell>
          <cell r="U144">
            <v>531.07995691654548</v>
          </cell>
          <cell r="V144">
            <v>10</v>
          </cell>
          <cell r="W144">
            <v>541.07995691654548</v>
          </cell>
          <cell r="AB144" t="str">
            <v>V</v>
          </cell>
          <cell r="AC144">
            <v>531.07995691654548</v>
          </cell>
          <cell r="AD144">
            <v>1332</v>
          </cell>
          <cell r="AF144">
            <v>0</v>
          </cell>
          <cell r="AG144">
            <v>1873.0799569165456</v>
          </cell>
          <cell r="AH144">
            <v>1873.0799569165456</v>
          </cell>
          <cell r="AI144">
            <v>35008.814260058971</v>
          </cell>
          <cell r="AJ144" t="e">
            <v>#N/A</v>
          </cell>
          <cell r="AK144" t="e">
            <v>#N/A</v>
          </cell>
          <cell r="AL144" t="e">
            <v>#N/A</v>
          </cell>
          <cell r="AM144" t="e">
            <v>#N/A</v>
          </cell>
          <cell r="AN144" t="e">
            <v>#N/A</v>
          </cell>
          <cell r="AO144" t="str">
            <v>Zero investment in 2019</v>
          </cell>
          <cell r="AP144">
            <v>14458</v>
          </cell>
          <cell r="AR144">
            <v>49466.814260058971</v>
          </cell>
          <cell r="AS144">
            <v>35008.814260058971</v>
          </cell>
          <cell r="AT144">
            <v>0</v>
          </cell>
          <cell r="AU144">
            <v>35008.814260058971</v>
          </cell>
          <cell r="AV144">
            <v>1873.0799569165456</v>
          </cell>
          <cell r="BB144">
            <v>73.518509946123828</v>
          </cell>
          <cell r="BC144">
            <v>73.518509946123828</v>
          </cell>
          <cell r="BD144">
            <v>35</v>
          </cell>
        </row>
        <row r="145">
          <cell r="A145" t="str">
            <v>8160-01-247</v>
          </cell>
          <cell r="B145" t="str">
            <v>Kibbutz Givat Oz</v>
          </cell>
          <cell r="C145">
            <v>570008565</v>
          </cell>
          <cell r="D145">
            <v>570008565</v>
          </cell>
          <cell r="E145" t="str">
            <v>Kibbutz Givat Oz</v>
          </cell>
          <cell r="F145" t="str">
            <v>קיבוץ גבעת עז</v>
          </cell>
          <cell r="G145" t="str">
            <v>IV</v>
          </cell>
          <cell r="I145">
            <v>580000</v>
          </cell>
          <cell r="J145">
            <v>7.9221630542877976E-3</v>
          </cell>
          <cell r="K145">
            <v>19820.748410831657</v>
          </cell>
          <cell r="L145">
            <v>5087.4150593872682</v>
          </cell>
          <cell r="M145">
            <v>14733.333351444388</v>
          </cell>
          <cell r="N145">
            <v>105</v>
          </cell>
          <cell r="O145">
            <v>14838.333351444388</v>
          </cell>
          <cell r="P145">
            <v>25745.811190224016</v>
          </cell>
          <cell r="Q145">
            <v>27</v>
          </cell>
          <cell r="R145">
            <v>25772.811190224016</v>
          </cell>
          <cell r="S145">
            <v>40611.1445416684</v>
          </cell>
          <cell r="U145">
            <v>616.05275002319274</v>
          </cell>
          <cell r="V145">
            <v>12</v>
          </cell>
          <cell r="W145">
            <v>628.05275002319274</v>
          </cell>
          <cell r="AB145" t="str">
            <v>V</v>
          </cell>
          <cell r="AC145">
            <v>616.05275002319274</v>
          </cell>
          <cell r="AD145">
            <v>1545</v>
          </cell>
          <cell r="AF145">
            <v>0</v>
          </cell>
          <cell r="AG145">
            <v>2173.0527500231929</v>
          </cell>
          <cell r="AH145">
            <v>2173.0527500231929</v>
          </cell>
          <cell r="AI145">
            <v>40611.1445416684</v>
          </cell>
          <cell r="AJ145">
            <v>0</v>
          </cell>
          <cell r="AK145">
            <v>0</v>
          </cell>
          <cell r="AL145">
            <v>0</v>
          </cell>
          <cell r="AM145">
            <v>329108.5</v>
          </cell>
          <cell r="AN145">
            <v>76912.5</v>
          </cell>
          <cell r="AO145" t="str">
            <v>Zero investment in 2019</v>
          </cell>
          <cell r="AP145">
            <v>16771</v>
          </cell>
          <cell r="AR145">
            <v>57382.1445416684</v>
          </cell>
          <cell r="AS145">
            <v>40611.1445416684</v>
          </cell>
          <cell r="AT145">
            <v>0</v>
          </cell>
          <cell r="AU145">
            <v>40611.1445416684</v>
          </cell>
          <cell r="AV145">
            <v>2173.0527500231929</v>
          </cell>
          <cell r="BB145">
            <v>85.283403537503631</v>
          </cell>
          <cell r="BC145">
            <v>85.283403537503631</v>
          </cell>
          <cell r="BD145">
            <v>35</v>
          </cell>
        </row>
        <row r="146">
          <cell r="A146" t="str">
            <v>8160-01-248</v>
          </cell>
          <cell r="B146" t="str">
            <v>Mordechai Katz</v>
          </cell>
          <cell r="C146">
            <v>4598538</v>
          </cell>
          <cell r="D146">
            <v>4598538</v>
          </cell>
          <cell r="F146" t="str">
            <v>מרדכי כץ</v>
          </cell>
          <cell r="G146" t="str">
            <v>IV</v>
          </cell>
          <cell r="I146">
            <v>230000</v>
          </cell>
          <cell r="J146">
            <v>3.1415474180796436E-3</v>
          </cell>
          <cell r="K146">
            <v>7859.9519560194485</v>
          </cell>
          <cell r="L146">
            <v>2017.4232132052957</v>
          </cell>
          <cell r="M146">
            <v>5842.5287428141528</v>
          </cell>
          <cell r="N146">
            <v>42</v>
          </cell>
          <cell r="O146">
            <v>5884.5287428141528</v>
          </cell>
          <cell r="P146">
            <v>10209.545816812972</v>
          </cell>
          <cell r="Q146">
            <v>11</v>
          </cell>
          <cell r="R146">
            <v>10220.545816812972</v>
          </cell>
          <cell r="S146">
            <v>16105.074559627124</v>
          </cell>
          <cell r="T146">
            <v>1471.1321857035382</v>
          </cell>
          <cell r="U146">
            <v>244.29678018161087</v>
          </cell>
          <cell r="V146">
            <v>5</v>
          </cell>
          <cell r="W146">
            <v>249.29678018161087</v>
          </cell>
          <cell r="X146">
            <v>-249.29678018161087</v>
          </cell>
          <cell r="Y146">
            <v>1221.8354055219274</v>
          </cell>
          <cell r="Z146">
            <v>6</v>
          </cell>
          <cell r="AA146">
            <v>1227.8354055219274</v>
          </cell>
          <cell r="AB146" t="str">
            <v>X</v>
          </cell>
          <cell r="AD146">
            <v>613</v>
          </cell>
          <cell r="AE146">
            <v>712</v>
          </cell>
          <cell r="AF146">
            <v>1939.8354055219274</v>
          </cell>
          <cell r="AG146">
            <v>862.29678018161087</v>
          </cell>
          <cell r="AH146">
            <v>2802.1321857035382</v>
          </cell>
          <cell r="AI146">
            <v>14877.239154105197</v>
          </cell>
          <cell r="AJ146">
            <v>0</v>
          </cell>
          <cell r="AK146">
            <v>0</v>
          </cell>
          <cell r="AL146">
            <v>0</v>
          </cell>
          <cell r="AM146">
            <v>130510</v>
          </cell>
          <cell r="AN146">
            <v>30501</v>
          </cell>
          <cell r="AO146" t="str">
            <v>Zero investment in 2019</v>
          </cell>
          <cell r="AP146">
            <v>6651</v>
          </cell>
          <cell r="AR146">
            <v>22756.074559627123</v>
          </cell>
          <cell r="AS146">
            <v>16105.074559627124</v>
          </cell>
          <cell r="AT146">
            <v>1221.8354055219274</v>
          </cell>
          <cell r="AU146">
            <v>14877.239154105197</v>
          </cell>
          <cell r="AV146">
            <v>2802.1321857035382</v>
          </cell>
          <cell r="BB146">
            <v>31.242202223620911</v>
          </cell>
          <cell r="BC146">
            <v>31.242202223620911</v>
          </cell>
          <cell r="BD146">
            <v>35</v>
          </cell>
        </row>
        <row r="147">
          <cell r="A147" t="str">
            <v>8160-01-249</v>
          </cell>
          <cell r="B147" t="str">
            <v xml:space="preserve">Narita Company for Commerce and Investments Ltd
</v>
          </cell>
          <cell r="C147">
            <v>511927485</v>
          </cell>
          <cell r="D147">
            <v>511927485</v>
          </cell>
          <cell r="E147" t="str">
            <v xml:space="preserve">Narita Company for Commerce and Investments Ltd
</v>
          </cell>
          <cell r="F147" t="str">
            <v>נריטה חברה למסחר והשקעות בע"מ</v>
          </cell>
          <cell r="G147" t="str">
            <v>IV</v>
          </cell>
          <cell r="I147">
            <v>500000</v>
          </cell>
          <cell r="J147">
            <v>6.8294509088687909E-3</v>
          </cell>
          <cell r="K147">
            <v>17086.852078303149</v>
          </cell>
          <cell r="L147">
            <v>4385.7026374028173</v>
          </cell>
          <cell r="M147">
            <v>12701.149440900334</v>
          </cell>
          <cell r="N147">
            <v>90</v>
          </cell>
          <cell r="O147">
            <v>12791.149440900334</v>
          </cell>
          <cell r="P147">
            <v>22194.664819158636</v>
          </cell>
          <cell r="Q147">
            <v>23</v>
          </cell>
          <cell r="R147">
            <v>22217.664819158636</v>
          </cell>
          <cell r="S147">
            <v>35008.814260058971</v>
          </cell>
          <cell r="U147">
            <v>531.07995691654548</v>
          </cell>
          <cell r="V147">
            <v>10</v>
          </cell>
          <cell r="W147">
            <v>541.07995691654548</v>
          </cell>
          <cell r="AB147" t="str">
            <v>V</v>
          </cell>
          <cell r="AC147">
            <v>531.07995691654548</v>
          </cell>
          <cell r="AD147">
            <v>1332</v>
          </cell>
          <cell r="AF147">
            <v>0</v>
          </cell>
          <cell r="AG147">
            <v>1873.0799569165456</v>
          </cell>
          <cell r="AH147">
            <v>1873.0799569165456</v>
          </cell>
          <cell r="AI147">
            <v>35008.814260058971</v>
          </cell>
          <cell r="AJ147" t="e">
            <v>#N/A</v>
          </cell>
          <cell r="AK147" t="e">
            <v>#N/A</v>
          </cell>
          <cell r="AL147" t="e">
            <v>#N/A</v>
          </cell>
          <cell r="AM147" t="e">
            <v>#N/A</v>
          </cell>
          <cell r="AN147" t="e">
            <v>#N/A</v>
          </cell>
          <cell r="AO147" t="str">
            <v>Zero investment in 2019</v>
          </cell>
          <cell r="AP147">
            <v>14458</v>
          </cell>
          <cell r="AR147">
            <v>49466.814260058971</v>
          </cell>
          <cell r="AS147">
            <v>35008.814260058971</v>
          </cell>
          <cell r="AT147">
            <v>0</v>
          </cell>
          <cell r="AU147">
            <v>35008.814260058971</v>
          </cell>
          <cell r="AV147">
            <v>1873.0799569165456</v>
          </cell>
          <cell r="BB147">
            <v>73.518509946123828</v>
          </cell>
          <cell r="BC147">
            <v>73.518509946123828</v>
          </cell>
          <cell r="BD147">
            <v>35</v>
          </cell>
        </row>
        <row r="148">
          <cell r="A148" t="str">
            <v>8160-01-250</v>
          </cell>
          <cell r="B148" t="str">
            <v>Ran &amp; Anat Rothschild</v>
          </cell>
          <cell r="C148" t="str">
            <v>Anat - 034069815
Ran - 032330474</v>
          </cell>
          <cell r="D148" t="str">
            <v>Anat - 034069815
Ran - 032330474</v>
          </cell>
          <cell r="F148" t="str">
            <v>רן רוטשילד וענת סולומון רוטשילד</v>
          </cell>
          <cell r="G148" t="str">
            <v>IV</v>
          </cell>
          <cell r="I148">
            <v>250000</v>
          </cell>
          <cell r="J148">
            <v>3.4147254544343955E-3</v>
          </cell>
          <cell r="K148">
            <v>8543.4260391515745</v>
          </cell>
          <cell r="L148">
            <v>2192.8513187014087</v>
          </cell>
          <cell r="M148">
            <v>6350.5747204501668</v>
          </cell>
          <cell r="N148">
            <v>45</v>
          </cell>
          <cell r="O148">
            <v>6395.5747204501668</v>
          </cell>
          <cell r="P148">
            <v>11097.332409579318</v>
          </cell>
          <cell r="Q148">
            <v>12</v>
          </cell>
          <cell r="R148">
            <v>11109.332409579318</v>
          </cell>
          <cell r="S148">
            <v>17504.907130029485</v>
          </cell>
          <cell r="T148">
            <v>1598.8936801125417</v>
          </cell>
          <cell r="U148">
            <v>265.53997845827274</v>
          </cell>
          <cell r="V148">
            <v>5</v>
          </cell>
          <cell r="W148">
            <v>270.53997845827274</v>
          </cell>
          <cell r="X148">
            <v>-270.53997845827274</v>
          </cell>
          <cell r="Y148">
            <v>1328.3537016542689</v>
          </cell>
          <cell r="Z148">
            <v>6</v>
          </cell>
          <cell r="AA148">
            <v>1334.3537016542689</v>
          </cell>
          <cell r="AB148" t="str">
            <v>X</v>
          </cell>
          <cell r="AD148">
            <v>666</v>
          </cell>
          <cell r="AE148">
            <v>774</v>
          </cell>
          <cell r="AF148">
            <v>2108.3537016542687</v>
          </cell>
          <cell r="AG148">
            <v>936.5399784582728</v>
          </cell>
          <cell r="AH148">
            <v>3044.8936801125415</v>
          </cell>
          <cell r="AI148">
            <v>16170.553428375217</v>
          </cell>
          <cell r="AJ148">
            <v>0</v>
          </cell>
          <cell r="AK148">
            <v>0</v>
          </cell>
          <cell r="AL148">
            <v>0</v>
          </cell>
          <cell r="AM148">
            <v>141858</v>
          </cell>
          <cell r="AN148">
            <v>33153</v>
          </cell>
          <cell r="AO148" t="str">
            <v>Zero investment in 2019</v>
          </cell>
          <cell r="AP148">
            <v>7229</v>
          </cell>
          <cell r="AR148">
            <v>24733.907130029485</v>
          </cell>
          <cell r="AS148">
            <v>17504.907130029485</v>
          </cell>
          <cell r="AT148">
            <v>1328.3537016542689</v>
          </cell>
          <cell r="AU148">
            <v>16170.553428375217</v>
          </cell>
          <cell r="AV148">
            <v>3044.8936801125415</v>
          </cell>
          <cell r="BB148">
            <v>33.958162199587953</v>
          </cell>
          <cell r="BC148">
            <v>33.958162199587953</v>
          </cell>
          <cell r="BD148">
            <v>35</v>
          </cell>
        </row>
        <row r="149">
          <cell r="A149" t="str">
            <v>8160-01-251</v>
          </cell>
          <cell r="B149" t="str">
            <v>Tomer Kariv</v>
          </cell>
          <cell r="C149">
            <v>56778194</v>
          </cell>
          <cell r="D149">
            <v>56778194</v>
          </cell>
          <cell r="F149" t="str">
            <v>תומר קריב</v>
          </cell>
          <cell r="G149" t="str">
            <v>IV</v>
          </cell>
          <cell r="I149">
            <v>250000</v>
          </cell>
          <cell r="J149">
            <v>3.4147254544343955E-3</v>
          </cell>
          <cell r="K149">
            <v>8543.4260391515745</v>
          </cell>
          <cell r="L149">
            <v>2192.8513187014087</v>
          </cell>
          <cell r="M149">
            <v>6350.5747204501668</v>
          </cell>
          <cell r="N149">
            <v>45</v>
          </cell>
          <cell r="O149">
            <v>6395.5747204501668</v>
          </cell>
          <cell r="P149">
            <v>11097.332409579318</v>
          </cell>
          <cell r="Q149">
            <v>12</v>
          </cell>
          <cell r="R149">
            <v>11109.332409579318</v>
          </cell>
          <cell r="S149">
            <v>17504.907130029485</v>
          </cell>
          <cell r="T149">
            <v>1598.8936801125417</v>
          </cell>
          <cell r="U149">
            <v>265.53997845827274</v>
          </cell>
          <cell r="V149">
            <v>5</v>
          </cell>
          <cell r="W149">
            <v>270.53997845827274</v>
          </cell>
          <cell r="X149">
            <v>-270.53997845827274</v>
          </cell>
          <cell r="Y149">
            <v>1328.3537016542689</v>
          </cell>
          <cell r="Z149">
            <v>6</v>
          </cell>
          <cell r="AA149">
            <v>1334.3537016542689</v>
          </cell>
          <cell r="AB149" t="str">
            <v>X</v>
          </cell>
          <cell r="AD149">
            <v>666</v>
          </cell>
          <cell r="AE149">
            <v>774</v>
          </cell>
          <cell r="AF149">
            <v>2108.3537016542687</v>
          </cell>
          <cell r="AG149">
            <v>936.5399784582728</v>
          </cell>
          <cell r="AH149">
            <v>3044.8936801125415</v>
          </cell>
          <cell r="AI149">
            <v>16170.553428375217</v>
          </cell>
          <cell r="AJ149">
            <v>0</v>
          </cell>
          <cell r="AK149">
            <v>0</v>
          </cell>
          <cell r="AL149">
            <v>0</v>
          </cell>
          <cell r="AM149">
            <v>141858</v>
          </cell>
          <cell r="AN149">
            <v>33153</v>
          </cell>
          <cell r="AO149" t="str">
            <v>Zero investment in 2019</v>
          </cell>
          <cell r="AP149">
            <v>7229</v>
          </cell>
          <cell r="AR149">
            <v>24733.907130029485</v>
          </cell>
          <cell r="AS149">
            <v>17504.907130029485</v>
          </cell>
          <cell r="AT149">
            <v>1328.3537016542689</v>
          </cell>
          <cell r="AU149">
            <v>16170.553428375217</v>
          </cell>
          <cell r="AV149">
            <v>3044.8936801125415</v>
          </cell>
          <cell r="BB149">
            <v>33.958162199587953</v>
          </cell>
          <cell r="BC149">
            <v>33.958162199587953</v>
          </cell>
          <cell r="BD149">
            <v>35</v>
          </cell>
        </row>
        <row r="150">
          <cell r="A150" t="str">
            <v>8160-01-252</v>
          </cell>
          <cell r="B150" t="str">
            <v>Y Brener Technologies LTD</v>
          </cell>
          <cell r="C150">
            <v>513026492</v>
          </cell>
          <cell r="D150">
            <v>513026492</v>
          </cell>
          <cell r="E150" t="str">
            <v>Y Brener Technologies LTD</v>
          </cell>
          <cell r="F150" t="str">
            <v>י. ברנר טכנולוגיות בע"מ</v>
          </cell>
          <cell r="G150" t="str">
            <v>IV</v>
          </cell>
          <cell r="I150">
            <v>290000</v>
          </cell>
          <cell r="J150">
            <v>3.9610815271438988E-3</v>
          </cell>
          <cell r="K150">
            <v>9910.3742054158283</v>
          </cell>
          <cell r="L150">
            <v>2543.7075296936341</v>
          </cell>
          <cell r="M150">
            <v>7366.6666757221938</v>
          </cell>
          <cell r="N150">
            <v>52</v>
          </cell>
          <cell r="O150">
            <v>7418.6666757221938</v>
          </cell>
          <cell r="P150">
            <v>12872.905595112008</v>
          </cell>
          <cell r="Q150">
            <v>13</v>
          </cell>
          <cell r="R150">
            <v>12885.905595112008</v>
          </cell>
          <cell r="S150">
            <v>20304.5722708342</v>
          </cell>
          <cell r="U150">
            <v>308.02637501159637</v>
          </cell>
          <cell r="V150">
            <v>6</v>
          </cell>
          <cell r="W150">
            <v>314.02637501159637</v>
          </cell>
          <cell r="Z150">
            <v>0</v>
          </cell>
          <cell r="AA150">
            <v>0</v>
          </cell>
          <cell r="AB150" t="str">
            <v>V</v>
          </cell>
          <cell r="AC150">
            <v>308.02637501159637</v>
          </cell>
          <cell r="AD150">
            <v>772</v>
          </cell>
          <cell r="AF150">
            <v>0</v>
          </cell>
          <cell r="AG150">
            <v>1086.0263750115964</v>
          </cell>
          <cell r="AH150">
            <v>1086.0263750115964</v>
          </cell>
          <cell r="AI150">
            <v>20304.5722708342</v>
          </cell>
          <cell r="AJ150" t="e">
            <v>#N/A</v>
          </cell>
          <cell r="AK150" t="e">
            <v>#N/A</v>
          </cell>
          <cell r="AL150" t="e">
            <v>#N/A</v>
          </cell>
          <cell r="AM150" t="e">
            <v>#N/A</v>
          </cell>
          <cell r="AN150" t="e">
            <v>#N/A</v>
          </cell>
          <cell r="AO150" t="str">
            <v>Zero investment in 2019</v>
          </cell>
          <cell r="AP150">
            <v>8386</v>
          </cell>
          <cell r="AR150">
            <v>28690.5722708342</v>
          </cell>
          <cell r="AS150">
            <v>20304.5722708342</v>
          </cell>
          <cell r="AT150">
            <v>0</v>
          </cell>
          <cell r="AU150">
            <v>20304.5722708342</v>
          </cell>
          <cell r="AV150">
            <v>1086.0263750115964</v>
          </cell>
          <cell r="BB150">
            <v>42.639601768751817</v>
          </cell>
          <cell r="BC150">
            <v>42.639601768751817</v>
          </cell>
          <cell r="BD150">
            <v>35</v>
          </cell>
        </row>
        <row r="151">
          <cell r="A151" t="str">
            <v>8160-01-253</v>
          </cell>
          <cell r="B151" t="str">
            <v>Yuval Fuchs</v>
          </cell>
          <cell r="G151" t="str">
            <v>IV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 t="str">
            <v>ע"פ תקנות'</v>
          </cell>
          <cell r="AC151">
            <v>0</v>
          </cell>
          <cell r="AD151">
            <v>1332</v>
          </cell>
          <cell r="AE151">
            <v>1548</v>
          </cell>
          <cell r="AF151">
            <v>1548</v>
          </cell>
          <cell r="AG151">
            <v>1332</v>
          </cell>
          <cell r="AH151">
            <v>2880</v>
          </cell>
          <cell r="AI151">
            <v>0</v>
          </cell>
          <cell r="AP151">
            <v>14458</v>
          </cell>
          <cell r="AR151">
            <v>14458</v>
          </cell>
          <cell r="AS151">
            <v>0</v>
          </cell>
          <cell r="AT151">
            <v>0</v>
          </cell>
          <cell r="AU151">
            <v>0</v>
          </cell>
          <cell r="AV151">
            <v>2880</v>
          </cell>
        </row>
        <row r="152">
          <cell r="A152" t="str">
            <v>8160-01-254</v>
          </cell>
          <cell r="B152" t="str">
            <v>Yaacov Zitser</v>
          </cell>
          <cell r="C152" t="str">
            <v>051224236</v>
          </cell>
          <cell r="D152">
            <v>513765347</v>
          </cell>
          <cell r="F152" t="str">
            <v>יעקב זיצר</v>
          </cell>
          <cell r="G152" t="str">
            <v>I</v>
          </cell>
          <cell r="H152" t="str">
            <v>Psagot</v>
          </cell>
          <cell r="I152">
            <v>250000</v>
          </cell>
          <cell r="J152">
            <v>3.4147254544343955E-3</v>
          </cell>
          <cell r="K152">
            <v>8543.4260391515745</v>
          </cell>
          <cell r="L152">
            <v>2192.8513187014087</v>
          </cell>
          <cell r="M152">
            <v>6350.5747204501668</v>
          </cell>
          <cell r="N152">
            <v>45</v>
          </cell>
          <cell r="O152">
            <v>6395.5747204501668</v>
          </cell>
          <cell r="P152">
            <v>11097.332409579318</v>
          </cell>
          <cell r="Q152">
            <v>12</v>
          </cell>
          <cell r="R152">
            <v>11109.332409579318</v>
          </cell>
          <cell r="S152">
            <v>17504.907130029485</v>
          </cell>
          <cell r="U152">
            <v>265.53997845827274</v>
          </cell>
          <cell r="V152">
            <v>5</v>
          </cell>
          <cell r="W152">
            <v>270.53997845827274</v>
          </cell>
          <cell r="AB152" t="str">
            <v>IRA</v>
          </cell>
          <cell r="AC152">
            <v>265.53997845827274</v>
          </cell>
          <cell r="AD152">
            <v>70</v>
          </cell>
          <cell r="AE152">
            <v>0</v>
          </cell>
          <cell r="AF152">
            <v>0</v>
          </cell>
          <cell r="AG152">
            <v>340.53997845827274</v>
          </cell>
          <cell r="AH152">
            <v>340.53997845827274</v>
          </cell>
          <cell r="AI152">
            <v>17504.907130029485</v>
          </cell>
          <cell r="AJ152">
            <v>83333.332999999999</v>
          </cell>
          <cell r="AK152">
            <v>47900</v>
          </cell>
          <cell r="AL152">
            <v>10625</v>
          </cell>
          <cell r="AM152">
            <v>0</v>
          </cell>
          <cell r="AN152">
            <v>33153</v>
          </cell>
          <cell r="AO152" t="e">
            <v>#DIV/0!</v>
          </cell>
          <cell r="AP152">
            <v>7229</v>
          </cell>
          <cell r="AQ152">
            <v>5541</v>
          </cell>
          <cell r="AR152">
            <v>19192.907130029485</v>
          </cell>
          <cell r="AS152">
            <v>17504.907130029485</v>
          </cell>
          <cell r="AT152">
            <v>0</v>
          </cell>
          <cell r="AU152">
            <v>17504.907130029485</v>
          </cell>
          <cell r="AV152">
            <v>340.53997845827274</v>
          </cell>
          <cell r="BB152">
            <v>36.76030497306192</v>
          </cell>
          <cell r="BC152">
            <v>36.76030497306192</v>
          </cell>
          <cell r="BD152">
            <v>35</v>
          </cell>
        </row>
        <row r="153">
          <cell r="A153" t="str">
            <v>8160-01-255</v>
          </cell>
          <cell r="B153" t="str">
            <v>A.N.T - 10 LTD</v>
          </cell>
          <cell r="C153">
            <v>512903311</v>
          </cell>
          <cell r="D153">
            <v>512903311</v>
          </cell>
          <cell r="E153" t="str">
            <v>A.N.T - 10 LTD</v>
          </cell>
          <cell r="F153" t="str">
            <v>א.נ.ט - 10 בע"מ</v>
          </cell>
          <cell r="G153" t="str">
            <v>V</v>
          </cell>
          <cell r="I153">
            <v>300000</v>
          </cell>
          <cell r="J153">
            <v>4.0976705453212746E-3</v>
          </cell>
          <cell r="K153">
            <v>10252.111246981891</v>
          </cell>
          <cell r="L153">
            <v>2631.4215824416906</v>
          </cell>
          <cell r="M153">
            <v>7620.6896645402003</v>
          </cell>
          <cell r="N153">
            <v>54</v>
          </cell>
          <cell r="O153">
            <v>7674.6896645402003</v>
          </cell>
          <cell r="P153">
            <v>13316.798891495182</v>
          </cell>
          <cell r="Q153">
            <v>14</v>
          </cell>
          <cell r="R153">
            <v>13330.798891495182</v>
          </cell>
          <cell r="S153">
            <v>21005.488556035383</v>
          </cell>
          <cell r="U153">
            <v>318.64797414992728</v>
          </cell>
          <cell r="V153">
            <v>6</v>
          </cell>
          <cell r="W153">
            <v>324.64797414992728</v>
          </cell>
          <cell r="AB153" t="str">
            <v>V</v>
          </cell>
          <cell r="AC153">
            <v>318.64797414992728</v>
          </cell>
          <cell r="AD153">
            <v>799</v>
          </cell>
          <cell r="AF153">
            <v>0</v>
          </cell>
          <cell r="AG153">
            <v>1123.6479741499272</v>
          </cell>
          <cell r="AH153">
            <v>1123.6479741499272</v>
          </cell>
          <cell r="AI153">
            <v>21005.488556035383</v>
          </cell>
          <cell r="AJ153" t="e">
            <v>#N/A</v>
          </cell>
          <cell r="AK153" t="e">
            <v>#N/A</v>
          </cell>
          <cell r="AL153" t="e">
            <v>#N/A</v>
          </cell>
          <cell r="AM153" t="e">
            <v>#N/A</v>
          </cell>
          <cell r="AN153" t="e">
            <v>#N/A</v>
          </cell>
          <cell r="AO153" t="str">
            <v>Zero investment in 2019</v>
          </cell>
          <cell r="AP153">
            <v>8675</v>
          </cell>
          <cell r="AR153">
            <v>29680.488556035383</v>
          </cell>
          <cell r="AS153">
            <v>21005.488556035383</v>
          </cell>
          <cell r="AT153">
            <v>0</v>
          </cell>
          <cell r="AU153">
            <v>21005.488556035383</v>
          </cell>
          <cell r="AV153">
            <v>1123.6479741499272</v>
          </cell>
          <cell r="BB153">
            <v>44.111525967674304</v>
          </cell>
          <cell r="BC153">
            <v>44.111525967674304</v>
          </cell>
          <cell r="BD153">
            <v>35</v>
          </cell>
        </row>
        <row r="154">
          <cell r="A154" t="str">
            <v>8160-01-257</v>
          </cell>
          <cell r="B154" t="str">
            <v>Arieh &amp; Varda Saban</v>
          </cell>
          <cell r="C154" t="str">
            <v>Arieh 064902083     Varda 050403963</v>
          </cell>
          <cell r="D154" t="str">
            <v>Arieh 064902083     Varda 050403963</v>
          </cell>
          <cell r="F154" t="str">
            <v>אריה סבן וורדה סבן</v>
          </cell>
          <cell r="G154" t="str">
            <v>V</v>
          </cell>
          <cell r="I154">
            <v>500000</v>
          </cell>
          <cell r="J154">
            <v>6.8294509088687909E-3</v>
          </cell>
          <cell r="K154">
            <v>17086.852078303149</v>
          </cell>
          <cell r="L154">
            <v>4385.7026374028173</v>
          </cell>
          <cell r="M154">
            <v>12701.149440900334</v>
          </cell>
          <cell r="N154">
            <v>90</v>
          </cell>
          <cell r="O154">
            <v>12791.149440900334</v>
          </cell>
          <cell r="P154">
            <v>22194.664819158636</v>
          </cell>
          <cell r="Q154">
            <v>23</v>
          </cell>
          <cell r="R154">
            <v>22217.664819158636</v>
          </cell>
          <cell r="S154">
            <v>35008.814260058971</v>
          </cell>
          <cell r="T154">
            <v>3197.7873602250834</v>
          </cell>
          <cell r="U154">
            <v>531.07995691654548</v>
          </cell>
          <cell r="V154">
            <v>10</v>
          </cell>
          <cell r="W154">
            <v>541.07995691654548</v>
          </cell>
          <cell r="X154">
            <v>-541.07995691654548</v>
          </cell>
          <cell r="Y154">
            <v>2656.7074033085378</v>
          </cell>
          <cell r="Z154">
            <v>12</v>
          </cell>
          <cell r="AA154">
            <v>2668.7074033085378</v>
          </cell>
          <cell r="AB154" t="str">
            <v>X</v>
          </cell>
          <cell r="AD154">
            <v>1332</v>
          </cell>
          <cell r="AE154">
            <v>1548</v>
          </cell>
          <cell r="AF154">
            <v>4216.7074033085373</v>
          </cell>
          <cell r="AG154">
            <v>1873.0799569165456</v>
          </cell>
          <cell r="AH154">
            <v>6089.7873602250829</v>
          </cell>
          <cell r="AI154">
            <v>32340.106856750434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350023</v>
          </cell>
          <cell r="AO154" t="str">
            <v>Zero investment in 2019</v>
          </cell>
          <cell r="AP154">
            <v>14458</v>
          </cell>
          <cell r="AR154">
            <v>49466.814260058971</v>
          </cell>
          <cell r="AS154">
            <v>35008.814260058971</v>
          </cell>
          <cell r="AT154">
            <v>2656.7074033085378</v>
          </cell>
          <cell r="AU154">
            <v>32340.106856750434</v>
          </cell>
          <cell r="AV154">
            <v>6089.7873602250829</v>
          </cell>
          <cell r="BB154">
            <v>67.914224399175907</v>
          </cell>
          <cell r="BC154">
            <v>67.914224399175907</v>
          </cell>
          <cell r="BD154">
            <v>35</v>
          </cell>
        </row>
        <row r="155">
          <cell r="A155" t="str">
            <v>8160-01-258</v>
          </cell>
          <cell r="B155" t="str">
            <v>Atlas Lending Fund L.P</v>
          </cell>
          <cell r="C155" t="str">
            <v>OG-90357</v>
          </cell>
          <cell r="D155" t="str">
            <v>OG-90357</v>
          </cell>
          <cell r="E155" t="str">
            <v>Atlas Lending Fund L.P</v>
          </cell>
          <cell r="G155" t="str">
            <v>V</v>
          </cell>
          <cell r="I155">
            <v>500000</v>
          </cell>
          <cell r="J155">
            <v>6.8294509088687909E-3</v>
          </cell>
          <cell r="K155">
            <v>17086.852078303149</v>
          </cell>
          <cell r="L155">
            <v>4385.7026374028173</v>
          </cell>
          <cell r="M155">
            <v>12701.149440900334</v>
          </cell>
          <cell r="N155">
            <v>90</v>
          </cell>
          <cell r="O155">
            <v>12791.149440900334</v>
          </cell>
          <cell r="P155">
            <v>22194.664819158636</v>
          </cell>
          <cell r="Q155">
            <v>23</v>
          </cell>
          <cell r="R155">
            <v>22217.664819158636</v>
          </cell>
          <cell r="S155">
            <v>35008.814260058971</v>
          </cell>
          <cell r="U155">
            <v>531.07995691654548</v>
          </cell>
          <cell r="V155">
            <v>10</v>
          </cell>
          <cell r="W155">
            <v>541.07995691654548</v>
          </cell>
          <cell r="AB155" t="str">
            <v>V</v>
          </cell>
          <cell r="AD155">
            <v>1332</v>
          </cell>
          <cell r="AE155">
            <v>0</v>
          </cell>
          <cell r="AF155">
            <v>0</v>
          </cell>
          <cell r="AG155">
            <v>1873.0799569165456</v>
          </cell>
          <cell r="AH155">
            <v>1873.0799569165456</v>
          </cell>
          <cell r="AI155">
            <v>35008.814260058971</v>
          </cell>
          <cell r="AJ155" t="e">
            <v>#N/A</v>
          </cell>
          <cell r="AK155" t="e">
            <v>#N/A</v>
          </cell>
          <cell r="AL155" t="e">
            <v>#N/A</v>
          </cell>
          <cell r="AM155" t="e">
            <v>#N/A</v>
          </cell>
          <cell r="AN155" t="e">
            <v>#N/A</v>
          </cell>
          <cell r="AO155" t="str">
            <v>Zero investment in 2019</v>
          </cell>
          <cell r="AP155">
            <v>14458</v>
          </cell>
          <cell r="AR155">
            <v>49466.814260058971</v>
          </cell>
          <cell r="AS155">
            <v>35008.814260058971</v>
          </cell>
          <cell r="AT155">
            <v>0</v>
          </cell>
          <cell r="AU155">
            <v>35008.814260058971</v>
          </cell>
          <cell r="AV155">
            <v>1873.0799569165456</v>
          </cell>
          <cell r="BB155">
            <v>73.518509946123828</v>
          </cell>
          <cell r="BC155">
            <v>73.518509946123828</v>
          </cell>
          <cell r="BD155">
            <v>35</v>
          </cell>
        </row>
        <row r="156">
          <cell r="A156" t="str">
            <v>8160-01-259</v>
          </cell>
          <cell r="B156" t="str">
            <v>Bibars Natcho</v>
          </cell>
          <cell r="C156">
            <v>301281531</v>
          </cell>
          <cell r="D156">
            <v>301281531</v>
          </cell>
          <cell r="F156" t="str">
            <v>נאתכו ביברס</v>
          </cell>
          <cell r="G156" t="str">
            <v>V</v>
          </cell>
          <cell r="I156">
            <v>500000</v>
          </cell>
          <cell r="J156">
            <v>6.8294509088687909E-3</v>
          </cell>
          <cell r="K156">
            <v>17086.852078303149</v>
          </cell>
          <cell r="L156">
            <v>4385.7026374028173</v>
          </cell>
          <cell r="M156">
            <v>12701.149440900334</v>
          </cell>
          <cell r="N156">
            <v>90</v>
          </cell>
          <cell r="O156">
            <v>12791.149440900334</v>
          </cell>
          <cell r="P156">
            <v>22194.664819158636</v>
          </cell>
          <cell r="Q156">
            <v>23</v>
          </cell>
          <cell r="R156">
            <v>22217.664819158636</v>
          </cell>
          <cell r="S156">
            <v>35008.814260058971</v>
          </cell>
          <cell r="T156">
            <v>3197.7873602250834</v>
          </cell>
          <cell r="U156">
            <v>531.07995691654548</v>
          </cell>
          <cell r="V156">
            <v>10</v>
          </cell>
          <cell r="W156">
            <v>541.07995691654548</v>
          </cell>
          <cell r="X156">
            <v>-541.07995691654548</v>
          </cell>
          <cell r="Y156">
            <v>2656.7074033085378</v>
          </cell>
          <cell r="Z156">
            <v>12</v>
          </cell>
          <cell r="AA156">
            <v>2668.7074033085378</v>
          </cell>
          <cell r="AB156" t="str">
            <v>X</v>
          </cell>
          <cell r="AD156">
            <v>1332</v>
          </cell>
          <cell r="AE156">
            <v>1548</v>
          </cell>
          <cell r="AF156">
            <v>4216.7074033085373</v>
          </cell>
          <cell r="AG156">
            <v>1873.0799569165456</v>
          </cell>
          <cell r="AH156">
            <v>6089.7873602250829</v>
          </cell>
          <cell r="AI156">
            <v>32340.106856750434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350023</v>
          </cell>
          <cell r="AO156" t="str">
            <v>Zero investment in 2019</v>
          </cell>
          <cell r="AP156">
            <v>14458</v>
          </cell>
          <cell r="AR156">
            <v>49466.814260058971</v>
          </cell>
          <cell r="AS156">
            <v>35008.814260058971</v>
          </cell>
          <cell r="AT156">
            <v>2656.7074033085378</v>
          </cell>
          <cell r="AU156">
            <v>32340.106856750434</v>
          </cell>
          <cell r="AV156">
            <v>6089.7873602250829</v>
          </cell>
          <cell r="BB156">
            <v>67.914224399175907</v>
          </cell>
          <cell r="BC156">
            <v>67.914224399175907</v>
          </cell>
          <cell r="BD156">
            <v>35</v>
          </cell>
        </row>
        <row r="157">
          <cell r="A157" t="str">
            <v>8160-01-260</v>
          </cell>
          <cell r="B157" t="str">
            <v>Haim Livne</v>
          </cell>
          <cell r="C157" t="str">
            <v>064561459</v>
          </cell>
          <cell r="D157">
            <v>64561459</v>
          </cell>
          <cell r="F157" t="str">
            <v>חיים לבנה</v>
          </cell>
          <cell r="G157" t="str">
            <v>V</v>
          </cell>
          <cell r="I157">
            <v>250000</v>
          </cell>
          <cell r="J157">
            <v>3.4147254544343955E-3</v>
          </cell>
          <cell r="K157">
            <v>8543.4260391515745</v>
          </cell>
          <cell r="L157">
            <v>2192.8513187014087</v>
          </cell>
          <cell r="M157">
            <v>6350.5747204501668</v>
          </cell>
          <cell r="N157">
            <v>45</v>
          </cell>
          <cell r="O157">
            <v>6395.5747204501668</v>
          </cell>
          <cell r="P157">
            <v>11097.332409579318</v>
          </cell>
          <cell r="Q157">
            <v>12</v>
          </cell>
          <cell r="R157">
            <v>11109.332409579318</v>
          </cell>
          <cell r="S157">
            <v>17504.907130029485</v>
          </cell>
          <cell r="T157">
            <v>1598.8936801125417</v>
          </cell>
          <cell r="U157">
            <v>265.53997845827274</v>
          </cell>
          <cell r="V157">
            <v>5</v>
          </cell>
          <cell r="W157">
            <v>270.53997845827274</v>
          </cell>
          <cell r="X157">
            <v>-270.53997845827274</v>
          </cell>
          <cell r="Y157">
            <v>1328.3537016542689</v>
          </cell>
          <cell r="Z157">
            <v>6</v>
          </cell>
          <cell r="AA157">
            <v>1334.3537016542689</v>
          </cell>
          <cell r="AB157" t="str">
            <v>X</v>
          </cell>
          <cell r="AD157">
            <v>666</v>
          </cell>
          <cell r="AE157">
            <v>774</v>
          </cell>
          <cell r="AF157">
            <v>2108.3537016542687</v>
          </cell>
          <cell r="AG157">
            <v>936.5399784582728</v>
          </cell>
          <cell r="AH157">
            <v>3044.8936801125415</v>
          </cell>
          <cell r="AI157">
            <v>16170.553428375217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175011</v>
          </cell>
          <cell r="AO157" t="str">
            <v>Zero investment in 2019</v>
          </cell>
          <cell r="AP157">
            <v>7229</v>
          </cell>
          <cell r="AR157">
            <v>24733.907130029485</v>
          </cell>
          <cell r="AS157">
            <v>17504.907130029485</v>
          </cell>
          <cell r="AT157">
            <v>1328.3537016542689</v>
          </cell>
          <cell r="AU157">
            <v>16170.553428375217</v>
          </cell>
          <cell r="AV157">
            <v>3044.8936801125415</v>
          </cell>
          <cell r="BB157">
            <v>33.958162199587953</v>
          </cell>
          <cell r="BC157">
            <v>33.958162199587953</v>
          </cell>
          <cell r="BD157">
            <v>35</v>
          </cell>
        </row>
        <row r="158">
          <cell r="A158" t="str">
            <v>8160-01-261</v>
          </cell>
          <cell r="B158" t="str">
            <v>Ifat Zahava Fish</v>
          </cell>
          <cell r="C158" t="str">
            <v>024507048</v>
          </cell>
          <cell r="D158">
            <v>24507048</v>
          </cell>
          <cell r="F158" t="str">
            <v>יפעת זהבה פיש</v>
          </cell>
          <cell r="G158" t="str">
            <v>V</v>
          </cell>
          <cell r="I158">
            <v>300000</v>
          </cell>
          <cell r="J158">
            <v>4.0976705453212746E-3</v>
          </cell>
          <cell r="K158">
            <v>10252.111246981891</v>
          </cell>
          <cell r="L158">
            <v>2631.4215824416906</v>
          </cell>
          <cell r="M158">
            <v>7620.6896645402003</v>
          </cell>
          <cell r="N158">
            <v>54</v>
          </cell>
          <cell r="O158">
            <v>7674.6896645402003</v>
          </cell>
          <cell r="P158">
            <v>13316.798891495182</v>
          </cell>
          <cell r="Q158">
            <v>14</v>
          </cell>
          <cell r="R158">
            <v>13330.798891495182</v>
          </cell>
          <cell r="S158">
            <v>21005.488556035383</v>
          </cell>
          <cell r="T158">
            <v>1918.6724161350501</v>
          </cell>
          <cell r="U158">
            <v>318.64797414992728</v>
          </cell>
          <cell r="V158">
            <v>6</v>
          </cell>
          <cell r="W158">
            <v>324.64797414992728</v>
          </cell>
          <cell r="X158">
            <v>-324.64797414992728</v>
          </cell>
          <cell r="Y158">
            <v>1594.0244419851228</v>
          </cell>
          <cell r="Z158">
            <v>7</v>
          </cell>
          <cell r="AA158">
            <v>1601.0244419851228</v>
          </cell>
          <cell r="AB158" t="str">
            <v>X</v>
          </cell>
          <cell r="AD158">
            <v>799</v>
          </cell>
          <cell r="AE158">
            <v>929</v>
          </cell>
          <cell r="AF158">
            <v>2530.0244419851228</v>
          </cell>
          <cell r="AG158">
            <v>1123.6479741499272</v>
          </cell>
          <cell r="AH158">
            <v>3653.6724161350503</v>
          </cell>
          <cell r="AI158">
            <v>19404.464114050261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210014</v>
          </cell>
          <cell r="AO158" t="str">
            <v>Zero investment in 2019</v>
          </cell>
          <cell r="AP158">
            <v>8675</v>
          </cell>
          <cell r="AR158">
            <v>29680.488556035383</v>
          </cell>
          <cell r="AS158">
            <v>21005.488556035383</v>
          </cell>
          <cell r="AT158">
            <v>1594.0244419851228</v>
          </cell>
          <cell r="AU158">
            <v>19404.464114050261</v>
          </cell>
          <cell r="AV158">
            <v>3653.6724161350503</v>
          </cell>
          <cell r="BB158">
            <v>40.749374639505547</v>
          </cell>
          <cell r="BC158">
            <v>40.749374639505547</v>
          </cell>
          <cell r="BD158">
            <v>35</v>
          </cell>
        </row>
        <row r="159">
          <cell r="A159" t="str">
            <v>8160-01-262</v>
          </cell>
          <cell r="B159" t="str">
            <v>Meron Man</v>
          </cell>
          <cell r="C159" t="str">
            <v>050699727</v>
          </cell>
          <cell r="D159">
            <v>520023185</v>
          </cell>
          <cell r="F159" t="str">
            <v>מירון מן</v>
          </cell>
          <cell r="G159" t="str">
            <v>V</v>
          </cell>
          <cell r="H159" t="str">
            <v>Phoenix</v>
          </cell>
          <cell r="I159">
            <v>700000</v>
          </cell>
          <cell r="J159">
            <v>9.5612312724163064E-3</v>
          </cell>
          <cell r="K159">
            <v>23921.592909624411</v>
          </cell>
          <cell r="L159">
            <v>6139.9836923639441</v>
          </cell>
          <cell r="M159">
            <v>17781.609217260466</v>
          </cell>
          <cell r="N159">
            <v>127</v>
          </cell>
          <cell r="O159">
            <v>17908.609217260466</v>
          </cell>
          <cell r="P159">
            <v>31072.530746822085</v>
          </cell>
          <cell r="Q159">
            <v>32</v>
          </cell>
          <cell r="R159">
            <v>31104.530746822085</v>
          </cell>
          <cell r="S159">
            <v>49013.139964082555</v>
          </cell>
          <cell r="U159">
            <v>743.51193968316352</v>
          </cell>
          <cell r="V159">
            <v>15</v>
          </cell>
          <cell r="W159">
            <v>758.51193968316352</v>
          </cell>
          <cell r="AB159" t="str">
            <v>IRA</v>
          </cell>
          <cell r="AC159">
            <v>743.51193968316352</v>
          </cell>
          <cell r="AD159">
            <v>1865</v>
          </cell>
          <cell r="AE159">
            <v>0</v>
          </cell>
          <cell r="AF159">
            <v>0</v>
          </cell>
          <cell r="AG159">
            <v>2623.5119396831633</v>
          </cell>
          <cell r="AH159">
            <v>2623.5119396831633</v>
          </cell>
          <cell r="AI159">
            <v>49013.139964082555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350023</v>
          </cell>
          <cell r="AO159" t="str">
            <v>Zero investment in 2019</v>
          </cell>
          <cell r="AP159">
            <v>20241</v>
          </cell>
          <cell r="AR159">
            <v>69254.139964082555</v>
          </cell>
          <cell r="AS159">
            <v>49013.139964082555</v>
          </cell>
          <cell r="AT159">
            <v>0</v>
          </cell>
          <cell r="AU159">
            <v>49013.139964082555</v>
          </cell>
          <cell r="AV159">
            <v>2623.5119396831633</v>
          </cell>
          <cell r="BB159">
            <v>102.92759392457336</v>
          </cell>
          <cell r="BC159">
            <v>102.92759392457336</v>
          </cell>
          <cell r="BD159">
            <v>35</v>
          </cell>
        </row>
        <row r="160">
          <cell r="A160" t="str">
            <v>8160-01-263</v>
          </cell>
          <cell r="B160" t="str">
            <v>Dan Schmorak</v>
          </cell>
          <cell r="C160" t="str">
            <v>006785984</v>
          </cell>
          <cell r="D160">
            <v>512065202</v>
          </cell>
          <cell r="F160" t="str">
            <v>דן שמורק</v>
          </cell>
          <cell r="G160" t="str">
            <v>V</v>
          </cell>
          <cell r="H160" t="str">
            <v>Meitav</v>
          </cell>
          <cell r="I160">
            <v>250000</v>
          </cell>
          <cell r="J160">
            <v>3.4147254544343955E-3</v>
          </cell>
          <cell r="K160">
            <v>8543.4260391515745</v>
          </cell>
          <cell r="L160">
            <v>2192.8513187014087</v>
          </cell>
          <cell r="M160">
            <v>6350.5747204501668</v>
          </cell>
          <cell r="N160">
            <v>45</v>
          </cell>
          <cell r="O160">
            <v>6395.5747204501668</v>
          </cell>
          <cell r="P160">
            <v>11097.332409579318</v>
          </cell>
          <cell r="Q160">
            <v>12</v>
          </cell>
          <cell r="R160">
            <v>11109.332409579318</v>
          </cell>
          <cell r="S160">
            <v>17504.907130029485</v>
          </cell>
          <cell r="U160">
            <v>265.53997845827274</v>
          </cell>
          <cell r="V160">
            <v>5</v>
          </cell>
          <cell r="W160">
            <v>270.53997845827274</v>
          </cell>
          <cell r="AB160" t="str">
            <v>IRA</v>
          </cell>
          <cell r="AC160">
            <v>265.53997845827274</v>
          </cell>
          <cell r="AD160">
            <v>666</v>
          </cell>
          <cell r="AE160">
            <v>0</v>
          </cell>
          <cell r="AF160">
            <v>0</v>
          </cell>
          <cell r="AG160">
            <v>936.5399784582728</v>
          </cell>
          <cell r="AH160">
            <v>936.5399784582728</v>
          </cell>
          <cell r="AI160">
            <v>17504.907130029485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175011</v>
          </cell>
          <cell r="AO160" t="str">
            <v>Zero investment in 2019</v>
          </cell>
          <cell r="AP160">
            <v>7229</v>
          </cell>
          <cell r="AR160">
            <v>24733.907130029485</v>
          </cell>
          <cell r="AS160">
            <v>17504.907130029485</v>
          </cell>
          <cell r="AT160">
            <v>0</v>
          </cell>
          <cell r="AU160">
            <v>17504.907130029485</v>
          </cell>
          <cell r="AV160">
            <v>936.5399784582728</v>
          </cell>
          <cell r="BB160">
            <v>36.76030497306192</v>
          </cell>
          <cell r="BC160">
            <v>36.76030497306192</v>
          </cell>
          <cell r="BD160">
            <v>35</v>
          </cell>
        </row>
        <row r="161">
          <cell r="A161" t="str">
            <v>8160-01-264</v>
          </cell>
          <cell r="B161" t="str">
            <v>Eyal Amitai</v>
          </cell>
          <cell r="C161" t="str">
            <v>012159844</v>
          </cell>
          <cell r="D161">
            <v>512065202</v>
          </cell>
          <cell r="F161" t="str">
            <v>איל אמיתי</v>
          </cell>
          <cell r="G161" t="str">
            <v>V</v>
          </cell>
          <cell r="H161" t="str">
            <v>Meitav</v>
          </cell>
          <cell r="I161">
            <v>250000</v>
          </cell>
          <cell r="J161">
            <v>3.4147254544343955E-3</v>
          </cell>
          <cell r="K161">
            <v>8543.4260391515745</v>
          </cell>
          <cell r="L161">
            <v>2192.8513187014087</v>
          </cell>
          <cell r="M161">
            <v>6350.5747204501668</v>
          </cell>
          <cell r="N161">
            <v>45</v>
          </cell>
          <cell r="O161">
            <v>6395.5747204501668</v>
          </cell>
          <cell r="P161">
            <v>11097.332409579318</v>
          </cell>
          <cell r="Q161">
            <v>12</v>
          </cell>
          <cell r="R161">
            <v>11109.332409579318</v>
          </cell>
          <cell r="S161">
            <v>17504.907130029485</v>
          </cell>
          <cell r="U161">
            <v>265.53997845827274</v>
          </cell>
          <cell r="V161">
            <v>5</v>
          </cell>
          <cell r="W161">
            <v>270.53997845827274</v>
          </cell>
          <cell r="AB161" t="str">
            <v>IRA</v>
          </cell>
          <cell r="AC161">
            <v>265.53997845827274</v>
          </cell>
          <cell r="AD161">
            <v>666</v>
          </cell>
          <cell r="AE161">
            <v>0</v>
          </cell>
          <cell r="AF161">
            <v>0</v>
          </cell>
          <cell r="AG161">
            <v>936.5399784582728</v>
          </cell>
          <cell r="AH161">
            <v>936.5399784582728</v>
          </cell>
          <cell r="AI161">
            <v>17504.907130029485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175008.5</v>
          </cell>
          <cell r="AO161" t="str">
            <v>Zero investment in 2019</v>
          </cell>
          <cell r="AP161">
            <v>7229</v>
          </cell>
          <cell r="AR161">
            <v>24733.907130029485</v>
          </cell>
          <cell r="AS161">
            <v>17504.907130029485</v>
          </cell>
          <cell r="AT161">
            <v>0</v>
          </cell>
          <cell r="AU161">
            <v>17504.907130029485</v>
          </cell>
          <cell r="AV161">
            <v>936.5399784582728</v>
          </cell>
          <cell r="BB161">
            <v>36.76030497306192</v>
          </cell>
          <cell r="BC161">
            <v>36.76030497306192</v>
          </cell>
          <cell r="BD161">
            <v>35</v>
          </cell>
        </row>
        <row r="162">
          <cell r="A162" t="str">
            <v>8160-01-265</v>
          </cell>
          <cell r="B162" t="str">
            <v>Gil Vardi</v>
          </cell>
          <cell r="C162" t="str">
            <v>001424928</v>
          </cell>
          <cell r="D162">
            <v>512065202</v>
          </cell>
          <cell r="F162" t="str">
            <v>גיל ורדי</v>
          </cell>
          <cell r="G162" t="str">
            <v>V</v>
          </cell>
          <cell r="H162" t="str">
            <v>Meitav</v>
          </cell>
          <cell r="I162">
            <v>300000</v>
          </cell>
          <cell r="J162">
            <v>4.0976705453212746E-3</v>
          </cell>
          <cell r="K162">
            <v>10252.111246981891</v>
          </cell>
          <cell r="L162">
            <v>2631.4215824416906</v>
          </cell>
          <cell r="M162">
            <v>7620.6896645402003</v>
          </cell>
          <cell r="N162">
            <v>54</v>
          </cell>
          <cell r="O162">
            <v>7674.6896645402003</v>
          </cell>
          <cell r="P162">
            <v>13316.798891495182</v>
          </cell>
          <cell r="Q162">
            <v>14</v>
          </cell>
          <cell r="R162">
            <v>13330.798891495182</v>
          </cell>
          <cell r="S162">
            <v>21005.488556035383</v>
          </cell>
          <cell r="U162">
            <v>318.64797414992728</v>
          </cell>
          <cell r="V162">
            <v>6</v>
          </cell>
          <cell r="W162">
            <v>324.64797414992728</v>
          </cell>
          <cell r="AB162" t="str">
            <v>IRA</v>
          </cell>
          <cell r="AC162">
            <v>318.64797414992728</v>
          </cell>
          <cell r="AD162">
            <v>799</v>
          </cell>
          <cell r="AE162">
            <v>0</v>
          </cell>
          <cell r="AF162">
            <v>0</v>
          </cell>
          <cell r="AG162">
            <v>1123.6479741499272</v>
          </cell>
          <cell r="AH162">
            <v>1123.6479741499272</v>
          </cell>
          <cell r="AI162">
            <v>21005.488556035383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210014</v>
          </cell>
          <cell r="AO162" t="str">
            <v>Zero investment in 2019</v>
          </cell>
          <cell r="AP162">
            <v>8675</v>
          </cell>
          <cell r="AR162">
            <v>29680.488556035383</v>
          </cell>
          <cell r="AS162">
            <v>21005.488556035383</v>
          </cell>
          <cell r="AT162">
            <v>0</v>
          </cell>
          <cell r="AU162">
            <v>21005.488556035383</v>
          </cell>
          <cell r="AV162">
            <v>1123.6479741499272</v>
          </cell>
          <cell r="BB162">
            <v>44.111525967674304</v>
          </cell>
          <cell r="BC162">
            <v>44.111525967674304</v>
          </cell>
          <cell r="BD162">
            <v>35</v>
          </cell>
        </row>
        <row r="163">
          <cell r="A163" t="str">
            <v>8160-01-266</v>
          </cell>
          <cell r="B163" t="str">
            <v>Haim Shiniger</v>
          </cell>
          <cell r="C163" t="str">
            <v>043451640</v>
          </cell>
          <cell r="D163">
            <v>512065202</v>
          </cell>
          <cell r="F163" t="str">
            <v>חיים שיניגר</v>
          </cell>
          <cell r="G163" t="str">
            <v>V</v>
          </cell>
          <cell r="H163" t="str">
            <v>Meitav</v>
          </cell>
          <cell r="I163">
            <v>250000</v>
          </cell>
          <cell r="J163">
            <v>3.4147254544343955E-3</v>
          </cell>
          <cell r="K163">
            <v>8543.4260391515745</v>
          </cell>
          <cell r="L163">
            <v>2192.8513187014087</v>
          </cell>
          <cell r="M163">
            <v>6350.5747204501668</v>
          </cell>
          <cell r="N163">
            <v>45</v>
          </cell>
          <cell r="O163">
            <v>6395.5747204501668</v>
          </cell>
          <cell r="P163">
            <v>11097.332409579318</v>
          </cell>
          <cell r="Q163">
            <v>12</v>
          </cell>
          <cell r="R163">
            <v>11109.332409579318</v>
          </cell>
          <cell r="S163">
            <v>17504.907130029485</v>
          </cell>
          <cell r="U163">
            <v>265.53997845827274</v>
          </cell>
          <cell r="V163">
            <v>5</v>
          </cell>
          <cell r="W163">
            <v>270.53997845827274</v>
          </cell>
          <cell r="AB163" t="str">
            <v>IRA</v>
          </cell>
          <cell r="AC163">
            <v>265.53997845827274</v>
          </cell>
          <cell r="AD163">
            <v>666</v>
          </cell>
          <cell r="AE163">
            <v>0</v>
          </cell>
          <cell r="AF163">
            <v>0</v>
          </cell>
          <cell r="AG163">
            <v>936.5399784582728</v>
          </cell>
          <cell r="AH163">
            <v>936.5399784582728</v>
          </cell>
          <cell r="AI163">
            <v>17504.907130029485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175011</v>
          </cell>
          <cell r="AO163" t="str">
            <v>Zero investment in 2019</v>
          </cell>
          <cell r="AP163">
            <v>7229</v>
          </cell>
          <cell r="AR163">
            <v>24733.907130029485</v>
          </cell>
          <cell r="AS163">
            <v>17504.907130029485</v>
          </cell>
          <cell r="AT163">
            <v>0</v>
          </cell>
          <cell r="AU163">
            <v>17504.907130029485</v>
          </cell>
          <cell r="AV163">
            <v>936.5399784582728</v>
          </cell>
          <cell r="BB163">
            <v>36.76030497306192</v>
          </cell>
          <cell r="BC163">
            <v>36.76030497306192</v>
          </cell>
          <cell r="BD163">
            <v>35</v>
          </cell>
        </row>
        <row r="164">
          <cell r="A164" t="str">
            <v>8160-01-267</v>
          </cell>
          <cell r="B164" t="str">
            <v>Dov Stempler</v>
          </cell>
          <cell r="C164" t="str">
            <v>050267475</v>
          </cell>
          <cell r="D164">
            <v>512065202</v>
          </cell>
          <cell r="F164" t="str">
            <v>דב סטמפלר</v>
          </cell>
          <cell r="G164" t="str">
            <v>V</v>
          </cell>
          <cell r="H164" t="str">
            <v>Meitav</v>
          </cell>
          <cell r="I164">
            <v>250000</v>
          </cell>
          <cell r="J164">
            <v>3.4147254544343955E-3</v>
          </cell>
          <cell r="K164">
            <v>8543.4260391515745</v>
          </cell>
          <cell r="L164">
            <v>2192.8513187014087</v>
          </cell>
          <cell r="M164">
            <v>6350.5747204501668</v>
          </cell>
          <cell r="N164">
            <v>45</v>
          </cell>
          <cell r="O164">
            <v>6395.5747204501668</v>
          </cell>
          <cell r="P164">
            <v>11097.332409579318</v>
          </cell>
          <cell r="Q164">
            <v>12</v>
          </cell>
          <cell r="R164">
            <v>11109.332409579318</v>
          </cell>
          <cell r="S164">
            <v>17504.907130029485</v>
          </cell>
          <cell r="U164">
            <v>265.53997845827274</v>
          </cell>
          <cell r="V164">
            <v>5</v>
          </cell>
          <cell r="W164">
            <v>270.53997845827274</v>
          </cell>
          <cell r="AB164" t="str">
            <v>IRA</v>
          </cell>
          <cell r="AC164">
            <v>265.53997845827274</v>
          </cell>
          <cell r="AD164">
            <v>666</v>
          </cell>
          <cell r="AE164">
            <v>0</v>
          </cell>
          <cell r="AF164">
            <v>0</v>
          </cell>
          <cell r="AG164">
            <v>936.5399784582728</v>
          </cell>
          <cell r="AH164">
            <v>936.5399784582728</v>
          </cell>
          <cell r="AI164">
            <v>17504.907130029485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175011</v>
          </cell>
          <cell r="AO164" t="str">
            <v>Zero investment in 2019</v>
          </cell>
          <cell r="AP164">
            <v>7229</v>
          </cell>
          <cell r="AR164">
            <v>24733.907130029485</v>
          </cell>
          <cell r="AS164">
            <v>17504.907130029485</v>
          </cell>
          <cell r="AT164">
            <v>0</v>
          </cell>
          <cell r="AU164">
            <v>17504.907130029485</v>
          </cell>
          <cell r="AV164">
            <v>936.5399784582728</v>
          </cell>
          <cell r="BB164">
            <v>36.76030497306192</v>
          </cell>
          <cell r="BC164">
            <v>36.76030497306192</v>
          </cell>
          <cell r="BD164">
            <v>35</v>
          </cell>
        </row>
        <row r="165">
          <cell r="A165" t="str">
            <v>8160-01-269</v>
          </cell>
          <cell r="B165" t="str">
            <v>Rafael Yosef and Gila Aravot</v>
          </cell>
          <cell r="C165" t="str">
            <v>Rafael 052294170  Gila 054197835</v>
          </cell>
          <cell r="D165" t="str">
            <v>Rafael 052294170  Gila 054197835</v>
          </cell>
          <cell r="F165" t="str">
            <v>רפאל יוסף ערבות וגילה ערבות</v>
          </cell>
          <cell r="G165" t="str">
            <v>V</v>
          </cell>
          <cell r="I165">
            <v>150000</v>
          </cell>
          <cell r="J165">
            <v>2.0488352726606373E-3</v>
          </cell>
          <cell r="K165">
            <v>5126.0556234909454</v>
          </cell>
          <cell r="L165">
            <v>1315.7107912208453</v>
          </cell>
          <cell r="M165">
            <v>3810.3448322701001</v>
          </cell>
          <cell r="N165">
            <v>27</v>
          </cell>
          <cell r="O165">
            <v>3837.3448322701001</v>
          </cell>
          <cell r="P165">
            <v>6658.399445747591</v>
          </cell>
          <cell r="Q165">
            <v>7</v>
          </cell>
          <cell r="R165">
            <v>6665.399445747591</v>
          </cell>
          <cell r="S165">
            <v>10502.744278017692</v>
          </cell>
          <cell r="T165">
            <v>959.33620806752504</v>
          </cell>
          <cell r="U165">
            <v>159.32398707496364</v>
          </cell>
          <cell r="V165">
            <v>3</v>
          </cell>
          <cell r="W165">
            <v>162.32398707496364</v>
          </cell>
          <cell r="X165">
            <v>-162.32398707496364</v>
          </cell>
          <cell r="Y165">
            <v>797.01222099256142</v>
          </cell>
          <cell r="Z165">
            <v>4</v>
          </cell>
          <cell r="AA165">
            <v>801.01222099256142</v>
          </cell>
          <cell r="AB165" t="str">
            <v>X</v>
          </cell>
          <cell r="AD165">
            <v>400</v>
          </cell>
          <cell r="AE165">
            <v>465</v>
          </cell>
          <cell r="AF165">
            <v>1266.0122209925614</v>
          </cell>
          <cell r="AG165">
            <v>562.32398707496361</v>
          </cell>
          <cell r="AH165">
            <v>1828.3362080675251</v>
          </cell>
          <cell r="AI165">
            <v>9701.7320570251304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150000</v>
          </cell>
          <cell r="AO165" t="str">
            <v>Zero investment in 2019</v>
          </cell>
          <cell r="AP165">
            <v>4337</v>
          </cell>
          <cell r="AR165">
            <v>14839.744278017692</v>
          </cell>
          <cell r="AS165">
            <v>10502.744278017692</v>
          </cell>
          <cell r="AT165">
            <v>797.01222099256142</v>
          </cell>
          <cell r="AU165">
            <v>9701.7320570251304</v>
          </cell>
          <cell r="AV165">
            <v>1828.3362080675251</v>
          </cell>
          <cell r="BB165">
            <v>20.373637319752774</v>
          </cell>
          <cell r="BC165">
            <v>20.373637319752774</v>
          </cell>
          <cell r="BD165">
            <v>35</v>
          </cell>
        </row>
        <row r="166">
          <cell r="A166" t="str">
            <v>8160-01-271</v>
          </cell>
          <cell r="B166" t="str">
            <v>Sergio Edelsztein</v>
          </cell>
          <cell r="C166" t="str">
            <v>013834031</v>
          </cell>
          <cell r="D166">
            <v>13834031</v>
          </cell>
          <cell r="F166" t="str">
            <v>סרג'יו אדלשטיין</v>
          </cell>
          <cell r="G166" t="str">
            <v>V</v>
          </cell>
          <cell r="I166">
            <v>250000</v>
          </cell>
          <cell r="J166">
            <v>3.4147254544343955E-3</v>
          </cell>
          <cell r="K166">
            <v>8543.4260391515745</v>
          </cell>
          <cell r="L166">
            <v>2192.8513187014087</v>
          </cell>
          <cell r="M166">
            <v>6350.5747204501668</v>
          </cell>
          <cell r="N166">
            <v>45</v>
          </cell>
          <cell r="O166">
            <v>6395.5747204501668</v>
          </cell>
          <cell r="P166">
            <v>11097.332409579318</v>
          </cell>
          <cell r="Q166">
            <v>12</v>
          </cell>
          <cell r="R166">
            <v>11109.332409579318</v>
          </cell>
          <cell r="S166">
            <v>17504.907130029485</v>
          </cell>
          <cell r="T166">
            <v>1598.8936801125417</v>
          </cell>
          <cell r="U166">
            <v>265.53997845827274</v>
          </cell>
          <cell r="V166">
            <v>5</v>
          </cell>
          <cell r="W166">
            <v>270.53997845827274</v>
          </cell>
          <cell r="X166">
            <v>-270.53997845827274</v>
          </cell>
          <cell r="Y166">
            <v>1328.3537016542689</v>
          </cell>
          <cell r="Z166">
            <v>6</v>
          </cell>
          <cell r="AA166">
            <v>1334.3537016542689</v>
          </cell>
          <cell r="AB166" t="str">
            <v>X</v>
          </cell>
          <cell r="AD166">
            <v>666</v>
          </cell>
          <cell r="AE166">
            <v>774</v>
          </cell>
          <cell r="AF166">
            <v>2108.3537016542687</v>
          </cell>
          <cell r="AG166">
            <v>936.5399784582728</v>
          </cell>
          <cell r="AH166">
            <v>3044.8936801125415</v>
          </cell>
          <cell r="AI166">
            <v>16170.553428375217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175011</v>
          </cell>
          <cell r="AO166" t="str">
            <v>Zero investment in 2019</v>
          </cell>
          <cell r="AP166">
            <v>7229</v>
          </cell>
          <cell r="AR166">
            <v>24733.907130029485</v>
          </cell>
          <cell r="AS166">
            <v>17504.907130029485</v>
          </cell>
          <cell r="AT166">
            <v>1328.3537016542689</v>
          </cell>
          <cell r="AU166">
            <v>16170.553428375217</v>
          </cell>
          <cell r="AV166">
            <v>3044.8936801125415</v>
          </cell>
          <cell r="BB166">
            <v>33.958162199587953</v>
          </cell>
          <cell r="BC166">
            <v>33.958162199587953</v>
          </cell>
          <cell r="BD166">
            <v>35</v>
          </cell>
        </row>
        <row r="167">
          <cell r="A167" t="str">
            <v>8160-01-273</v>
          </cell>
          <cell r="B167" t="str">
            <v>Silvia &amp; Ehud Portiansky</v>
          </cell>
          <cell r="C167" t="str">
            <v>Silvia 017378886   Ehud 015133382</v>
          </cell>
          <cell r="D167" t="str">
            <v>Silvia 017378886   Ehud 015133382</v>
          </cell>
          <cell r="F167" t="str">
            <v>סילביה הלנה פורטיאנסקי ואהוד פורטיאנסקי</v>
          </cell>
          <cell r="G167" t="str">
            <v>V</v>
          </cell>
          <cell r="I167">
            <v>250000</v>
          </cell>
          <cell r="J167">
            <v>3.4147254544343955E-3</v>
          </cell>
          <cell r="K167">
            <v>8543.4260391515745</v>
          </cell>
          <cell r="L167">
            <v>2192.8513187014087</v>
          </cell>
          <cell r="M167">
            <v>6350.5747204501668</v>
          </cell>
          <cell r="N167">
            <v>45</v>
          </cell>
          <cell r="O167">
            <v>6395.5747204501668</v>
          </cell>
          <cell r="P167">
            <v>11097.332409579318</v>
          </cell>
          <cell r="Q167">
            <v>12</v>
          </cell>
          <cell r="R167">
            <v>11109.332409579318</v>
          </cell>
          <cell r="S167">
            <v>17504.907130029485</v>
          </cell>
          <cell r="T167">
            <v>1598.8936801125417</v>
          </cell>
          <cell r="U167">
            <v>265.53997845827274</v>
          </cell>
          <cell r="V167">
            <v>5</v>
          </cell>
          <cell r="W167">
            <v>270.53997845827274</v>
          </cell>
          <cell r="X167">
            <v>-270.53997845827274</v>
          </cell>
          <cell r="Y167">
            <v>1328.3537016542689</v>
          </cell>
          <cell r="Z167">
            <v>6</v>
          </cell>
          <cell r="AA167">
            <v>1334.3537016542689</v>
          </cell>
          <cell r="AB167" t="str">
            <v>X</v>
          </cell>
          <cell r="AD167">
            <v>666</v>
          </cell>
          <cell r="AE167">
            <v>774</v>
          </cell>
          <cell r="AF167">
            <v>2108.3537016542687</v>
          </cell>
          <cell r="AG167">
            <v>936.5399784582728</v>
          </cell>
          <cell r="AH167">
            <v>3044.8936801125415</v>
          </cell>
          <cell r="AI167">
            <v>16170.553428375217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175011</v>
          </cell>
          <cell r="AO167" t="str">
            <v>Zero investment in 2019</v>
          </cell>
          <cell r="AP167">
            <v>7229</v>
          </cell>
          <cell r="AR167">
            <v>24733.907130029485</v>
          </cell>
          <cell r="AS167">
            <v>17504.907130029485</v>
          </cell>
          <cell r="AT167">
            <v>1328.3537016542689</v>
          </cell>
          <cell r="AU167">
            <v>16170.553428375217</v>
          </cell>
          <cell r="AV167">
            <v>3044.8936801125415</v>
          </cell>
          <cell r="BB167">
            <v>33.958162199587953</v>
          </cell>
          <cell r="BC167">
            <v>33.958162199587953</v>
          </cell>
          <cell r="BD167">
            <v>35</v>
          </cell>
        </row>
        <row r="168">
          <cell r="A168" t="str">
            <v>8160-01-275</v>
          </cell>
          <cell r="B168" t="str">
            <v>Yishai Levanoni</v>
          </cell>
          <cell r="C168" t="str">
            <v>023634496</v>
          </cell>
          <cell r="D168">
            <v>23634496</v>
          </cell>
          <cell r="F168" t="str">
            <v>ישי לבנוני</v>
          </cell>
          <cell r="G168" t="str">
            <v>V</v>
          </cell>
          <cell r="I168">
            <v>120000</v>
          </cell>
          <cell r="J168">
            <v>1.6390682181285096E-3</v>
          </cell>
          <cell r="K168">
            <v>4100.844498792756</v>
          </cell>
          <cell r="L168">
            <v>1052.5686329766761</v>
          </cell>
          <cell r="M168">
            <v>3048.2758658160797</v>
          </cell>
          <cell r="N168">
            <v>22</v>
          </cell>
          <cell r="O168">
            <v>3070.2758658160797</v>
          </cell>
          <cell r="P168">
            <v>5326.7195565980719</v>
          </cell>
          <cell r="Q168">
            <v>6</v>
          </cell>
          <cell r="R168">
            <v>5332.7195565980719</v>
          </cell>
          <cell r="S168">
            <v>8402.9954224141511</v>
          </cell>
          <cell r="T168">
            <v>767.56896645401991</v>
          </cell>
          <cell r="U168">
            <v>127.45918965997089</v>
          </cell>
          <cell r="V168">
            <v>3</v>
          </cell>
          <cell r="W168">
            <v>130.45918965997089</v>
          </cell>
          <cell r="X168">
            <v>-130.45918965997089</v>
          </cell>
          <cell r="Y168">
            <v>637.10977679404903</v>
          </cell>
          <cell r="Z168">
            <v>3</v>
          </cell>
          <cell r="AA168">
            <v>640.10977679404903</v>
          </cell>
          <cell r="AB168" t="str">
            <v>X</v>
          </cell>
          <cell r="AD168">
            <v>319.63</v>
          </cell>
          <cell r="AE168">
            <v>372</v>
          </cell>
          <cell r="AF168">
            <v>1012.109776794049</v>
          </cell>
          <cell r="AG168">
            <v>450.08918965997088</v>
          </cell>
          <cell r="AH168">
            <v>1462.1989664540199</v>
          </cell>
          <cell r="AI168">
            <v>7762.885645620102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84002.5</v>
          </cell>
          <cell r="AO168" t="str">
            <v>Zero investment in 2019</v>
          </cell>
          <cell r="AP168">
            <v>3469.87</v>
          </cell>
          <cell r="AR168">
            <v>11872.86542241415</v>
          </cell>
          <cell r="AS168">
            <v>8402.9954224141511</v>
          </cell>
          <cell r="AT168">
            <v>637.10977679404903</v>
          </cell>
          <cell r="AU168">
            <v>7762.885645620102</v>
          </cell>
          <cell r="AV168">
            <v>1462.1989664540199</v>
          </cell>
          <cell r="BB168">
            <v>16.302059855802213</v>
          </cell>
          <cell r="BC168">
            <v>18</v>
          </cell>
          <cell r="BD168">
            <v>35</v>
          </cell>
        </row>
        <row r="169">
          <cell r="A169" t="str">
            <v>8160-01-276</v>
          </cell>
          <cell r="B169" t="str">
            <v>Viatcheslav Brecht</v>
          </cell>
          <cell r="C169">
            <v>309826329</v>
          </cell>
          <cell r="D169">
            <v>309826329</v>
          </cell>
          <cell r="G169" t="str">
            <v>V</v>
          </cell>
          <cell r="I169">
            <v>500000</v>
          </cell>
          <cell r="J169">
            <v>6.8294509088687909E-3</v>
          </cell>
          <cell r="K169">
            <v>17086.852078303149</v>
          </cell>
          <cell r="L169">
            <v>4385.7026374028173</v>
          </cell>
          <cell r="M169">
            <v>12701.149440900334</v>
          </cell>
          <cell r="N169">
            <v>90</v>
          </cell>
          <cell r="O169">
            <v>12791.149440900334</v>
          </cell>
          <cell r="P169">
            <v>22194.664819158636</v>
          </cell>
          <cell r="Q169">
            <v>23</v>
          </cell>
          <cell r="R169">
            <v>22217.664819158636</v>
          </cell>
          <cell r="S169">
            <v>35008.814260058971</v>
          </cell>
          <cell r="T169">
            <v>3197.7873602250834</v>
          </cell>
          <cell r="U169">
            <v>531.07995691654548</v>
          </cell>
          <cell r="V169">
            <v>10</v>
          </cell>
          <cell r="W169">
            <v>541.07995691654548</v>
          </cell>
          <cell r="X169">
            <v>-541.07995691654548</v>
          </cell>
          <cell r="Y169">
            <v>2656.7074033085378</v>
          </cell>
          <cell r="Z169">
            <v>12</v>
          </cell>
          <cell r="AA169">
            <v>2668.7074033085378</v>
          </cell>
          <cell r="AB169" t="str">
            <v>X</v>
          </cell>
          <cell r="AD169">
            <v>1332</v>
          </cell>
          <cell r="AE169">
            <v>1548</v>
          </cell>
          <cell r="AF169">
            <v>4216.7074033085373</v>
          </cell>
          <cell r="AG169">
            <v>1873.0799569165456</v>
          </cell>
          <cell r="AH169">
            <v>6089.7873602250829</v>
          </cell>
          <cell r="AI169">
            <v>32340.106856750434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350023</v>
          </cell>
          <cell r="AO169" t="str">
            <v>Zero investment in 2019</v>
          </cell>
          <cell r="AP169">
            <v>14458</v>
          </cell>
          <cell r="AR169">
            <v>49466.814260058971</v>
          </cell>
          <cell r="AS169">
            <v>35008.814260058971</v>
          </cell>
          <cell r="AT169">
            <v>2656.7074033085378</v>
          </cell>
          <cell r="AU169">
            <v>32340.106856750434</v>
          </cell>
          <cell r="AV169">
            <v>6089.7873602250829</v>
          </cell>
          <cell r="BB169">
            <v>67.914224399175907</v>
          </cell>
          <cell r="BC169">
            <v>67.914224399175907</v>
          </cell>
          <cell r="BD169">
            <v>35</v>
          </cell>
        </row>
        <row r="170">
          <cell r="A170" t="str">
            <v>8160-01-278</v>
          </cell>
          <cell r="B170" t="str">
            <v>Ori Etkovitz</v>
          </cell>
          <cell r="C170" t="str">
            <v>024817801</v>
          </cell>
          <cell r="D170">
            <v>24817801</v>
          </cell>
          <cell r="F170" t="str">
            <v>אורי אטקוביץ</v>
          </cell>
          <cell r="G170" t="str">
            <v>V</v>
          </cell>
          <cell r="I170">
            <v>120000</v>
          </cell>
          <cell r="J170">
            <v>1.6390682181285096E-3</v>
          </cell>
          <cell r="K170">
            <v>4100.844498792756</v>
          </cell>
          <cell r="L170">
            <v>1052.5686329766761</v>
          </cell>
          <cell r="M170">
            <v>3048.2758658160797</v>
          </cell>
          <cell r="N170">
            <v>22</v>
          </cell>
          <cell r="O170">
            <v>3070.2758658160797</v>
          </cell>
          <cell r="P170">
            <v>5326.7195565980719</v>
          </cell>
          <cell r="Q170">
            <v>6</v>
          </cell>
          <cell r="R170">
            <v>5332.7195565980719</v>
          </cell>
          <cell r="S170">
            <v>8402.9954224141511</v>
          </cell>
          <cell r="T170">
            <v>767.56896645401991</v>
          </cell>
          <cell r="U170">
            <v>127.45918965997089</v>
          </cell>
          <cell r="V170">
            <v>3</v>
          </cell>
          <cell r="W170">
            <v>130.45918965997089</v>
          </cell>
          <cell r="X170">
            <v>-130.45918965997089</v>
          </cell>
          <cell r="Y170">
            <v>637.10977679404903</v>
          </cell>
          <cell r="Z170">
            <v>3</v>
          </cell>
          <cell r="AA170">
            <v>640.10977679404903</v>
          </cell>
          <cell r="AB170" t="str">
            <v>X</v>
          </cell>
          <cell r="AD170">
            <v>320</v>
          </cell>
          <cell r="AE170">
            <v>372</v>
          </cell>
          <cell r="AF170">
            <v>1012.109776794049</v>
          </cell>
          <cell r="AG170">
            <v>450.45918965997089</v>
          </cell>
          <cell r="AH170">
            <v>1462.56896645402</v>
          </cell>
          <cell r="AI170">
            <v>7762.885645620102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84002.5</v>
          </cell>
          <cell r="AO170" t="str">
            <v>Zero investment in 2019</v>
          </cell>
          <cell r="AP170">
            <v>3470</v>
          </cell>
          <cell r="AR170">
            <v>11872.995422414151</v>
          </cell>
          <cell r="AS170">
            <v>8402.9954224141511</v>
          </cell>
          <cell r="AT170">
            <v>637.10977679404903</v>
          </cell>
          <cell r="AU170">
            <v>7762.885645620102</v>
          </cell>
          <cell r="AV170">
            <v>1462.56896645402</v>
          </cell>
          <cell r="BB170">
            <v>16.302059855802213</v>
          </cell>
          <cell r="BC170">
            <v>18</v>
          </cell>
          <cell r="BD170">
            <v>35</v>
          </cell>
        </row>
        <row r="171">
          <cell r="A171" t="str">
            <v>8160-01-279</v>
          </cell>
          <cell r="B171" t="str">
            <v>Jacob Ofnagel</v>
          </cell>
          <cell r="C171" t="str">
            <v>054604533</v>
          </cell>
          <cell r="D171">
            <v>54604533</v>
          </cell>
          <cell r="F171" t="str">
            <v>יעקב אופנגל</v>
          </cell>
          <cell r="G171" t="str">
            <v>V</v>
          </cell>
          <cell r="I171">
            <v>250000</v>
          </cell>
          <cell r="J171">
            <v>3.4147254544343955E-3</v>
          </cell>
          <cell r="K171">
            <v>8543.4260391515745</v>
          </cell>
          <cell r="L171">
            <v>2192.8513187014087</v>
          </cell>
          <cell r="M171">
            <v>6350.5747204501668</v>
          </cell>
          <cell r="N171">
            <v>45</v>
          </cell>
          <cell r="O171">
            <v>6395.5747204501668</v>
          </cell>
          <cell r="P171">
            <v>11097.332409579318</v>
          </cell>
          <cell r="Q171">
            <v>12</v>
          </cell>
          <cell r="R171">
            <v>11109.332409579318</v>
          </cell>
          <cell r="S171">
            <v>17504.907130029485</v>
          </cell>
          <cell r="T171">
            <v>1598.8936801125417</v>
          </cell>
          <cell r="U171">
            <v>265.53997845827274</v>
          </cell>
          <cell r="V171">
            <v>5</v>
          </cell>
          <cell r="W171">
            <v>270.53997845827274</v>
          </cell>
          <cell r="X171">
            <v>-270.53997845827274</v>
          </cell>
          <cell r="Y171">
            <v>1328.3537016542689</v>
          </cell>
          <cell r="Z171">
            <v>6</v>
          </cell>
          <cell r="AA171">
            <v>1334.3537016542689</v>
          </cell>
          <cell r="AB171" t="str">
            <v>X</v>
          </cell>
          <cell r="AD171">
            <v>666</v>
          </cell>
          <cell r="AE171">
            <v>774</v>
          </cell>
          <cell r="AF171">
            <v>2108.3537016542687</v>
          </cell>
          <cell r="AG171">
            <v>936.5399784582728</v>
          </cell>
          <cell r="AH171">
            <v>3044.8936801125415</v>
          </cell>
          <cell r="AI171">
            <v>16170.553428375217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175011</v>
          </cell>
          <cell r="AO171" t="str">
            <v>Zero investment in 2019</v>
          </cell>
          <cell r="AP171">
            <v>7229</v>
          </cell>
          <cell r="AR171">
            <v>24733.907130029485</v>
          </cell>
          <cell r="AS171">
            <v>17504.907130029485</v>
          </cell>
          <cell r="AT171">
            <v>1328.3537016542689</v>
          </cell>
          <cell r="AU171">
            <v>16170.553428375217</v>
          </cell>
          <cell r="AV171">
            <v>3044.8936801125415</v>
          </cell>
          <cell r="BB171">
            <v>33.958162199587953</v>
          </cell>
          <cell r="BC171">
            <v>33.958162199587953</v>
          </cell>
          <cell r="BD171">
            <v>35</v>
          </cell>
        </row>
        <row r="172">
          <cell r="A172" t="str">
            <v>8160-01-280</v>
          </cell>
          <cell r="B172" t="str">
            <v>Itzchak Rosenberg</v>
          </cell>
          <cell r="C172" t="str">
            <v>005288253</v>
          </cell>
          <cell r="D172">
            <v>512065202</v>
          </cell>
          <cell r="F172" t="str">
            <v>יצחק רוזנברג</v>
          </cell>
          <cell r="G172" t="str">
            <v>V</v>
          </cell>
          <cell r="H172" t="str">
            <v>Meitav</v>
          </cell>
          <cell r="I172">
            <v>600000</v>
          </cell>
          <cell r="J172">
            <v>8.1953410906425491E-3</v>
          </cell>
          <cell r="K172">
            <v>20504.222493963782</v>
          </cell>
          <cell r="L172">
            <v>5262.8431648833812</v>
          </cell>
          <cell r="M172">
            <v>15241.379329080401</v>
          </cell>
          <cell r="N172">
            <v>109</v>
          </cell>
          <cell r="O172">
            <v>15350.379329080401</v>
          </cell>
          <cell r="P172">
            <v>26633.597782990364</v>
          </cell>
          <cell r="Q172">
            <v>28</v>
          </cell>
          <cell r="R172">
            <v>26661.597782990364</v>
          </cell>
          <cell r="S172">
            <v>42011.977112070766</v>
          </cell>
          <cell r="U172">
            <v>637.29594829985456</v>
          </cell>
          <cell r="V172">
            <v>13</v>
          </cell>
          <cell r="W172">
            <v>650.29594829985456</v>
          </cell>
          <cell r="AB172" t="str">
            <v>IRA</v>
          </cell>
          <cell r="AC172">
            <v>637.29594829985456</v>
          </cell>
          <cell r="AD172">
            <v>1598</v>
          </cell>
          <cell r="AE172">
            <v>0</v>
          </cell>
          <cell r="AF172">
            <v>0</v>
          </cell>
          <cell r="AG172">
            <v>2248.2959482998544</v>
          </cell>
          <cell r="AH172">
            <v>2248.2959482998544</v>
          </cell>
          <cell r="AI172">
            <v>42011.977112070766</v>
          </cell>
          <cell r="AJ172" t="e">
            <v>#N/A</v>
          </cell>
          <cell r="AK172" t="e">
            <v>#N/A</v>
          </cell>
          <cell r="AL172" t="e">
            <v>#N/A</v>
          </cell>
          <cell r="AM172" t="e">
            <v>#N/A</v>
          </cell>
          <cell r="AN172" t="e">
            <v>#N/A</v>
          </cell>
          <cell r="AO172" t="str">
            <v>Zero investment in 2019</v>
          </cell>
          <cell r="AP172">
            <v>17349</v>
          </cell>
          <cell r="AR172">
            <v>59360.977112070766</v>
          </cell>
          <cell r="AS172">
            <v>42011.977112070766</v>
          </cell>
          <cell r="AT172">
            <v>0</v>
          </cell>
          <cell r="AU172">
            <v>42011.977112070766</v>
          </cell>
          <cell r="AV172">
            <v>2248.2959482998544</v>
          </cell>
          <cell r="BB172">
            <v>88.225151935348606</v>
          </cell>
          <cell r="BC172">
            <v>88.225151935348606</v>
          </cell>
          <cell r="BD172">
            <v>35</v>
          </cell>
        </row>
        <row r="173">
          <cell r="A173" t="str">
            <v>8160-01-281</v>
          </cell>
          <cell r="B173" t="str">
            <v>Liat Atlas</v>
          </cell>
          <cell r="C173" t="str">
            <v>024506933</v>
          </cell>
          <cell r="D173">
            <v>24506933</v>
          </cell>
          <cell r="F173" t="str">
            <v>חיה ליאת אטלס</v>
          </cell>
          <cell r="G173" t="str">
            <v>VI</v>
          </cell>
          <cell r="I173">
            <v>250000</v>
          </cell>
          <cell r="J173">
            <v>3.4147254544343955E-3</v>
          </cell>
          <cell r="K173">
            <v>8543.4260391515745</v>
          </cell>
          <cell r="L173">
            <v>2192.8513187014087</v>
          </cell>
          <cell r="M173">
            <v>6350.5747204501668</v>
          </cell>
          <cell r="N173">
            <v>45</v>
          </cell>
          <cell r="O173">
            <v>6395.5747204501668</v>
          </cell>
          <cell r="P173">
            <v>11097.332409579318</v>
          </cell>
          <cell r="Q173">
            <v>12</v>
          </cell>
          <cell r="R173">
            <v>11109.332409579318</v>
          </cell>
          <cell r="S173">
            <v>17504.907130029485</v>
          </cell>
          <cell r="T173">
            <v>1598.8936801125417</v>
          </cell>
          <cell r="U173">
            <v>265.53997845827274</v>
          </cell>
          <cell r="V173">
            <v>5</v>
          </cell>
          <cell r="W173">
            <v>270.53997845827274</v>
          </cell>
          <cell r="X173">
            <v>-270.53997845827274</v>
          </cell>
          <cell r="Y173">
            <v>1328.3537016542689</v>
          </cell>
          <cell r="Z173">
            <v>6</v>
          </cell>
          <cell r="AA173">
            <v>1334.3537016542689</v>
          </cell>
          <cell r="AB173" t="str">
            <v>X</v>
          </cell>
          <cell r="AD173">
            <v>666</v>
          </cell>
          <cell r="AE173">
            <v>774</v>
          </cell>
          <cell r="AF173">
            <v>2108.3537016542687</v>
          </cell>
          <cell r="AG173">
            <v>936.5399784582728</v>
          </cell>
          <cell r="AH173">
            <v>3044.8936801125415</v>
          </cell>
          <cell r="AI173">
            <v>16170.553428375217</v>
          </cell>
          <cell r="AO173" t="str">
            <v>Zero investment in 2019</v>
          </cell>
          <cell r="AP173">
            <v>7229</v>
          </cell>
          <cell r="AR173">
            <v>24733.907130029485</v>
          </cell>
          <cell r="AS173">
            <v>17504.907130029485</v>
          </cell>
          <cell r="AT173">
            <v>1328.3537016542689</v>
          </cell>
          <cell r="AU173">
            <v>16170.553428375217</v>
          </cell>
          <cell r="AV173">
            <v>3044.8936801125415</v>
          </cell>
          <cell r="AW173" t="str">
            <v>לא מקבלים כסף</v>
          </cell>
          <cell r="BB173">
            <v>33.958162199587953</v>
          </cell>
          <cell r="BC173">
            <v>33.958162199587953</v>
          </cell>
          <cell r="BD173">
            <v>35</v>
          </cell>
        </row>
        <row r="174">
          <cell r="A174" t="str">
            <v>8160-01-282</v>
          </cell>
          <cell r="B174" t="str">
            <v>Ron Gabor</v>
          </cell>
          <cell r="C174" t="str">
            <v>029641537</v>
          </cell>
          <cell r="D174">
            <v>29641537</v>
          </cell>
          <cell r="F174" t="str">
            <v>רון גבור</v>
          </cell>
          <cell r="G174" t="str">
            <v>VI</v>
          </cell>
          <cell r="I174">
            <v>150000</v>
          </cell>
          <cell r="J174">
            <v>2.0488352726606373E-3</v>
          </cell>
          <cell r="K174">
            <v>5126.0556234909454</v>
          </cell>
          <cell r="L174">
            <v>1315.7107912208453</v>
          </cell>
          <cell r="M174">
            <v>3810.3448322701001</v>
          </cell>
          <cell r="N174">
            <v>27</v>
          </cell>
          <cell r="O174">
            <v>3837.3448322701001</v>
          </cell>
          <cell r="P174">
            <v>6658.399445747591</v>
          </cell>
          <cell r="Q174">
            <v>7</v>
          </cell>
          <cell r="R174">
            <v>6665.399445747591</v>
          </cell>
          <cell r="S174">
            <v>10502.744278017692</v>
          </cell>
          <cell r="T174">
            <v>959.33620806752504</v>
          </cell>
          <cell r="U174">
            <v>159.32398707496364</v>
          </cell>
          <cell r="V174">
            <v>3</v>
          </cell>
          <cell r="W174">
            <v>162.32398707496364</v>
          </cell>
          <cell r="X174">
            <v>-162.32398707496364</v>
          </cell>
          <cell r="Y174">
            <v>797.01222099256142</v>
          </cell>
          <cell r="Z174">
            <v>4</v>
          </cell>
          <cell r="AA174">
            <v>801.01222099256142</v>
          </cell>
          <cell r="AB174" t="str">
            <v>X</v>
          </cell>
          <cell r="AD174">
            <v>400</v>
          </cell>
          <cell r="AE174">
            <v>465</v>
          </cell>
          <cell r="AF174">
            <v>1266.0122209925614</v>
          </cell>
          <cell r="AG174">
            <v>562.32398707496361</v>
          </cell>
          <cell r="AH174">
            <v>1828.3362080675251</v>
          </cell>
          <cell r="AI174">
            <v>9701.7320570251304</v>
          </cell>
          <cell r="AO174" t="str">
            <v>Zero investment in 2019</v>
          </cell>
          <cell r="AP174">
            <v>4337</v>
          </cell>
          <cell r="AR174">
            <v>14839.744278017692</v>
          </cell>
          <cell r="AS174">
            <v>10502.744278017692</v>
          </cell>
          <cell r="AT174">
            <v>797.01222099256142</v>
          </cell>
          <cell r="AU174">
            <v>9701.7320570251304</v>
          </cell>
          <cell r="AV174">
            <v>1828.3362080675251</v>
          </cell>
          <cell r="AW174" t="str">
            <v>לא מקבלים כסף</v>
          </cell>
          <cell r="BB174">
            <v>20.373637319752774</v>
          </cell>
          <cell r="BC174">
            <v>20.373637319752774</v>
          </cell>
          <cell r="BD174">
            <v>35</v>
          </cell>
        </row>
        <row r="175">
          <cell r="A175" t="str">
            <v>8160-01-283</v>
          </cell>
          <cell r="B175" t="str">
            <v>Yair Liel</v>
          </cell>
          <cell r="C175" t="str">
            <v>030380372</v>
          </cell>
          <cell r="D175">
            <v>30380372</v>
          </cell>
          <cell r="F175" t="str">
            <v>יאיר אברהם ליאל</v>
          </cell>
          <cell r="G175" t="str">
            <v>VI</v>
          </cell>
          <cell r="I175">
            <v>200000</v>
          </cell>
          <cell r="J175">
            <v>2.7317803635475164E-3</v>
          </cell>
          <cell r="K175">
            <v>6834.74083132126</v>
          </cell>
          <cell r="L175">
            <v>1754.281054961127</v>
          </cell>
          <cell r="M175">
            <v>5080.4597763601332</v>
          </cell>
          <cell r="N175">
            <v>36</v>
          </cell>
          <cell r="O175">
            <v>5116.4597763601332</v>
          </cell>
          <cell r="P175">
            <v>8877.8659276634535</v>
          </cell>
          <cell r="Q175">
            <v>9</v>
          </cell>
          <cell r="R175">
            <v>8886.8659276634535</v>
          </cell>
          <cell r="S175">
            <v>14003.325704023588</v>
          </cell>
          <cell r="T175">
            <v>1279.1149440900333</v>
          </cell>
          <cell r="U175">
            <v>212.43198276661818</v>
          </cell>
          <cell r="V175">
            <v>4</v>
          </cell>
          <cell r="W175">
            <v>216.43198276661818</v>
          </cell>
          <cell r="X175">
            <v>-216.43198276661818</v>
          </cell>
          <cell r="Y175">
            <v>1062.6829613234152</v>
          </cell>
          <cell r="Z175">
            <v>5</v>
          </cell>
          <cell r="AA175">
            <v>1067.6829613234152</v>
          </cell>
          <cell r="AB175" t="str">
            <v>X</v>
          </cell>
          <cell r="AD175">
            <v>533</v>
          </cell>
          <cell r="AE175">
            <v>619</v>
          </cell>
          <cell r="AF175">
            <v>1686.6829613234152</v>
          </cell>
          <cell r="AG175">
            <v>749.43198276661815</v>
          </cell>
          <cell r="AH175">
            <v>2436.1149440900335</v>
          </cell>
          <cell r="AI175">
            <v>12935.642742700173</v>
          </cell>
          <cell r="AO175" t="str">
            <v>Zero investment in 2019</v>
          </cell>
          <cell r="AP175">
            <v>5783</v>
          </cell>
          <cell r="AR175">
            <v>19786.325704023588</v>
          </cell>
          <cell r="AS175">
            <v>14003.325704023588</v>
          </cell>
          <cell r="AT175">
            <v>1062.6829613234152</v>
          </cell>
          <cell r="AU175">
            <v>12935.642742700173</v>
          </cell>
          <cell r="AV175">
            <v>2436.1149440900335</v>
          </cell>
          <cell r="AW175" t="str">
            <v>לא מקבלים כסף</v>
          </cell>
          <cell r="BB175">
            <v>27.164849759670361</v>
          </cell>
          <cell r="BC175">
            <v>27.164849759670361</v>
          </cell>
          <cell r="BD175">
            <v>35</v>
          </cell>
        </row>
        <row r="176">
          <cell r="A176" t="str">
            <v>8160-01-284</v>
          </cell>
          <cell r="B176" t="str">
            <v xml:space="preserve">AMI - Government Employees Provident Fund Management Company Ltd
</v>
          </cell>
          <cell r="C176">
            <v>520042581</v>
          </cell>
          <cell r="D176">
            <v>520042581</v>
          </cell>
          <cell r="E176" t="str">
            <v xml:space="preserve">AMI - Government Employees Provident Fund Management Company Ltd
</v>
          </cell>
          <cell r="F176" t="str">
            <v>עמ"י - חברה לניהול קופת גמל מפעלית בע"מ</v>
          </cell>
          <cell r="G176" t="str">
            <v>VI</v>
          </cell>
          <cell r="I176">
            <v>1380000</v>
          </cell>
          <cell r="J176">
            <v>1.8849284508477861E-2</v>
          </cell>
          <cell r="K176">
            <v>47159.711736116689</v>
          </cell>
          <cell r="L176">
            <v>12104.539279231774</v>
          </cell>
          <cell r="M176">
            <v>35055.172456884917</v>
          </cell>
          <cell r="N176">
            <v>250</v>
          </cell>
          <cell r="O176">
            <v>35305.172456884917</v>
          </cell>
          <cell r="P176">
            <v>61257.274900877826</v>
          </cell>
          <cell r="Q176">
            <v>64</v>
          </cell>
          <cell r="R176">
            <v>61321.274900877826</v>
          </cell>
          <cell r="S176">
            <v>96626.44735776275</v>
          </cell>
          <cell r="U176">
            <v>1465.7806810896652</v>
          </cell>
          <cell r="V176">
            <v>29</v>
          </cell>
          <cell r="W176">
            <v>1494.7806810896652</v>
          </cell>
          <cell r="AB176" t="str">
            <v>V</v>
          </cell>
          <cell r="AC176">
            <v>1465.7806810896652</v>
          </cell>
          <cell r="AD176">
            <v>3676</v>
          </cell>
          <cell r="AF176">
            <v>0</v>
          </cell>
          <cell r="AG176">
            <v>5170.7806810896654</v>
          </cell>
          <cell r="AH176">
            <v>5170.7806810896654</v>
          </cell>
          <cell r="AI176">
            <v>96626.44735776275</v>
          </cell>
          <cell r="AO176" t="str">
            <v>Zero investment in 2019</v>
          </cell>
          <cell r="AP176">
            <v>39904</v>
          </cell>
          <cell r="AR176">
            <v>136530.44735776275</v>
          </cell>
          <cell r="AS176">
            <v>96626.44735776275</v>
          </cell>
          <cell r="AT176">
            <v>0</v>
          </cell>
          <cell r="AU176">
            <v>96626.44735776275</v>
          </cell>
          <cell r="AV176">
            <v>5170.7806810896654</v>
          </cell>
          <cell r="AW176" t="str">
            <v>לא מקבלים כסף</v>
          </cell>
          <cell r="BB176">
            <v>202.91553945130175</v>
          </cell>
          <cell r="BC176">
            <v>202.91553945130175</v>
          </cell>
          <cell r="BD176">
            <v>35</v>
          </cell>
        </row>
        <row r="177">
          <cell r="A177" t="str">
            <v>8160-01-285</v>
          </cell>
          <cell r="B177" t="str">
            <v>Machar - Hevra Lenihul Kupot Gamal Ltd - obo Kupat Gemel Machar</v>
          </cell>
          <cell r="C177">
            <v>500601568</v>
          </cell>
          <cell r="D177">
            <v>500601568</v>
          </cell>
          <cell r="E177" t="str">
            <v>Machar - Hevra Lenihul Kupot Gamal Ltd - obo Kupat Gemel Machar</v>
          </cell>
          <cell r="F177" t="str">
            <v>מחר - חברה לניהול קופות גמל בע"מ</v>
          </cell>
          <cell r="G177" t="str">
            <v>VI</v>
          </cell>
          <cell r="I177">
            <v>1000000</v>
          </cell>
          <cell r="J177">
            <v>1.3658901817737582E-2</v>
          </cell>
          <cell r="K177">
            <v>34173.704156606298</v>
          </cell>
          <cell r="L177">
            <v>8771.4052748056347</v>
          </cell>
          <cell r="M177">
            <v>25402.298881800667</v>
          </cell>
          <cell r="N177">
            <v>181</v>
          </cell>
          <cell r="O177">
            <v>25583.298881800667</v>
          </cell>
          <cell r="P177">
            <v>44389.329638317271</v>
          </cell>
          <cell r="Q177">
            <v>46</v>
          </cell>
          <cell r="R177">
            <v>44435.329638317271</v>
          </cell>
          <cell r="S177">
            <v>70018.628520117942</v>
          </cell>
          <cell r="U177">
            <v>1062.159913833091</v>
          </cell>
          <cell r="V177">
            <v>21</v>
          </cell>
          <cell r="W177">
            <v>1083.159913833091</v>
          </cell>
          <cell r="AB177" t="str">
            <v>V</v>
          </cell>
          <cell r="AC177">
            <v>1062.159913833091</v>
          </cell>
          <cell r="AD177">
            <v>2664</v>
          </cell>
          <cell r="AE177">
            <v>0</v>
          </cell>
          <cell r="AF177">
            <v>0</v>
          </cell>
          <cell r="AG177">
            <v>3747.1599138330912</v>
          </cell>
          <cell r="AH177">
            <v>3747.1599138330912</v>
          </cell>
          <cell r="AI177">
            <v>70018.628520117942</v>
          </cell>
          <cell r="AO177" t="str">
            <v>Zero investment in 2019</v>
          </cell>
          <cell r="AP177">
            <v>28916</v>
          </cell>
          <cell r="AR177">
            <v>98934.628520117942</v>
          </cell>
          <cell r="AS177">
            <v>70018.628520117942</v>
          </cell>
          <cell r="AT177">
            <v>0</v>
          </cell>
          <cell r="AU177">
            <v>70018.628520117942</v>
          </cell>
          <cell r="AV177">
            <v>3747.1599138330912</v>
          </cell>
          <cell r="AW177" t="str">
            <v>לא מקבלים כסף</v>
          </cell>
          <cell r="BB177">
            <v>147.03911989224767</v>
          </cell>
          <cell r="BC177">
            <v>147.03911989224767</v>
          </cell>
          <cell r="BD177">
            <v>35</v>
          </cell>
        </row>
        <row r="178">
          <cell r="A178" t="str">
            <v>8160-01-286</v>
          </cell>
          <cell r="B178" t="str">
            <v xml:space="preserve">I Argento Funds in Israel LP
</v>
          </cell>
          <cell r="C178">
            <v>550244180</v>
          </cell>
          <cell r="D178">
            <v>550244180</v>
          </cell>
          <cell r="E178" t="str">
            <v xml:space="preserve">I Argento Funds in Israel LP
</v>
          </cell>
          <cell r="F178" t="str">
            <v>קרן איגרא ארגנטו מנייתית, שותפות מוגבלת</v>
          </cell>
          <cell r="G178" t="str">
            <v>VI</v>
          </cell>
          <cell r="I178">
            <v>1500000</v>
          </cell>
          <cell r="J178">
            <v>2.048835272660637E-2</v>
          </cell>
          <cell r="K178">
            <v>51260.556234909447</v>
          </cell>
          <cell r="L178">
            <v>13157.10791220845</v>
          </cell>
          <cell r="M178">
            <v>38103.448322700999</v>
          </cell>
          <cell r="N178">
            <v>271</v>
          </cell>
          <cell r="O178">
            <v>38374.448322700999</v>
          </cell>
          <cell r="P178">
            <v>66583.994457475899</v>
          </cell>
          <cell r="Q178">
            <v>69</v>
          </cell>
          <cell r="R178">
            <v>66652.994457475899</v>
          </cell>
          <cell r="S178">
            <v>105027.44278017691</v>
          </cell>
          <cell r="T178">
            <v>9593.6120806752497</v>
          </cell>
          <cell r="U178">
            <v>1593.2398707496361</v>
          </cell>
          <cell r="V178">
            <v>31</v>
          </cell>
          <cell r="W178">
            <v>1624.2398707496361</v>
          </cell>
          <cell r="X178">
            <v>-1624.2398707496361</v>
          </cell>
          <cell r="Y178">
            <v>7969.3722099256138</v>
          </cell>
          <cell r="Z178">
            <v>36</v>
          </cell>
          <cell r="AA178">
            <v>8005.3722099256138</v>
          </cell>
          <cell r="AB178" t="str">
            <v>X</v>
          </cell>
          <cell r="AD178">
            <v>3995</v>
          </cell>
          <cell r="AE178">
            <v>4645</v>
          </cell>
          <cell r="AF178">
            <v>12650.372209925614</v>
          </cell>
          <cell r="AG178">
            <v>5619.2398707496359</v>
          </cell>
          <cell r="AH178">
            <v>18269.612080675251</v>
          </cell>
          <cell r="AI178">
            <v>97022.070570251293</v>
          </cell>
          <cell r="AO178" t="str">
            <v>Zero investment in 2019</v>
          </cell>
          <cell r="AP178">
            <v>43373</v>
          </cell>
          <cell r="AR178">
            <v>148400.44278017691</v>
          </cell>
          <cell r="AS178">
            <v>105027.44278017691</v>
          </cell>
          <cell r="AT178">
            <v>7969.3722099256138</v>
          </cell>
          <cell r="AU178">
            <v>97022.070570251293</v>
          </cell>
          <cell r="AV178">
            <v>18269.612080675251</v>
          </cell>
          <cell r="AW178" t="str">
            <v>לא מקבלים כסף</v>
          </cell>
          <cell r="BB178">
            <v>203.74634819752771</v>
          </cell>
          <cell r="BC178">
            <v>203.74634819752771</v>
          </cell>
          <cell r="BD178">
            <v>35</v>
          </cell>
        </row>
        <row r="179">
          <cell r="A179" t="str">
            <v>8160-01-287</v>
          </cell>
          <cell r="B179" t="str">
            <v xml:space="preserve">Kela - Social Workers Study Fund Management Company Ltd
</v>
          </cell>
          <cell r="C179" t="str">
            <v>52003094-1</v>
          </cell>
          <cell r="D179" t="str">
            <v>52003094-1</v>
          </cell>
          <cell r="E179" t="str">
            <v xml:space="preserve">Kela - Social Workers Study Fund Management Company Ltd
</v>
          </cell>
          <cell r="F179" t="str">
            <v>ק.ל.ע חברה לניהול קרן השתלמות לעובדים סוציאלים בע"מ</v>
          </cell>
          <cell r="G179" t="str">
            <v>VI</v>
          </cell>
          <cell r="I179">
            <v>560000</v>
          </cell>
          <cell r="J179">
            <v>7.6489850179330453E-3</v>
          </cell>
          <cell r="K179">
            <v>19137.274327699528</v>
          </cell>
          <cell r="L179">
            <v>4911.9869538911553</v>
          </cell>
          <cell r="M179">
            <v>14225.287373808373</v>
          </cell>
          <cell r="N179">
            <v>101</v>
          </cell>
          <cell r="O179">
            <v>14326.287373808373</v>
          </cell>
          <cell r="P179">
            <v>24858.024597457668</v>
          </cell>
          <cell r="Q179">
            <v>26</v>
          </cell>
          <cell r="R179">
            <v>24884.024597457668</v>
          </cell>
          <cell r="S179">
            <v>39210.311971266041</v>
          </cell>
          <cell r="U179">
            <v>594.80955174653081</v>
          </cell>
          <cell r="V179">
            <v>12</v>
          </cell>
          <cell r="W179">
            <v>606.80955174653081</v>
          </cell>
          <cell r="AB179" t="str">
            <v>V</v>
          </cell>
          <cell r="AC179">
            <v>594.80955174653081</v>
          </cell>
          <cell r="AD179">
            <v>1492</v>
          </cell>
          <cell r="AF179">
            <v>0</v>
          </cell>
          <cell r="AG179">
            <v>2098.8095517465308</v>
          </cell>
          <cell r="AH179">
            <v>2098.8095517465308</v>
          </cell>
          <cell r="AI179">
            <v>39210.311971266041</v>
          </cell>
          <cell r="AO179" t="str">
            <v>Zero investment in 2019</v>
          </cell>
          <cell r="AP179">
            <v>16193</v>
          </cell>
          <cell r="AR179">
            <v>55403.311971266041</v>
          </cell>
          <cell r="AS179">
            <v>39210.311971266041</v>
          </cell>
          <cell r="AT179">
            <v>0</v>
          </cell>
          <cell r="AU179">
            <v>39210.311971266041</v>
          </cell>
          <cell r="AV179">
            <v>2098.8095517465308</v>
          </cell>
          <cell r="AW179" t="str">
            <v>לא מקבלים כסף</v>
          </cell>
          <cell r="BB179">
            <v>82.341655139658684</v>
          </cell>
          <cell r="BC179">
            <v>82.341655139658684</v>
          </cell>
          <cell r="BD179">
            <v>35</v>
          </cell>
        </row>
        <row r="180">
          <cell r="A180" t="str">
            <v>8160-01-288</v>
          </cell>
          <cell r="B180" t="str">
            <v>Michael Lutzky - IRA</v>
          </cell>
          <cell r="C180" t="str">
            <v>017518861</v>
          </cell>
          <cell r="D180">
            <v>512065202</v>
          </cell>
          <cell r="F180" t="str">
            <v>מיכאל לוצקי</v>
          </cell>
          <cell r="G180" t="str">
            <v>VI</v>
          </cell>
          <cell r="H180" t="str">
            <v>Meitav</v>
          </cell>
          <cell r="I180">
            <v>200000</v>
          </cell>
          <cell r="J180">
            <v>2.7317803635475164E-3</v>
          </cell>
          <cell r="K180">
            <v>6834.74083132126</v>
          </cell>
          <cell r="L180">
            <v>1754.281054961127</v>
          </cell>
          <cell r="M180">
            <v>5080.4597763601332</v>
          </cell>
          <cell r="N180">
            <v>36</v>
          </cell>
          <cell r="O180">
            <v>5116.4597763601332</v>
          </cell>
          <cell r="P180">
            <v>8877.8659276634535</v>
          </cell>
          <cell r="Q180">
            <v>9</v>
          </cell>
          <cell r="R180">
            <v>8886.8659276634535</v>
          </cell>
          <cell r="S180">
            <v>14003.325704023588</v>
          </cell>
          <cell r="U180">
            <v>212.43198276661818</v>
          </cell>
          <cell r="V180">
            <v>4</v>
          </cell>
          <cell r="W180">
            <v>216.43198276661818</v>
          </cell>
          <cell r="AB180" t="str">
            <v>IRA</v>
          </cell>
          <cell r="AC180">
            <v>212.43198276661818</v>
          </cell>
          <cell r="AD180">
            <v>533</v>
          </cell>
          <cell r="AE180">
            <v>0</v>
          </cell>
          <cell r="AF180">
            <v>0</v>
          </cell>
          <cell r="AG180">
            <v>749.43198276661815</v>
          </cell>
          <cell r="AH180">
            <v>749.43198276661815</v>
          </cell>
          <cell r="AI180">
            <v>14003.325704023588</v>
          </cell>
          <cell r="AO180" t="str">
            <v>Zero investment in 2019</v>
          </cell>
          <cell r="AP180">
            <v>5783</v>
          </cell>
          <cell r="AR180">
            <v>19786.325704023588</v>
          </cell>
          <cell r="AS180">
            <v>14003.325704023588</v>
          </cell>
          <cell r="AT180">
            <v>0</v>
          </cell>
          <cell r="AU180">
            <v>14003.325704023588</v>
          </cell>
          <cell r="AV180">
            <v>749.43198276661815</v>
          </cell>
          <cell r="AW180" t="str">
            <v>לא מקבלים כסף</v>
          </cell>
          <cell r="BB180">
            <v>29.406983978449531</v>
          </cell>
          <cell r="BC180">
            <v>29.406983978449531</v>
          </cell>
          <cell r="BD180">
            <v>35</v>
          </cell>
        </row>
        <row r="181">
          <cell r="A181" t="str">
            <v>8160-01-289</v>
          </cell>
          <cell r="B181" t="str">
            <v>Avner Shaham</v>
          </cell>
          <cell r="C181" t="str">
            <v>051669745</v>
          </cell>
          <cell r="D181">
            <v>512065202</v>
          </cell>
          <cell r="F181" t="str">
            <v>אבנר שחם</v>
          </cell>
          <cell r="G181" t="str">
            <v>I</v>
          </cell>
          <cell r="H181" t="str">
            <v>Meitav</v>
          </cell>
          <cell r="I181">
            <v>300000</v>
          </cell>
          <cell r="J181">
            <v>4.0976705453212746E-3</v>
          </cell>
          <cell r="K181">
            <v>10252.111246981891</v>
          </cell>
          <cell r="L181">
            <v>2631.4215824416906</v>
          </cell>
          <cell r="M181">
            <v>7620.6896645402003</v>
          </cell>
          <cell r="N181">
            <v>54</v>
          </cell>
          <cell r="O181">
            <v>7674.6896645402003</v>
          </cell>
          <cell r="P181">
            <v>13316.798891495182</v>
          </cell>
          <cell r="Q181">
            <v>14</v>
          </cell>
          <cell r="R181">
            <v>13330.798891495182</v>
          </cell>
          <cell r="S181">
            <v>21005.488556035383</v>
          </cell>
          <cell r="U181">
            <v>318.64797414992728</v>
          </cell>
          <cell r="V181">
            <v>6</v>
          </cell>
          <cell r="W181">
            <v>324.64797414992728</v>
          </cell>
          <cell r="AB181" t="str">
            <v>IRA</v>
          </cell>
          <cell r="AC181">
            <v>318.64797414992728</v>
          </cell>
          <cell r="AD181">
            <v>84</v>
          </cell>
          <cell r="AE181">
            <v>0</v>
          </cell>
          <cell r="AF181">
            <v>0</v>
          </cell>
          <cell r="AG181">
            <v>408.64797414992728</v>
          </cell>
          <cell r="AH181">
            <v>408.64797414992728</v>
          </cell>
          <cell r="AI181">
            <v>21005.488556035383</v>
          </cell>
          <cell r="AJ181">
            <v>83333.332999999999</v>
          </cell>
          <cell r="AK181">
            <v>47900.25</v>
          </cell>
          <cell r="AL181">
            <v>10625</v>
          </cell>
          <cell r="AM181">
            <v>0</v>
          </cell>
          <cell r="AN181">
            <v>33153</v>
          </cell>
          <cell r="AO181" t="e">
            <v>#DIV/0!</v>
          </cell>
          <cell r="AP181">
            <v>8675</v>
          </cell>
          <cell r="AQ181">
            <v>6649</v>
          </cell>
          <cell r="AR181">
            <v>23031.488556035383</v>
          </cell>
          <cell r="AS181">
            <v>21005.488556035383</v>
          </cell>
          <cell r="AT181">
            <v>0</v>
          </cell>
          <cell r="AU181">
            <v>21005.488556035383</v>
          </cell>
          <cell r="AV181">
            <v>408.64797414992728</v>
          </cell>
          <cell r="BB181">
            <v>44.111525967674304</v>
          </cell>
          <cell r="BC181">
            <v>44.111525967674304</v>
          </cell>
          <cell r="BD181">
            <v>35</v>
          </cell>
        </row>
        <row r="182">
          <cell r="A182" t="str">
            <v>8160-01-290</v>
          </cell>
          <cell r="B182" t="str">
            <v>Tomer Shacham</v>
          </cell>
          <cell r="C182" t="str">
            <v>Tomer: 039070487
Avner: 051669745</v>
          </cell>
          <cell r="D182" t="str">
            <v>Tomer: 039070487
Avner: 051669745</v>
          </cell>
          <cell r="F182" t="str">
            <v>תומר שחם</v>
          </cell>
          <cell r="G182" t="str">
            <v>VI</v>
          </cell>
          <cell r="I182">
            <v>75000</v>
          </cell>
          <cell r="J182">
            <v>1.0244176363303186E-3</v>
          </cell>
          <cell r="K182">
            <v>2563.0278117454727</v>
          </cell>
          <cell r="L182">
            <v>657.85539561042265</v>
          </cell>
          <cell r="M182">
            <v>1905.1724161350501</v>
          </cell>
          <cell r="N182">
            <v>14</v>
          </cell>
          <cell r="O182">
            <v>1919.1724161350501</v>
          </cell>
          <cell r="P182">
            <v>3329.1997228737955</v>
          </cell>
          <cell r="Q182">
            <v>3</v>
          </cell>
          <cell r="R182">
            <v>3332.1997228737955</v>
          </cell>
          <cell r="S182">
            <v>5251.3721390088458</v>
          </cell>
          <cell r="T182">
            <v>479.79310403376252</v>
          </cell>
          <cell r="U182">
            <v>79.66199353748182</v>
          </cell>
          <cell r="V182">
            <v>2</v>
          </cell>
          <cell r="W182">
            <v>81.66199353748182</v>
          </cell>
          <cell r="X182">
            <v>-81.66199353748182</v>
          </cell>
          <cell r="Y182">
            <v>398.13111049628071</v>
          </cell>
          <cell r="Z182">
            <v>2</v>
          </cell>
          <cell r="AA182">
            <v>400.13111049628071</v>
          </cell>
          <cell r="AB182" t="str">
            <v>X</v>
          </cell>
          <cell r="AD182">
            <v>200</v>
          </cell>
          <cell r="AE182">
            <v>232</v>
          </cell>
          <cell r="AF182">
            <v>632.13111049628071</v>
          </cell>
          <cell r="AG182">
            <v>281.66199353748181</v>
          </cell>
          <cell r="AH182">
            <v>913.79310403376257</v>
          </cell>
          <cell r="AI182">
            <v>4851.2410285125652</v>
          </cell>
          <cell r="AO182" t="str">
            <v>Zero investment in 2019</v>
          </cell>
          <cell r="AP182">
            <v>2169</v>
          </cell>
          <cell r="AR182">
            <v>7420.3721390088458</v>
          </cell>
          <cell r="AS182">
            <v>5251.3721390088458</v>
          </cell>
          <cell r="AT182">
            <v>398.13111049628071</v>
          </cell>
          <cell r="AU182">
            <v>4851.2410285125652</v>
          </cell>
          <cell r="AV182">
            <v>913.79310403376257</v>
          </cell>
          <cell r="AW182" t="str">
            <v>לא מקבלים כסף</v>
          </cell>
          <cell r="BB182">
            <v>10.187606159876387</v>
          </cell>
          <cell r="BC182">
            <v>18</v>
          </cell>
          <cell r="BD182">
            <v>35</v>
          </cell>
        </row>
        <row r="183">
          <cell r="A183" t="e">
            <v>#N/A</v>
          </cell>
          <cell r="I183">
            <v>73212328</v>
          </cell>
          <cell r="J183">
            <v>1</v>
          </cell>
          <cell r="K183">
            <v>2501936.4376884247</v>
          </cell>
          <cell r="L183">
            <v>642175.00000000012</v>
          </cell>
          <cell r="M183">
            <v>1859761.4376884256</v>
          </cell>
          <cell r="N183">
            <v>11521</v>
          </cell>
          <cell r="O183">
            <v>1871282.4376884256</v>
          </cell>
          <cell r="P183">
            <v>3249846.1611806029</v>
          </cell>
          <cell r="Q183">
            <v>2937</v>
          </cell>
          <cell r="R183">
            <v>3252783.1611806029</v>
          </cell>
          <cell r="S183">
            <v>5124065.5988690285</v>
          </cell>
          <cell r="T183">
            <v>182627.6611424544</v>
          </cell>
          <cell r="U183">
            <v>77763.199999999837</v>
          </cell>
          <cell r="V183">
            <v>1332</v>
          </cell>
          <cell r="W183">
            <v>79095.199999999837</v>
          </cell>
          <cell r="X183">
            <v>-30909.976339503934</v>
          </cell>
          <cell r="Y183">
            <v>151717.68480295056</v>
          </cell>
          <cell r="Z183">
            <v>694</v>
          </cell>
          <cell r="AA183">
            <v>152411.68480295056</v>
          </cell>
          <cell r="AC183">
            <v>42387.964069788912</v>
          </cell>
          <cell r="AD183">
            <v>74235</v>
          </cell>
          <cell r="AE183">
            <v>36040</v>
          </cell>
          <cell r="AF183">
            <v>188451.68480295056</v>
          </cell>
          <cell r="AG183">
            <v>153330.19999999984</v>
          </cell>
          <cell r="AH183">
            <v>341781.88480295043</v>
          </cell>
          <cell r="AI183">
            <v>4971653.9140660781</v>
          </cell>
          <cell r="AJ183" t="e">
            <v>#N/A</v>
          </cell>
          <cell r="AK183" t="e">
            <v>#N/A</v>
          </cell>
          <cell r="AL183" t="e">
            <v>#N/A</v>
          </cell>
          <cell r="AM183" t="e">
            <v>#N/A</v>
          </cell>
          <cell r="AN183" t="e">
            <v>#N/A</v>
          </cell>
          <cell r="AP183">
            <v>2133604</v>
          </cell>
          <cell r="AQ183">
            <v>1136986</v>
          </cell>
          <cell r="AR183">
            <v>6120683.5988690285</v>
          </cell>
          <cell r="AS183">
            <v>5124065.5988690285</v>
          </cell>
          <cell r="AT183">
            <v>151717.68480295056</v>
          </cell>
          <cell r="AU183">
            <v>4971649.9140660781</v>
          </cell>
          <cell r="AV183">
            <v>341764.51480295073</v>
          </cell>
          <cell r="BB183">
            <v>10440.464819538764</v>
          </cell>
          <cell r="BC183">
            <v>9604.5235626726553</v>
          </cell>
          <cell r="BD183">
            <v>6265</v>
          </cell>
          <cell r="BE183">
            <v>-3339.5235626726553</v>
          </cell>
        </row>
        <row r="184">
          <cell r="X184">
            <v>-937.05959070715471</v>
          </cell>
          <cell r="AK184" t="str">
            <v>Not Collected amount</v>
          </cell>
          <cell r="AL184" t="e">
            <v>#N/A</v>
          </cell>
          <cell r="AM184" t="e">
            <v>#N/A</v>
          </cell>
          <cell r="AN184" t="e">
            <v>#N/A</v>
          </cell>
          <cell r="AS184">
            <v>14458</v>
          </cell>
          <cell r="AU184">
            <v>698</v>
          </cell>
        </row>
        <row r="185">
          <cell r="A185" t="str">
            <v>8160-01-253</v>
          </cell>
          <cell r="B185" t="str">
            <v>Yuval Fuchs</v>
          </cell>
          <cell r="G185" t="str">
            <v>IV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-11521</v>
          </cell>
          <cell r="O185">
            <v>-11521</v>
          </cell>
          <cell r="P185">
            <v>0</v>
          </cell>
          <cell r="Q185">
            <v>-2937</v>
          </cell>
          <cell r="R185">
            <v>-2937</v>
          </cell>
          <cell r="S185">
            <v>0</v>
          </cell>
          <cell r="T185">
            <v>-2880.25</v>
          </cell>
          <cell r="U185">
            <v>0</v>
          </cell>
          <cell r="V185">
            <v>-1332</v>
          </cell>
          <cell r="W185">
            <v>-1332</v>
          </cell>
          <cell r="X185">
            <v>1332</v>
          </cell>
          <cell r="Y185">
            <v>-1548.25</v>
          </cell>
          <cell r="Z185">
            <v>-1548</v>
          </cell>
          <cell r="AA185">
            <v>-3096.25</v>
          </cell>
          <cell r="AB185" t="str">
            <v>ע"פ תקנות'</v>
          </cell>
          <cell r="AC185">
            <v>-1548.25</v>
          </cell>
          <cell r="AD185">
            <v>1332</v>
          </cell>
          <cell r="AE185">
            <v>1548</v>
          </cell>
          <cell r="AF185">
            <v>-1548.25</v>
          </cell>
          <cell r="AG185">
            <v>0</v>
          </cell>
          <cell r="AH185">
            <v>-1548.25</v>
          </cell>
          <cell r="AI185">
            <v>3096.25</v>
          </cell>
          <cell r="AP185">
            <v>14458</v>
          </cell>
          <cell r="AR185">
            <v>14458</v>
          </cell>
        </row>
        <row r="186">
          <cell r="S186">
            <v>5124065.5988690285</v>
          </cell>
        </row>
        <row r="187">
          <cell r="I187">
            <v>67897328</v>
          </cell>
          <cell r="S187">
            <v>3.4162144867725982E-3</v>
          </cell>
        </row>
        <row r="188">
          <cell r="I188">
            <v>350000</v>
          </cell>
          <cell r="S188">
            <v>3.4162144867725982E-3</v>
          </cell>
        </row>
        <row r="189">
          <cell r="I189">
            <v>5.1548420285405048E-3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ors List"/>
      <sheetName val="Amount to distribute"/>
      <sheetName val="Distribution"/>
      <sheetName val="Sheet12"/>
      <sheetName val="Solog change"/>
      <sheetName val="Invetments"/>
      <sheetName val="Dis ratio check"/>
      <sheetName val="WHT Apr19-Mar 20"/>
      <sheetName val="WHT Apr20-Sep20"/>
      <sheetName val="WHT Oct20-Mar21"/>
      <sheetName val="Same Investor"/>
      <sheetName val="Profit Allocation"/>
      <sheetName val="Investors ID"/>
      <sheetName val="Personal ID"/>
    </sheetNames>
    <sheetDataSet>
      <sheetData sheetId="0" refreshError="1"/>
      <sheetData sheetId="1" refreshError="1"/>
      <sheetData sheetId="2" refreshError="1">
        <row r="1">
          <cell r="K1" t="str">
            <v>April Distribution</v>
          </cell>
          <cell r="P1" t="str">
            <v>2020 Tax</v>
          </cell>
        </row>
        <row r="2">
          <cell r="A2" t="str">
            <v>Investors' ID</v>
          </cell>
          <cell r="B2" t="str">
            <v>LP</v>
          </cell>
          <cell r="C2" t="str">
            <v>Investors' Personal  ID/RN (Text)</v>
          </cell>
          <cell r="D2" t="str">
            <v>Investors' Personal  ID/RN</v>
          </cell>
          <cell r="E2" t="str">
            <v>Company Name (optional)</v>
          </cell>
          <cell r="F2" t="str">
            <v>Hebrew Name</v>
          </cell>
          <cell r="G2" t="str">
            <v>Closing</v>
          </cell>
          <cell r="H2" t="str">
            <v>IRA</v>
          </cell>
          <cell r="I2" t="str">
            <v>Commitment  Amount</v>
          </cell>
          <cell r="J2" t="str">
            <v>Ratio From all Investors</v>
          </cell>
          <cell r="K2" t="str">
            <v xml:space="preserve">Distribution Amount Interest </v>
          </cell>
          <cell r="L2" t="str">
            <v xml:space="preserve"> Principal Distribution</v>
          </cell>
          <cell r="M2" t="str">
            <v>May 2020 distribution surplus (Solog Reduction)</v>
          </cell>
          <cell r="N2" t="str">
            <v>October 2020 distribution surplus (Solog Reduction)</v>
          </cell>
          <cell r="O2" t="str">
            <v>Total Distribution</v>
          </cell>
          <cell r="P2" t="str">
            <v>Tax (25%)</v>
          </cell>
          <cell r="Q2" t="str">
            <v xml:space="preserve">WHT Allocation </v>
          </cell>
          <cell r="R2" t="str">
            <v>WHT</v>
          </cell>
          <cell r="S2" t="str">
            <v>Tax Payment</v>
          </cell>
          <cell r="T2" t="str">
            <v>Tax Payment, net</v>
          </cell>
          <cell r="U2" t="str">
            <v>WHT Exemption</v>
          </cell>
          <cell r="V2" t="str">
            <v>Tax Refund (IRA and exempted Investors will receive from the tax authorities)</v>
          </cell>
          <cell r="W2" t="str">
            <v>Net Distribution</v>
          </cell>
          <cell r="X2" t="str">
            <v>Payment 1 - April 2019</v>
          </cell>
          <cell r="Y2" t="str">
            <v>Payment 2 -
 August 2019</v>
          </cell>
          <cell r="Z2" t="str">
            <v>Payment 3 -
 January 2020</v>
          </cell>
          <cell r="AA2" t="str">
            <v>Payment 4 -"CatchUp"
March 1st 2020</v>
          </cell>
          <cell r="AB2" t="str">
            <v>Payment 5 -"4th Call"
March 12th 2020</v>
          </cell>
          <cell r="AC2" t="str">
            <v xml:space="preserve">% From Capital Call represents Yearly % </v>
          </cell>
          <cell r="AD2" t="str">
            <v>A- Distribution</v>
          </cell>
          <cell r="AE2" t="str">
            <v xml:space="preserve">B- Distribution Tax Withholding </v>
          </cell>
          <cell r="AF2" t="str">
            <v>C- Net Payment</v>
          </cell>
          <cell r="AG2" t="str">
            <v>D-  2020 Tax Withholding for the LP benefit</v>
          </cell>
          <cell r="AI2" t="str">
            <v xml:space="preserve">Interest </v>
          </cell>
          <cell r="AJ2" t="str">
            <v>Principal</v>
          </cell>
        </row>
        <row r="3">
          <cell r="A3" t="str">
            <v>8160-01-100</v>
          </cell>
          <cell r="B3" t="str">
            <v>Orna Hazan</v>
          </cell>
          <cell r="C3" t="str">
            <v>052595188</v>
          </cell>
          <cell r="D3" t="e">
            <v>#REF!</v>
          </cell>
          <cell r="F3" t="str">
            <v>אורנה אריאן תירוש חזן</v>
          </cell>
          <cell r="G3" t="str">
            <v>I</v>
          </cell>
          <cell r="I3">
            <v>350000</v>
          </cell>
          <cell r="J3">
            <v>4.7864987694185178E-3</v>
          </cell>
          <cell r="K3">
            <v>2056.7280248420066</v>
          </cell>
          <cell r="L3">
            <v>9837.5011299890684</v>
          </cell>
          <cell r="M3">
            <v>13</v>
          </cell>
          <cell r="N3">
            <v>30</v>
          </cell>
          <cell r="O3">
            <v>11937</v>
          </cell>
          <cell r="P3">
            <v>514.18200621050164</v>
          </cell>
          <cell r="Q3">
            <v>270.57431366189007</v>
          </cell>
          <cell r="R3">
            <v>-270.57431366189007</v>
          </cell>
          <cell r="S3">
            <v>243.60769254861157</v>
          </cell>
          <cell r="T3">
            <v>243.60769254861157</v>
          </cell>
          <cell r="U3" t="str">
            <v>X</v>
          </cell>
          <cell r="W3">
            <v>11693</v>
          </cell>
          <cell r="X3">
            <v>116666.66619999999</v>
          </cell>
          <cell r="Y3">
            <v>67060.349999999991</v>
          </cell>
          <cell r="Z3">
            <v>14875</v>
          </cell>
          <cell r="AA3">
            <v>0</v>
          </cell>
          <cell r="AB3">
            <v>46414</v>
          </cell>
          <cell r="AC3" t="e">
            <v>#REF!</v>
          </cell>
          <cell r="AD3">
            <v>11937</v>
          </cell>
          <cell r="AE3">
            <v>243.60769254861157</v>
          </cell>
          <cell r="AF3">
            <v>11693</v>
          </cell>
          <cell r="AG3">
            <v>514.18200621050164</v>
          </cell>
          <cell r="AI3">
            <v>9491.6270597569201</v>
          </cell>
          <cell r="AJ3">
            <v>2445.3729402430799</v>
          </cell>
          <cell r="AP3">
            <v>24.555299999999999</v>
          </cell>
          <cell r="AQ3">
            <v>24.555299999999999</v>
          </cell>
          <cell r="AR3">
            <v>35</v>
          </cell>
        </row>
        <row r="4">
          <cell r="A4" t="str">
            <v>8160-01-101</v>
          </cell>
          <cell r="B4" t="str">
            <v>Arik Aberjel</v>
          </cell>
          <cell r="C4" t="str">
            <v>032358285</v>
          </cell>
          <cell r="D4" t="e">
            <v>#REF!</v>
          </cell>
          <cell r="F4" t="str">
            <v>אריה אברגל</v>
          </cell>
          <cell r="G4" t="str">
            <v>I</v>
          </cell>
          <cell r="I4">
            <v>250000</v>
          </cell>
          <cell r="J4">
            <v>3.4189276924417983E-3</v>
          </cell>
          <cell r="K4">
            <v>1469.0914463157189</v>
          </cell>
          <cell r="L4">
            <v>7026.7865214207632</v>
          </cell>
          <cell r="M4">
            <v>9</v>
          </cell>
          <cell r="N4">
            <v>21</v>
          </cell>
          <cell r="O4">
            <v>8526</v>
          </cell>
          <cell r="P4">
            <v>367.27286157892974</v>
          </cell>
          <cell r="Q4">
            <v>193.26736690135007</v>
          </cell>
          <cell r="R4">
            <v>-193.26736690135007</v>
          </cell>
          <cell r="S4">
            <v>174.00549467757966</v>
          </cell>
          <cell r="T4">
            <v>174.00549467757966</v>
          </cell>
          <cell r="U4" t="str">
            <v>X</v>
          </cell>
          <cell r="W4">
            <v>8352</v>
          </cell>
          <cell r="X4">
            <v>83333.332999999999</v>
          </cell>
          <cell r="Y4">
            <v>47900.25</v>
          </cell>
          <cell r="Z4">
            <v>10625</v>
          </cell>
          <cell r="AA4">
            <v>0</v>
          </cell>
          <cell r="AB4">
            <v>33153</v>
          </cell>
          <cell r="AC4" t="e">
            <v>#REF!</v>
          </cell>
          <cell r="AD4">
            <v>8526</v>
          </cell>
          <cell r="AE4">
            <v>174.00549467757966</v>
          </cell>
          <cell r="AF4">
            <v>8352</v>
          </cell>
          <cell r="AG4">
            <v>367.27286157892974</v>
          </cell>
          <cell r="AI4">
            <v>6779.7336141120859</v>
          </cell>
          <cell r="AJ4">
            <v>1746.2663858879141</v>
          </cell>
          <cell r="AP4">
            <v>17.539199999999997</v>
          </cell>
          <cell r="AQ4">
            <v>18</v>
          </cell>
          <cell r="AR4">
            <v>35</v>
          </cell>
        </row>
        <row r="5">
          <cell r="A5" t="str">
            <v>8160-01-101</v>
          </cell>
          <cell r="B5" t="str">
            <v>Boaz Goldman</v>
          </cell>
          <cell r="C5" t="str">
            <v>023860315</v>
          </cell>
          <cell r="D5" t="e">
            <v>#REF!</v>
          </cell>
          <cell r="F5" t="str">
            <v>בועז גולדמן</v>
          </cell>
          <cell r="G5" t="str">
            <v>I</v>
          </cell>
          <cell r="I5">
            <v>250000</v>
          </cell>
          <cell r="J5">
            <v>3.4189276924417983E-3</v>
          </cell>
          <cell r="K5">
            <v>1469.0914463157189</v>
          </cell>
          <cell r="L5">
            <v>7026.7865214207632</v>
          </cell>
          <cell r="M5">
            <v>9</v>
          </cell>
          <cell r="N5">
            <v>21</v>
          </cell>
          <cell r="O5">
            <v>8526</v>
          </cell>
          <cell r="P5">
            <v>367.27286157892974</v>
          </cell>
          <cell r="Q5">
            <v>193.26736690135007</v>
          </cell>
          <cell r="R5">
            <v>-193.26736690135007</v>
          </cell>
          <cell r="S5">
            <v>174.00549467757966</v>
          </cell>
          <cell r="T5">
            <v>174.00549467757966</v>
          </cell>
          <cell r="U5" t="str">
            <v>X</v>
          </cell>
          <cell r="W5">
            <v>8352</v>
          </cell>
          <cell r="X5">
            <v>83333.332999999999</v>
          </cell>
          <cell r="Y5">
            <v>47900.25</v>
          </cell>
          <cell r="Z5">
            <v>10625</v>
          </cell>
          <cell r="AA5">
            <v>0</v>
          </cell>
          <cell r="AB5">
            <v>33153</v>
          </cell>
          <cell r="AC5" t="e">
            <v>#REF!</v>
          </cell>
          <cell r="AD5">
            <v>8526</v>
          </cell>
          <cell r="AE5">
            <v>174.00549467757966</v>
          </cell>
          <cell r="AF5">
            <v>8352</v>
          </cell>
          <cell r="AG5">
            <v>367.27286157892974</v>
          </cell>
          <cell r="AI5">
            <v>6779.7336141120859</v>
          </cell>
          <cell r="AJ5">
            <v>1746.2663858879141</v>
          </cell>
          <cell r="AN5" t="str">
            <v>Index חריגים</v>
          </cell>
          <cell r="AP5">
            <v>17.539199999999997</v>
          </cell>
          <cell r="AQ5">
            <v>18</v>
          </cell>
          <cell r="AR5">
            <v>35</v>
          </cell>
        </row>
        <row r="6">
          <cell r="A6" t="str">
            <v>8160-01-104</v>
          </cell>
          <cell r="B6" t="str">
            <v>BPF Investments LLC</v>
          </cell>
          <cell r="C6" t="str">
            <v>46-4986191</v>
          </cell>
          <cell r="D6" t="e">
            <v>#REF!</v>
          </cell>
          <cell r="E6" t="str">
            <v>BPF Investments LLC</v>
          </cell>
          <cell r="G6" t="str">
            <v>I</v>
          </cell>
          <cell r="I6">
            <v>1000000</v>
          </cell>
          <cell r="J6">
            <v>1.3675710769767193E-2</v>
          </cell>
          <cell r="K6">
            <v>5876.3657852628758</v>
          </cell>
          <cell r="L6">
            <v>28107.146085683053</v>
          </cell>
          <cell r="M6">
            <v>35</v>
          </cell>
          <cell r="N6">
            <v>86</v>
          </cell>
          <cell r="O6">
            <v>34105</v>
          </cell>
          <cell r="P6">
            <v>1469.0914463157189</v>
          </cell>
          <cell r="Q6">
            <v>773.06946760540029</v>
          </cell>
          <cell r="R6">
            <v>-773.06946760540029</v>
          </cell>
          <cell r="S6">
            <v>696.02197871031865</v>
          </cell>
          <cell r="T6">
            <v>696.02197871031865</v>
          </cell>
          <cell r="U6" t="str">
            <v>X</v>
          </cell>
          <cell r="W6">
            <v>33409</v>
          </cell>
          <cell r="X6" t="e">
            <v>#N/A</v>
          </cell>
          <cell r="Y6" t="e">
            <v>#N/A</v>
          </cell>
          <cell r="Z6" t="e">
            <v>#N/A</v>
          </cell>
          <cell r="AA6" t="e">
            <v>#N/A</v>
          </cell>
          <cell r="AB6" t="e">
            <v>#N/A</v>
          </cell>
          <cell r="AC6" t="e">
            <v>#REF!</v>
          </cell>
          <cell r="AD6">
            <v>34105</v>
          </cell>
          <cell r="AE6">
            <v>696.02197871031865</v>
          </cell>
          <cell r="AF6">
            <v>33409</v>
          </cell>
          <cell r="AG6">
            <v>1469.0914463157189</v>
          </cell>
          <cell r="AI6">
            <v>27118.934456448344</v>
          </cell>
          <cell r="AJ6">
            <v>6986.0655435516564</v>
          </cell>
          <cell r="AN6" t="str">
            <v>טרם העביר קריאה אחרונה ובסכנת דיפולטינג / הקטנה  והעביר קריאות קודמות</v>
          </cell>
          <cell r="AP6">
            <v>70.158900000000003</v>
          </cell>
          <cell r="AQ6">
            <v>70.158900000000003</v>
          </cell>
          <cell r="AR6">
            <v>35</v>
          </cell>
        </row>
        <row r="7">
          <cell r="A7" t="str">
            <v>8160-01-105</v>
          </cell>
          <cell r="B7" t="str">
            <v>Daniel Itzhaki</v>
          </cell>
          <cell r="C7" t="str">
            <v>054029095</v>
          </cell>
          <cell r="D7" t="e">
            <v>#REF!</v>
          </cell>
          <cell r="F7" t="str">
            <v>דניאל יצחקי</v>
          </cell>
          <cell r="G7" t="str">
            <v>I</v>
          </cell>
          <cell r="I7">
            <v>250000</v>
          </cell>
          <cell r="J7">
            <v>3.4189276924417983E-3</v>
          </cell>
          <cell r="K7">
            <v>1469.0914463157189</v>
          </cell>
          <cell r="L7">
            <v>7026.7865214207632</v>
          </cell>
          <cell r="M7">
            <v>9</v>
          </cell>
          <cell r="N7">
            <v>21</v>
          </cell>
          <cell r="O7">
            <v>8526</v>
          </cell>
          <cell r="P7">
            <v>367.27286157892974</v>
          </cell>
          <cell r="Q7">
            <v>193.26736690135007</v>
          </cell>
          <cell r="R7">
            <v>-193.26736690135007</v>
          </cell>
          <cell r="S7">
            <v>174.00549467757966</v>
          </cell>
          <cell r="T7">
            <v>174.00549467757966</v>
          </cell>
          <cell r="U7" t="str">
            <v>X</v>
          </cell>
          <cell r="W7">
            <v>8352</v>
          </cell>
          <cell r="X7">
            <v>83333.332999999999</v>
          </cell>
          <cell r="Y7">
            <v>47900.25</v>
          </cell>
          <cell r="Z7">
            <v>10628</v>
          </cell>
          <cell r="AA7">
            <v>0</v>
          </cell>
          <cell r="AB7">
            <v>33150.5</v>
          </cell>
          <cell r="AC7" t="e">
            <v>#REF!</v>
          </cell>
          <cell r="AD7">
            <v>8526</v>
          </cell>
          <cell r="AE7">
            <v>174.00549467757966</v>
          </cell>
          <cell r="AF7">
            <v>8352</v>
          </cell>
          <cell r="AG7">
            <v>367.27286157892974</v>
          </cell>
          <cell r="AI7">
            <v>6779.7336141120859</v>
          </cell>
          <cell r="AJ7">
            <v>1746.2663858879141</v>
          </cell>
          <cell r="AN7" t="str">
            <v xml:space="preserve">טרם העביר כספים  - טכני ולא בסכנת דיפולטינג </v>
          </cell>
          <cell r="AP7">
            <v>17.539199999999997</v>
          </cell>
          <cell r="AQ7">
            <v>18</v>
          </cell>
          <cell r="AR7">
            <v>35</v>
          </cell>
        </row>
        <row r="8">
          <cell r="A8" t="str">
            <v>8160-01-107</v>
          </cell>
          <cell r="B8" t="str">
            <v>Eran Tamari</v>
          </cell>
          <cell r="C8" t="str">
            <v>059742098</v>
          </cell>
          <cell r="D8" t="e">
            <v>#REF!</v>
          </cell>
          <cell r="F8" t="str">
            <v>ערן תמרי</v>
          </cell>
          <cell r="G8" t="str">
            <v>I</v>
          </cell>
          <cell r="I8">
            <v>250000</v>
          </cell>
          <cell r="J8">
            <v>3.4189276924417983E-3</v>
          </cell>
          <cell r="K8">
            <v>1469.0914463157189</v>
          </cell>
          <cell r="L8">
            <v>7026.7865214207632</v>
          </cell>
          <cell r="M8">
            <v>9</v>
          </cell>
          <cell r="N8">
            <v>21</v>
          </cell>
          <cell r="O8">
            <v>8526</v>
          </cell>
          <cell r="P8">
            <v>367.27286157892974</v>
          </cell>
          <cell r="Q8">
            <v>193.26736690135007</v>
          </cell>
          <cell r="R8">
            <v>-193.26736690135007</v>
          </cell>
          <cell r="S8">
            <v>174.00549467757966</v>
          </cell>
          <cell r="T8">
            <v>174.00549467757966</v>
          </cell>
          <cell r="U8" t="str">
            <v>X</v>
          </cell>
          <cell r="W8">
            <v>8352</v>
          </cell>
          <cell r="X8">
            <v>83333.332999999999</v>
          </cell>
          <cell r="Y8">
            <v>47900.25</v>
          </cell>
          <cell r="Z8">
            <v>10625</v>
          </cell>
          <cell r="AA8">
            <v>0</v>
          </cell>
          <cell r="AB8">
            <v>33153</v>
          </cell>
          <cell r="AC8" t="e">
            <v>#REF!</v>
          </cell>
          <cell r="AD8">
            <v>8526</v>
          </cell>
          <cell r="AE8">
            <v>174.00549467757966</v>
          </cell>
          <cell r="AF8">
            <v>8352</v>
          </cell>
          <cell r="AG8">
            <v>367.27286157892974</v>
          </cell>
          <cell r="AI8">
            <v>6779.7336141120859</v>
          </cell>
          <cell r="AJ8">
            <v>1746.2663858879141</v>
          </cell>
          <cell r="AN8" t="str">
            <v>טרם העביר כספים - סגירה ששית</v>
          </cell>
          <cell r="AP8">
            <v>17.539199999999997</v>
          </cell>
          <cell r="AQ8">
            <v>18</v>
          </cell>
          <cell r="AR8">
            <v>35</v>
          </cell>
        </row>
        <row r="9">
          <cell r="A9" t="str">
            <v>8160-01-108</v>
          </cell>
          <cell r="B9" t="str">
            <v>Hanan Weiss</v>
          </cell>
          <cell r="C9" t="str">
            <v>041159559</v>
          </cell>
          <cell r="D9" t="e">
            <v>#REF!</v>
          </cell>
          <cell r="F9" t="str">
            <v>חנן ווייס</v>
          </cell>
          <cell r="G9" t="str">
            <v>I</v>
          </cell>
          <cell r="I9">
            <v>250000</v>
          </cell>
          <cell r="J9">
            <v>3.4189276924417983E-3</v>
          </cell>
          <cell r="K9">
            <v>1469.0914463157189</v>
          </cell>
          <cell r="L9">
            <v>7026.7865214207632</v>
          </cell>
          <cell r="M9">
            <v>9</v>
          </cell>
          <cell r="N9">
            <v>21</v>
          </cell>
          <cell r="O9">
            <v>8526</v>
          </cell>
          <cell r="P9">
            <v>367.27286157892974</v>
          </cell>
          <cell r="Q9">
            <v>193.26736690135007</v>
          </cell>
          <cell r="R9">
            <v>-193.26736690135007</v>
          </cell>
          <cell r="S9">
            <v>174.00549467757966</v>
          </cell>
          <cell r="T9">
            <v>174.00549467757966</v>
          </cell>
          <cell r="U9" t="str">
            <v>X</v>
          </cell>
          <cell r="W9">
            <v>8352</v>
          </cell>
          <cell r="X9">
            <v>83333.332999999999</v>
          </cell>
          <cell r="Y9">
            <v>47900.25</v>
          </cell>
          <cell r="Z9">
            <v>10625</v>
          </cell>
          <cell r="AA9">
            <v>0</v>
          </cell>
          <cell r="AB9">
            <v>33150.5</v>
          </cell>
          <cell r="AC9" t="e">
            <v>#REF!</v>
          </cell>
          <cell r="AD9">
            <v>8526</v>
          </cell>
          <cell r="AE9">
            <v>174.00549467757966</v>
          </cell>
          <cell r="AF9">
            <v>8352</v>
          </cell>
          <cell r="AG9">
            <v>367.27286157892974</v>
          </cell>
          <cell r="AI9">
            <v>6779.7336141120859</v>
          </cell>
          <cell r="AJ9">
            <v>1746.2663858879141</v>
          </cell>
          <cell r="AN9" t="str">
            <v>טרם העביר כספים - סכנת דיפולטינג</v>
          </cell>
          <cell r="AP9">
            <v>17.539199999999997</v>
          </cell>
          <cell r="AQ9">
            <v>18</v>
          </cell>
          <cell r="AR9">
            <v>35</v>
          </cell>
        </row>
        <row r="10">
          <cell r="A10" t="str">
            <v>8160-01-109</v>
          </cell>
          <cell r="B10" t="str">
            <v>Inwood Investment Group Limited</v>
          </cell>
          <cell r="C10" t="str">
            <v>175 3862</v>
          </cell>
          <cell r="D10" t="e">
            <v>#REF!</v>
          </cell>
          <cell r="E10" t="str">
            <v>Inwood Investment Group Limited</v>
          </cell>
          <cell r="G10" t="str">
            <v>I</v>
          </cell>
          <cell r="I10">
            <v>775000</v>
          </cell>
          <cell r="J10">
            <v>1.0598675846569575E-2</v>
          </cell>
          <cell r="K10">
            <v>4554.1834835787286</v>
          </cell>
          <cell r="L10">
            <v>21783.038216404366</v>
          </cell>
          <cell r="M10">
            <v>27</v>
          </cell>
          <cell r="N10">
            <v>66</v>
          </cell>
          <cell r="O10">
            <v>26430</v>
          </cell>
          <cell r="P10">
            <v>1138.5458708946821</v>
          </cell>
          <cell r="Q10">
            <v>599.12883739418521</v>
          </cell>
          <cell r="R10">
            <v>-599.12883739418521</v>
          </cell>
          <cell r="S10">
            <v>539.41703350049693</v>
          </cell>
          <cell r="T10">
            <v>539.41703350049693</v>
          </cell>
          <cell r="U10" t="str">
            <v>X</v>
          </cell>
          <cell r="W10">
            <v>25891</v>
          </cell>
          <cell r="X10" t="e">
            <v>#N/A</v>
          </cell>
          <cell r="Y10" t="e">
            <v>#N/A</v>
          </cell>
          <cell r="Z10" t="e">
            <v>#N/A</v>
          </cell>
          <cell r="AA10" t="e">
            <v>#N/A</v>
          </cell>
          <cell r="AB10" t="e">
            <v>#N/A</v>
          </cell>
          <cell r="AC10" t="e">
            <v>#REF!</v>
          </cell>
          <cell r="AD10">
            <v>26430</v>
          </cell>
          <cell r="AE10">
            <v>539.41703350049693</v>
          </cell>
          <cell r="AF10">
            <v>25891</v>
          </cell>
          <cell r="AG10">
            <v>1138.5458708946821</v>
          </cell>
          <cell r="AI10">
            <v>21017.174203747469</v>
          </cell>
          <cell r="AJ10">
            <v>5412.8257962525313</v>
          </cell>
          <cell r="AP10">
            <v>54.371099999999998</v>
          </cell>
          <cell r="AQ10">
            <v>54.371099999999998</v>
          </cell>
          <cell r="AR10">
            <v>35</v>
          </cell>
        </row>
        <row r="11">
          <cell r="A11" t="str">
            <v>8160-01-110</v>
          </cell>
          <cell r="B11" t="str">
            <v>Ira Holtzer</v>
          </cell>
          <cell r="C11" t="str">
            <v>033515081</v>
          </cell>
          <cell r="D11" t="e">
            <v>#REF!</v>
          </cell>
          <cell r="F11" t="str">
            <v>עירא הולצר</v>
          </cell>
          <cell r="G11" t="str">
            <v>I</v>
          </cell>
          <cell r="I11">
            <v>350000</v>
          </cell>
          <cell r="J11">
            <v>4.7864987694185178E-3</v>
          </cell>
          <cell r="K11">
            <v>2056.7280248420066</v>
          </cell>
          <cell r="L11">
            <v>9837.5011299890684</v>
          </cell>
          <cell r="M11">
            <v>13</v>
          </cell>
          <cell r="N11">
            <v>30</v>
          </cell>
          <cell r="O11">
            <v>11937</v>
          </cell>
          <cell r="P11">
            <v>514.18200621050164</v>
          </cell>
          <cell r="Q11">
            <v>270.57431366189007</v>
          </cell>
          <cell r="R11">
            <v>-270.57431366189007</v>
          </cell>
          <cell r="S11">
            <v>243.60769254861157</v>
          </cell>
          <cell r="T11">
            <v>243.60769254861157</v>
          </cell>
          <cell r="U11" t="str">
            <v>X</v>
          </cell>
          <cell r="W11">
            <v>11693</v>
          </cell>
          <cell r="X11">
            <v>116666.66619999999</v>
          </cell>
          <cell r="Y11">
            <v>67060.349999999991</v>
          </cell>
          <cell r="Z11">
            <v>14875</v>
          </cell>
          <cell r="AA11">
            <v>0</v>
          </cell>
          <cell r="AB11">
            <v>46414</v>
          </cell>
          <cell r="AC11" t="e">
            <v>#REF!</v>
          </cell>
          <cell r="AD11">
            <v>11937</v>
          </cell>
          <cell r="AE11">
            <v>243.60769254861157</v>
          </cell>
          <cell r="AF11">
            <v>11693</v>
          </cell>
          <cell r="AG11">
            <v>514.18200621050164</v>
          </cell>
          <cell r="AI11">
            <v>9491.6270597569201</v>
          </cell>
          <cell r="AJ11">
            <v>2445.3729402430799</v>
          </cell>
          <cell r="AP11">
            <v>24.555299999999999</v>
          </cell>
          <cell r="AQ11">
            <v>24.555299999999999</v>
          </cell>
          <cell r="AR11">
            <v>35</v>
          </cell>
        </row>
        <row r="12">
          <cell r="A12" t="str">
            <v>8160-01-111</v>
          </cell>
          <cell r="B12" t="str">
            <v>Yuval &amp; Yael Lavon</v>
          </cell>
          <cell r="C12" t="str">
            <v>069962553</v>
          </cell>
          <cell r="D12" t="e">
            <v>#REF!</v>
          </cell>
          <cell r="F12" t="str">
            <v>יעל לבון</v>
          </cell>
          <cell r="G12" t="str">
            <v>I</v>
          </cell>
          <cell r="H12" t="str">
            <v>Kal-Gemel</v>
          </cell>
          <cell r="I12">
            <v>400000</v>
          </cell>
          <cell r="J12">
            <v>5.4702843079068777E-3</v>
          </cell>
          <cell r="K12">
            <v>2350.5463141051505</v>
          </cell>
          <cell r="L12">
            <v>11242.858434273221</v>
          </cell>
          <cell r="M12">
            <v>14</v>
          </cell>
          <cell r="N12">
            <v>35</v>
          </cell>
          <cell r="O12">
            <v>13642</v>
          </cell>
          <cell r="Q12">
            <v>309.22778704216012</v>
          </cell>
          <cell r="T12">
            <v>0</v>
          </cell>
          <cell r="U12" t="str">
            <v>IRA</v>
          </cell>
          <cell r="V12">
            <v>309.22778704216012</v>
          </cell>
          <cell r="W12">
            <v>13642</v>
          </cell>
          <cell r="X12">
            <v>133333.3328</v>
          </cell>
          <cell r="Y12">
            <v>76640</v>
          </cell>
          <cell r="Z12">
            <v>17000</v>
          </cell>
          <cell r="AA12">
            <v>0</v>
          </cell>
          <cell r="AB12">
            <v>53045</v>
          </cell>
          <cell r="AC12" t="e">
            <v>#REF!</v>
          </cell>
          <cell r="AD12">
            <v>13642</v>
          </cell>
          <cell r="AE12">
            <v>0</v>
          </cell>
          <cell r="AF12">
            <v>13642</v>
          </cell>
          <cell r="AG12">
            <v>309.22778704216012</v>
          </cell>
          <cell r="AI12">
            <v>10847.573782579339</v>
          </cell>
          <cell r="AJ12">
            <v>2794.4262174206615</v>
          </cell>
          <cell r="AP12">
            <v>28.648199999999999</v>
          </cell>
          <cell r="AQ12">
            <v>28.648199999999999</v>
          </cell>
          <cell r="AR12">
            <v>35</v>
          </cell>
        </row>
        <row r="13">
          <cell r="A13" t="str">
            <v>8160-01-112</v>
          </cell>
          <cell r="B13" t="str">
            <v>Yehezkel Flomin</v>
          </cell>
          <cell r="C13" t="str">
            <v>004066379</v>
          </cell>
          <cell r="D13" t="e">
            <v>#REF!</v>
          </cell>
          <cell r="F13" t="str">
            <v>יחזקאל פלומין</v>
          </cell>
          <cell r="G13" t="str">
            <v>I</v>
          </cell>
          <cell r="H13" t="str">
            <v>Kal-Gemel</v>
          </cell>
          <cell r="I13">
            <v>400000</v>
          </cell>
          <cell r="J13">
            <v>5.4702843079068777E-3</v>
          </cell>
          <cell r="K13">
            <v>2350.5463141051505</v>
          </cell>
          <cell r="L13">
            <v>11242.858434273221</v>
          </cell>
          <cell r="M13">
            <v>14</v>
          </cell>
          <cell r="N13">
            <v>35</v>
          </cell>
          <cell r="O13">
            <v>13642</v>
          </cell>
          <cell r="Q13">
            <v>309.22778704216012</v>
          </cell>
          <cell r="T13">
            <v>0</v>
          </cell>
          <cell r="U13" t="str">
            <v>IRA</v>
          </cell>
          <cell r="V13">
            <v>309.22778704216012</v>
          </cell>
          <cell r="W13">
            <v>13642</v>
          </cell>
          <cell r="X13">
            <v>133333.3328</v>
          </cell>
          <cell r="Y13">
            <v>76640</v>
          </cell>
          <cell r="Z13">
            <v>17000</v>
          </cell>
          <cell r="AA13">
            <v>0</v>
          </cell>
          <cell r="AB13">
            <v>53045</v>
          </cell>
          <cell r="AC13" t="e">
            <v>#REF!</v>
          </cell>
          <cell r="AD13">
            <v>13642</v>
          </cell>
          <cell r="AE13">
            <v>0</v>
          </cell>
          <cell r="AF13">
            <v>13642</v>
          </cell>
          <cell r="AG13">
            <v>309.22778704216012</v>
          </cell>
          <cell r="AI13">
            <v>10847.573782579339</v>
          </cell>
          <cell r="AJ13">
            <v>2794.4262174206615</v>
          </cell>
          <cell r="AP13">
            <v>28.648199999999999</v>
          </cell>
          <cell r="AQ13">
            <v>28.648199999999999</v>
          </cell>
          <cell r="AR13">
            <v>35</v>
          </cell>
        </row>
        <row r="14">
          <cell r="A14" t="str">
            <v>8160-01-113</v>
          </cell>
          <cell r="B14" t="str">
            <v>Kotlicki Investments Ltd</v>
          </cell>
          <cell r="C14">
            <v>514838358</v>
          </cell>
          <cell r="D14" t="e">
            <v>#REF!</v>
          </cell>
          <cell r="E14" t="str">
            <v>Kotlicki Investments Ltd</v>
          </cell>
          <cell r="F14" t="str">
            <v>קוטליצקי השקעות בע"צ</v>
          </cell>
          <cell r="G14" t="str">
            <v>I</v>
          </cell>
          <cell r="I14">
            <v>500000</v>
          </cell>
          <cell r="J14">
            <v>6.8378553848835967E-3</v>
          </cell>
          <cell r="K14">
            <v>2938.1828926314379</v>
          </cell>
          <cell r="L14">
            <v>14053.573042841526</v>
          </cell>
          <cell r="M14">
            <v>17</v>
          </cell>
          <cell r="N14">
            <v>43</v>
          </cell>
          <cell r="O14">
            <v>17052</v>
          </cell>
          <cell r="Q14">
            <v>386.53473380270015</v>
          </cell>
          <cell r="T14">
            <v>0</v>
          </cell>
          <cell r="U14" t="str">
            <v>V</v>
          </cell>
          <cell r="V14">
            <v>386.53473380270015</v>
          </cell>
          <cell r="W14">
            <v>17052</v>
          </cell>
          <cell r="X14" t="e">
            <v>#N/A</v>
          </cell>
          <cell r="Y14" t="e">
            <v>#N/A</v>
          </cell>
          <cell r="Z14" t="e">
            <v>#N/A</v>
          </cell>
          <cell r="AA14" t="e">
            <v>#N/A</v>
          </cell>
          <cell r="AB14" t="e">
            <v>#N/A</v>
          </cell>
          <cell r="AC14" t="e">
            <v>#REF!</v>
          </cell>
          <cell r="AD14">
            <v>17052</v>
          </cell>
          <cell r="AE14">
            <v>0</v>
          </cell>
          <cell r="AF14">
            <v>17052</v>
          </cell>
          <cell r="AG14">
            <v>386.53473380270015</v>
          </cell>
          <cell r="AI14">
            <v>13559.467228224172</v>
          </cell>
          <cell r="AJ14">
            <v>3492.5327717758282</v>
          </cell>
          <cell r="AP14">
            <v>35.809199999999997</v>
          </cell>
          <cell r="AQ14">
            <v>35.809199999999997</v>
          </cell>
          <cell r="AR14">
            <v>35</v>
          </cell>
        </row>
        <row r="15">
          <cell r="A15" t="str">
            <v>8160-01-114</v>
          </cell>
          <cell r="B15" t="str">
            <v>Levyor Trading LTD</v>
          </cell>
          <cell r="C15">
            <v>514706720</v>
          </cell>
          <cell r="D15" t="e">
            <v>#REF!</v>
          </cell>
          <cell r="E15" t="str">
            <v>Levyor Trading LTD</v>
          </cell>
          <cell r="F15" t="str">
            <v>לויור מסחר בע"מ</v>
          </cell>
          <cell r="G15" t="str">
            <v>I</v>
          </cell>
          <cell r="I15">
            <v>800000</v>
          </cell>
          <cell r="J15">
            <v>1.0940568615813755E-2</v>
          </cell>
          <cell r="K15">
            <v>4701.092628210301</v>
          </cell>
          <cell r="L15">
            <v>22485.716868546442</v>
          </cell>
          <cell r="M15">
            <v>29</v>
          </cell>
          <cell r="N15">
            <v>69</v>
          </cell>
          <cell r="O15">
            <v>27285</v>
          </cell>
          <cell r="Q15">
            <v>618.45557408432023</v>
          </cell>
          <cell r="T15">
            <v>0</v>
          </cell>
          <cell r="U15" t="str">
            <v>V</v>
          </cell>
          <cell r="V15">
            <v>618.45557408432023</v>
          </cell>
          <cell r="W15">
            <v>27285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 t="e">
            <v>#N/A</v>
          </cell>
          <cell r="AC15" t="e">
            <v>#REF!</v>
          </cell>
          <cell r="AD15">
            <v>27285</v>
          </cell>
          <cell r="AE15">
            <v>0</v>
          </cell>
          <cell r="AF15">
            <v>27285</v>
          </cell>
          <cell r="AG15">
            <v>618.45557408432023</v>
          </cell>
          <cell r="AI15">
            <v>21695.147565158677</v>
          </cell>
          <cell r="AJ15">
            <v>5589.852434841323</v>
          </cell>
          <cell r="AP15">
            <v>57.298499999999997</v>
          </cell>
          <cell r="AQ15">
            <v>57.298499999999997</v>
          </cell>
          <cell r="AR15">
            <v>35</v>
          </cell>
        </row>
        <row r="16">
          <cell r="A16" t="str">
            <v>8160-01-115</v>
          </cell>
          <cell r="B16" t="str">
            <v>M.B Sherman</v>
          </cell>
          <cell r="C16">
            <v>513136622</v>
          </cell>
          <cell r="D16" t="e">
            <v>#REF!</v>
          </cell>
          <cell r="E16" t="str">
            <v>M.B Sherman</v>
          </cell>
          <cell r="F16" t="str">
            <v>מ.ב שרמן בע"מ</v>
          </cell>
          <cell r="G16" t="str">
            <v>I</v>
          </cell>
          <cell r="I16">
            <v>250000</v>
          </cell>
          <cell r="J16">
            <v>3.4189276924417983E-3</v>
          </cell>
          <cell r="K16">
            <v>1469.0914463157189</v>
          </cell>
          <cell r="L16">
            <v>7026.7865214207632</v>
          </cell>
          <cell r="M16">
            <v>9</v>
          </cell>
          <cell r="N16">
            <v>21</v>
          </cell>
          <cell r="O16">
            <v>8526</v>
          </cell>
          <cell r="Q16">
            <v>193.26736690135007</v>
          </cell>
          <cell r="T16">
            <v>0</v>
          </cell>
          <cell r="U16" t="str">
            <v>V</v>
          </cell>
          <cell r="V16">
            <v>193.26736690135007</v>
          </cell>
          <cell r="W16">
            <v>8526</v>
          </cell>
          <cell r="X16" t="e">
            <v>#N/A</v>
          </cell>
          <cell r="Y16" t="e">
            <v>#N/A</v>
          </cell>
          <cell r="Z16" t="e">
            <v>#N/A</v>
          </cell>
          <cell r="AA16" t="e">
            <v>#N/A</v>
          </cell>
          <cell r="AB16" t="e">
            <v>#N/A</v>
          </cell>
          <cell r="AC16" t="e">
            <v>#REF!</v>
          </cell>
          <cell r="AD16">
            <v>8526</v>
          </cell>
          <cell r="AE16">
            <v>0</v>
          </cell>
          <cell r="AF16">
            <v>8526</v>
          </cell>
          <cell r="AG16">
            <v>193.26736690135007</v>
          </cell>
          <cell r="AI16">
            <v>6779.7336141120859</v>
          </cell>
          <cell r="AJ16">
            <v>1746.2663858879141</v>
          </cell>
          <cell r="AP16">
            <v>17.904599999999999</v>
          </cell>
          <cell r="AQ16">
            <v>18</v>
          </cell>
          <cell r="AR16">
            <v>35</v>
          </cell>
        </row>
        <row r="17">
          <cell r="A17" t="str">
            <v>8160-01-116</v>
          </cell>
          <cell r="B17" t="str">
            <v>Meitav Dash Investments Ltd</v>
          </cell>
          <cell r="C17">
            <v>520043795</v>
          </cell>
          <cell r="D17" t="e">
            <v>#REF!</v>
          </cell>
          <cell r="E17" t="str">
            <v>Meitav Dash Investments Ltd</v>
          </cell>
          <cell r="F17" t="str">
            <v>מיטב דש השקעות בע"מ</v>
          </cell>
          <cell r="G17" t="str">
            <v>I</v>
          </cell>
          <cell r="I17">
            <v>7000000</v>
          </cell>
          <cell r="J17">
            <v>9.5729975388370359E-2</v>
          </cell>
          <cell r="K17">
            <v>41134.560496840131</v>
          </cell>
          <cell r="L17">
            <v>196750.02259978137</v>
          </cell>
          <cell r="M17">
            <v>247</v>
          </cell>
          <cell r="N17">
            <v>601</v>
          </cell>
          <cell r="O17">
            <v>238733</v>
          </cell>
          <cell r="Q17">
            <v>5411.4862732378024</v>
          </cell>
          <cell r="T17">
            <v>0</v>
          </cell>
          <cell r="U17" t="str">
            <v>V</v>
          </cell>
          <cell r="V17">
            <v>5411.4862732378024</v>
          </cell>
          <cell r="W17">
            <v>238733</v>
          </cell>
          <cell r="X17" t="e">
            <v>#N/A</v>
          </cell>
          <cell r="Y17" t="e">
            <v>#N/A</v>
          </cell>
          <cell r="Z17" t="e">
            <v>#N/A</v>
          </cell>
          <cell r="AA17" t="e">
            <v>#N/A</v>
          </cell>
          <cell r="AB17" t="e">
            <v>#N/A</v>
          </cell>
          <cell r="AC17" t="e">
            <v>#REF!</v>
          </cell>
          <cell r="AD17">
            <v>238733</v>
          </cell>
          <cell r="AE17">
            <v>0</v>
          </cell>
          <cell r="AF17">
            <v>238733</v>
          </cell>
          <cell r="AG17">
            <v>5411.4862732378024</v>
          </cell>
          <cell r="AI17">
            <v>189832.54119513842</v>
          </cell>
          <cell r="AJ17">
            <v>48900.458804861584</v>
          </cell>
          <cell r="AP17">
            <v>501.33929999999998</v>
          </cell>
          <cell r="AQ17">
            <v>170</v>
          </cell>
          <cell r="AR17">
            <v>35</v>
          </cell>
        </row>
        <row r="18">
          <cell r="A18" t="str">
            <v>8160-01-117</v>
          </cell>
          <cell r="B18" t="str">
            <v>Nissim Zarfati</v>
          </cell>
          <cell r="C18" t="str">
            <v>058240565</v>
          </cell>
          <cell r="D18" t="e">
            <v>#REF!</v>
          </cell>
          <cell r="F18" t="str">
            <v>נסים צרפתי</v>
          </cell>
          <cell r="G18" t="str">
            <v>I</v>
          </cell>
          <cell r="I18">
            <v>450000</v>
          </cell>
          <cell r="J18">
            <v>6.1540698463952376E-3</v>
          </cell>
          <cell r="K18">
            <v>2644.3646033682944</v>
          </cell>
          <cell r="L18">
            <v>12648.215738557374</v>
          </cell>
          <cell r="M18">
            <v>16</v>
          </cell>
          <cell r="N18">
            <v>39</v>
          </cell>
          <cell r="O18">
            <v>15348</v>
          </cell>
          <cell r="P18">
            <v>661.0911508420736</v>
          </cell>
          <cell r="Q18">
            <v>347.88126042243016</v>
          </cell>
          <cell r="R18">
            <v>-347.88126042243016</v>
          </cell>
          <cell r="S18">
            <v>313.20989041964344</v>
          </cell>
          <cell r="T18">
            <v>313.20989041964344</v>
          </cell>
          <cell r="U18" t="str">
            <v>X</v>
          </cell>
          <cell r="W18">
            <v>15035</v>
          </cell>
          <cell r="X18">
            <v>149999.9994</v>
          </cell>
          <cell r="Y18">
            <v>86220.45</v>
          </cell>
          <cell r="Z18">
            <v>19128</v>
          </cell>
          <cell r="AA18">
            <v>0</v>
          </cell>
          <cell r="AB18">
            <v>59675</v>
          </cell>
          <cell r="AC18" t="e">
            <v>#REF!</v>
          </cell>
          <cell r="AD18">
            <v>15348</v>
          </cell>
          <cell r="AE18">
            <v>313.20989041964344</v>
          </cell>
          <cell r="AF18">
            <v>15035</v>
          </cell>
          <cell r="AG18">
            <v>661.0911508420736</v>
          </cell>
          <cell r="AI18">
            <v>12203.520505401757</v>
          </cell>
          <cell r="AJ18">
            <v>3144.479494598243</v>
          </cell>
          <cell r="AP18">
            <v>31.573499999999999</v>
          </cell>
          <cell r="AQ18">
            <v>31.573499999999999</v>
          </cell>
          <cell r="AR18">
            <v>35</v>
          </cell>
        </row>
        <row r="19">
          <cell r="A19" t="str">
            <v>8160-01-118</v>
          </cell>
          <cell r="B19" t="str">
            <v>Ofer David Kinberg</v>
          </cell>
          <cell r="C19" t="str">
            <v>036125334</v>
          </cell>
          <cell r="D19" t="e">
            <v>#REF!</v>
          </cell>
          <cell r="F19" t="str">
            <v>עופר דוד קינברג</v>
          </cell>
          <cell r="G19" t="str">
            <v>I</v>
          </cell>
          <cell r="I19">
            <v>400000</v>
          </cell>
          <cell r="J19">
            <v>5.4702843079068777E-3</v>
          </cell>
          <cell r="K19">
            <v>2350.5463141051505</v>
          </cell>
          <cell r="L19">
            <v>11242.858434273221</v>
          </cell>
          <cell r="M19">
            <v>14</v>
          </cell>
          <cell r="N19">
            <v>35</v>
          </cell>
          <cell r="O19">
            <v>13642</v>
          </cell>
          <cell r="P19">
            <v>587.63657852628762</v>
          </cell>
          <cell r="Q19">
            <v>309.22778704216012</v>
          </cell>
          <cell r="R19">
            <v>-309.22778704216012</v>
          </cell>
          <cell r="S19">
            <v>278.40879148412751</v>
          </cell>
          <cell r="T19">
            <v>278.40879148412751</v>
          </cell>
          <cell r="U19" t="str">
            <v>X</v>
          </cell>
          <cell r="W19">
            <v>13364</v>
          </cell>
          <cell r="X19">
            <v>133333.3328</v>
          </cell>
          <cell r="Y19">
            <v>76640.399999999994</v>
          </cell>
          <cell r="Z19">
            <v>17000</v>
          </cell>
          <cell r="AA19">
            <v>0</v>
          </cell>
          <cell r="AB19">
            <v>53045</v>
          </cell>
          <cell r="AC19" t="e">
            <v>#REF!</v>
          </cell>
          <cell r="AD19">
            <v>13642</v>
          </cell>
          <cell r="AE19">
            <v>278.40879148412751</v>
          </cell>
          <cell r="AF19">
            <v>13364</v>
          </cell>
          <cell r="AG19">
            <v>587.63657852628762</v>
          </cell>
          <cell r="AI19">
            <v>10847.573782579339</v>
          </cell>
          <cell r="AJ19">
            <v>2794.4262174206615</v>
          </cell>
          <cell r="AP19">
            <v>28.064399999999999</v>
          </cell>
          <cell r="AQ19">
            <v>28.064399999999999</v>
          </cell>
          <cell r="AR19">
            <v>35</v>
          </cell>
        </row>
        <row r="20">
          <cell r="A20" t="str">
            <v>8160-01-119</v>
          </cell>
          <cell r="B20" t="str">
            <v>Olga Ashurov</v>
          </cell>
          <cell r="C20">
            <v>305831232</v>
          </cell>
          <cell r="D20" t="e">
            <v>#REF!</v>
          </cell>
          <cell r="F20" t="str">
            <v>אולגה אושרוב</v>
          </cell>
          <cell r="G20" t="str">
            <v>I</v>
          </cell>
          <cell r="I20">
            <v>250000</v>
          </cell>
          <cell r="J20">
            <v>3.4189276924417983E-3</v>
          </cell>
          <cell r="K20">
            <v>1469.0914463157189</v>
          </cell>
          <cell r="L20">
            <v>7026.7865214207632</v>
          </cell>
          <cell r="M20">
            <v>9</v>
          </cell>
          <cell r="N20">
            <v>21</v>
          </cell>
          <cell r="O20">
            <v>8526</v>
          </cell>
          <cell r="P20">
            <v>367.27286157892974</v>
          </cell>
          <cell r="Q20">
            <v>193.26736690135007</v>
          </cell>
          <cell r="R20">
            <v>-193.26736690135007</v>
          </cell>
          <cell r="S20">
            <v>174.00549467757966</v>
          </cell>
          <cell r="T20">
            <v>174.00549467757966</v>
          </cell>
          <cell r="U20" t="str">
            <v>X</v>
          </cell>
          <cell r="W20">
            <v>8352</v>
          </cell>
          <cell r="X20">
            <v>83333.332999999999</v>
          </cell>
          <cell r="Y20">
            <v>47900.25</v>
          </cell>
          <cell r="Z20">
            <v>10650.5</v>
          </cell>
          <cell r="AA20">
            <v>0</v>
          </cell>
          <cell r="AB20">
            <v>33153.5</v>
          </cell>
          <cell r="AC20" t="e">
            <v>#REF!</v>
          </cell>
          <cell r="AD20">
            <v>8526</v>
          </cell>
          <cell r="AE20">
            <v>174.00549467757966</v>
          </cell>
          <cell r="AF20">
            <v>8352</v>
          </cell>
          <cell r="AG20">
            <v>367.27286157892974</v>
          </cell>
          <cell r="AI20">
            <v>6779.7336141120859</v>
          </cell>
          <cell r="AJ20">
            <v>1746.2663858879141</v>
          </cell>
          <cell r="AP20">
            <v>17.539199999999997</v>
          </cell>
          <cell r="AQ20">
            <v>18</v>
          </cell>
          <cell r="AR20">
            <v>35</v>
          </cell>
        </row>
        <row r="21">
          <cell r="A21" t="str">
            <v>8160-01-120</v>
          </cell>
          <cell r="B21" t="str">
            <v>Orna Barkat</v>
          </cell>
          <cell r="C21" t="str">
            <v>057258675</v>
          </cell>
          <cell r="D21" t="e">
            <v>#REF!</v>
          </cell>
          <cell r="F21" t="str">
            <v>אורנה ברקת</v>
          </cell>
          <cell r="G21" t="str">
            <v>I</v>
          </cell>
          <cell r="I21">
            <v>400000</v>
          </cell>
          <cell r="J21">
            <v>5.4702843079068777E-3</v>
          </cell>
          <cell r="K21">
            <v>2350.5463141051505</v>
          </cell>
          <cell r="L21">
            <v>11242.858434273221</v>
          </cell>
          <cell r="M21">
            <v>14</v>
          </cell>
          <cell r="N21">
            <v>35</v>
          </cell>
          <cell r="O21">
            <v>13642</v>
          </cell>
          <cell r="P21">
            <v>587.63657852628762</v>
          </cell>
          <cell r="Q21">
            <v>309.22778704216012</v>
          </cell>
          <cell r="R21">
            <v>-309.22778704216012</v>
          </cell>
          <cell r="S21">
            <v>278.40879148412751</v>
          </cell>
          <cell r="T21">
            <v>278.40879148412751</v>
          </cell>
          <cell r="U21" t="str">
            <v>X</v>
          </cell>
          <cell r="W21">
            <v>13364</v>
          </cell>
          <cell r="X21">
            <v>133333.3328</v>
          </cell>
          <cell r="Y21">
            <v>76640.399999999994</v>
          </cell>
          <cell r="Z21">
            <v>17000</v>
          </cell>
          <cell r="AA21">
            <v>0</v>
          </cell>
          <cell r="AB21">
            <v>53045</v>
          </cell>
          <cell r="AC21" t="e">
            <v>#REF!</v>
          </cell>
          <cell r="AD21">
            <v>13642</v>
          </cell>
          <cell r="AE21">
            <v>278.40879148412751</v>
          </cell>
          <cell r="AF21">
            <v>13364</v>
          </cell>
          <cell r="AG21">
            <v>587.63657852628762</v>
          </cell>
          <cell r="AI21">
            <v>10847.573782579339</v>
          </cell>
          <cell r="AJ21">
            <v>2794.4262174206615</v>
          </cell>
          <cell r="AP21">
            <v>28.064399999999999</v>
          </cell>
          <cell r="AQ21">
            <v>28.064399999999999</v>
          </cell>
          <cell r="AR21">
            <v>35</v>
          </cell>
        </row>
        <row r="22">
          <cell r="A22" t="str">
            <v>8160-01-121</v>
          </cell>
          <cell r="B22" t="str">
            <v>Plata Trading Co. Inc</v>
          </cell>
          <cell r="C22">
            <v>2601848</v>
          </cell>
          <cell r="D22" t="e">
            <v>#REF!</v>
          </cell>
          <cell r="E22" t="str">
            <v>Plata Trading Co. Inc</v>
          </cell>
          <cell r="G22" t="str">
            <v>I</v>
          </cell>
          <cell r="I22">
            <v>300000</v>
          </cell>
          <cell r="J22">
            <v>4.1027132309301578E-3</v>
          </cell>
          <cell r="K22">
            <v>1762.9097355788626</v>
          </cell>
          <cell r="L22">
            <v>8432.1438257049158</v>
          </cell>
          <cell r="M22">
            <v>10</v>
          </cell>
          <cell r="N22">
            <v>25</v>
          </cell>
          <cell r="O22">
            <v>10230</v>
          </cell>
          <cell r="P22">
            <v>440.72743389471566</v>
          </cell>
          <cell r="Q22">
            <v>231.92084028162006</v>
          </cell>
          <cell r="R22">
            <v>-231.92084028162006</v>
          </cell>
          <cell r="S22">
            <v>208.8065936130956</v>
          </cell>
          <cell r="T22">
            <v>208.8065936130956</v>
          </cell>
          <cell r="U22" t="str">
            <v>X</v>
          </cell>
          <cell r="W22">
            <v>10021</v>
          </cell>
          <cell r="X22" t="e">
            <v>#N/A</v>
          </cell>
          <cell r="Y22" t="e">
            <v>#N/A</v>
          </cell>
          <cell r="Z22" t="e">
            <v>#N/A</v>
          </cell>
          <cell r="AA22" t="e">
            <v>#N/A</v>
          </cell>
          <cell r="AB22" t="e">
            <v>#N/A</v>
          </cell>
          <cell r="AC22" t="e">
            <v>#REF!</v>
          </cell>
          <cell r="AD22">
            <v>10230</v>
          </cell>
          <cell r="AE22">
            <v>208.8065936130956</v>
          </cell>
          <cell r="AF22">
            <v>10021</v>
          </cell>
          <cell r="AG22">
            <v>440.72743389471566</v>
          </cell>
          <cell r="AI22">
            <v>8135.6803369345025</v>
          </cell>
          <cell r="AJ22">
            <v>2094.3196630654975</v>
          </cell>
          <cell r="AP22">
            <v>21.0441</v>
          </cell>
          <cell r="AQ22">
            <v>21.0441</v>
          </cell>
          <cell r="AR22">
            <v>35</v>
          </cell>
        </row>
        <row r="23">
          <cell r="A23" t="str">
            <v>8160-01-123</v>
          </cell>
          <cell r="B23" t="str">
            <v>Raz Freidman</v>
          </cell>
          <cell r="C23" t="str">
            <v>034522615</v>
          </cell>
          <cell r="D23" t="e">
            <v>#REF!</v>
          </cell>
          <cell r="F23" t="str">
            <v>רז פרידמן</v>
          </cell>
          <cell r="G23" t="str">
            <v>I</v>
          </cell>
          <cell r="I23">
            <v>400000</v>
          </cell>
          <cell r="J23">
            <v>5.4702843079068777E-3</v>
          </cell>
          <cell r="K23">
            <v>2350.5463141051505</v>
          </cell>
          <cell r="L23">
            <v>11242.858434273221</v>
          </cell>
          <cell r="M23">
            <v>14</v>
          </cell>
          <cell r="N23">
            <v>35</v>
          </cell>
          <cell r="O23">
            <v>13642</v>
          </cell>
          <cell r="P23">
            <v>587.63657852628762</v>
          </cell>
          <cell r="Q23">
            <v>309.22778704216012</v>
          </cell>
          <cell r="R23">
            <v>-309.22778704216012</v>
          </cell>
          <cell r="S23">
            <v>278.40879148412751</v>
          </cell>
          <cell r="T23">
            <v>278.40879148412751</v>
          </cell>
          <cell r="U23" t="str">
            <v>X</v>
          </cell>
          <cell r="W23">
            <v>13364</v>
          </cell>
          <cell r="X23">
            <v>133333.3328</v>
          </cell>
          <cell r="Y23">
            <v>76640.399999999994</v>
          </cell>
          <cell r="Z23">
            <v>17000</v>
          </cell>
          <cell r="AA23">
            <v>0</v>
          </cell>
          <cell r="AB23">
            <v>53045</v>
          </cell>
          <cell r="AC23" t="e">
            <v>#REF!</v>
          </cell>
          <cell r="AD23">
            <v>13642</v>
          </cell>
          <cell r="AE23">
            <v>278.40879148412751</v>
          </cell>
          <cell r="AF23">
            <v>13364</v>
          </cell>
          <cell r="AG23">
            <v>587.63657852628762</v>
          </cell>
          <cell r="AI23">
            <v>10847.573782579339</v>
          </cell>
          <cell r="AJ23">
            <v>2794.4262174206615</v>
          </cell>
          <cell r="AP23">
            <v>28.064399999999999</v>
          </cell>
          <cell r="AQ23">
            <v>28.064399999999999</v>
          </cell>
          <cell r="AR23">
            <v>35</v>
          </cell>
        </row>
        <row r="24">
          <cell r="A24" t="str">
            <v>8160-01-124</v>
          </cell>
          <cell r="B24" t="str">
            <v>Robert Antokol</v>
          </cell>
          <cell r="C24" t="str">
            <v>014552855</v>
          </cell>
          <cell r="D24" t="e">
            <v>#REF!</v>
          </cell>
          <cell r="F24" t="str">
            <v>רוברט אנטוקול</v>
          </cell>
          <cell r="G24" t="str">
            <v>I</v>
          </cell>
          <cell r="I24">
            <v>2000000</v>
          </cell>
          <cell r="J24">
            <v>2.7351421539534387E-2</v>
          </cell>
          <cell r="K24">
            <v>11752.731570525752</v>
          </cell>
          <cell r="L24">
            <v>56214.292171366105</v>
          </cell>
          <cell r="M24">
            <v>71</v>
          </cell>
          <cell r="N24">
            <v>172</v>
          </cell>
          <cell r="O24">
            <v>68210</v>
          </cell>
          <cell r="P24">
            <v>2938.1828926314379</v>
          </cell>
          <cell r="Q24">
            <v>1546.1389352108006</v>
          </cell>
          <cell r="R24">
            <v>-1546.1389352108006</v>
          </cell>
          <cell r="S24">
            <v>1392.0439574206373</v>
          </cell>
          <cell r="T24">
            <v>1392.0439574206373</v>
          </cell>
          <cell r="U24" t="str">
            <v>X</v>
          </cell>
          <cell r="W24">
            <v>66818</v>
          </cell>
          <cell r="X24">
            <v>666666.66399999999</v>
          </cell>
          <cell r="Y24">
            <v>383202</v>
          </cell>
          <cell r="Z24">
            <v>84998</v>
          </cell>
          <cell r="AA24">
            <v>0</v>
          </cell>
          <cell r="AB24">
            <v>265226</v>
          </cell>
          <cell r="AC24" t="e">
            <v>#REF!</v>
          </cell>
          <cell r="AD24">
            <v>68210</v>
          </cell>
          <cell r="AE24">
            <v>1392.0439574206373</v>
          </cell>
          <cell r="AF24">
            <v>66818</v>
          </cell>
          <cell r="AG24">
            <v>2938.1828926314379</v>
          </cell>
          <cell r="AI24">
            <v>54237.868912896687</v>
          </cell>
          <cell r="AJ24">
            <v>13972.131087103313</v>
          </cell>
          <cell r="AP24">
            <v>140.31780000000001</v>
          </cell>
          <cell r="AQ24">
            <v>140.31780000000001</v>
          </cell>
          <cell r="AR24">
            <v>35</v>
          </cell>
        </row>
        <row r="25">
          <cell r="A25" t="str">
            <v>8160-01-125</v>
          </cell>
          <cell r="B25" t="str">
            <v>Roy Oron</v>
          </cell>
          <cell r="C25" t="str">
            <v>024367021</v>
          </cell>
          <cell r="D25" t="e">
            <v>#REF!</v>
          </cell>
          <cell r="F25" t="str">
            <v>רועי אורון</v>
          </cell>
          <cell r="G25" t="str">
            <v>I</v>
          </cell>
          <cell r="I25">
            <v>500000</v>
          </cell>
          <cell r="J25">
            <v>6.8378553848835967E-3</v>
          </cell>
          <cell r="K25">
            <v>2938.1828926314379</v>
          </cell>
          <cell r="L25">
            <v>14053.573042841526</v>
          </cell>
          <cell r="M25">
            <v>17</v>
          </cell>
          <cell r="N25">
            <v>43</v>
          </cell>
          <cell r="O25">
            <v>17052</v>
          </cell>
          <cell r="P25">
            <v>734.54572315785947</v>
          </cell>
          <cell r="Q25">
            <v>386.53473380270015</v>
          </cell>
          <cell r="R25">
            <v>-386.53473380270015</v>
          </cell>
          <cell r="S25">
            <v>348.01098935515932</v>
          </cell>
          <cell r="T25">
            <v>348.01098935515932</v>
          </cell>
          <cell r="U25" t="str">
            <v>X</v>
          </cell>
          <cell r="W25">
            <v>16704</v>
          </cell>
          <cell r="X25">
            <v>166666.666</v>
          </cell>
          <cell r="Y25">
            <v>95800.5</v>
          </cell>
          <cell r="Z25">
            <v>21250</v>
          </cell>
          <cell r="AA25">
            <v>0</v>
          </cell>
          <cell r="AB25">
            <v>66306</v>
          </cell>
          <cell r="AC25" t="e">
            <v>#REF!</v>
          </cell>
          <cell r="AD25">
            <v>17052</v>
          </cell>
          <cell r="AE25">
            <v>348.01098935515932</v>
          </cell>
          <cell r="AF25">
            <v>16704</v>
          </cell>
          <cell r="AG25">
            <v>734.54572315785947</v>
          </cell>
          <cell r="AI25">
            <v>13559.467228224172</v>
          </cell>
          <cell r="AJ25">
            <v>3492.5327717758282</v>
          </cell>
          <cell r="AP25">
            <v>35.078399999999995</v>
          </cell>
          <cell r="AQ25">
            <v>35.078399999999995</v>
          </cell>
          <cell r="AR25">
            <v>35</v>
          </cell>
        </row>
        <row r="26">
          <cell r="A26" t="str">
            <v>8160-01-126</v>
          </cell>
          <cell r="B26" t="str">
            <v>Shai Reshef</v>
          </cell>
          <cell r="C26" t="str">
            <v>053560108</v>
          </cell>
          <cell r="D26" t="e">
            <v>#REF!</v>
          </cell>
          <cell r="F26" t="str">
            <v>שי רשף</v>
          </cell>
          <cell r="G26" t="str">
            <v>I</v>
          </cell>
          <cell r="I26">
            <v>500000</v>
          </cell>
          <cell r="J26">
            <v>6.8378553848835967E-3</v>
          </cell>
          <cell r="K26">
            <v>2938.1828926314379</v>
          </cell>
          <cell r="L26">
            <v>14053.573042841526</v>
          </cell>
          <cell r="M26">
            <v>17</v>
          </cell>
          <cell r="N26">
            <v>43</v>
          </cell>
          <cell r="O26">
            <v>17052</v>
          </cell>
          <cell r="P26">
            <v>734.54572315785947</v>
          </cell>
          <cell r="Q26">
            <v>386.53473380270015</v>
          </cell>
          <cell r="R26">
            <v>-386.53473380270015</v>
          </cell>
          <cell r="S26">
            <v>348.01098935515932</v>
          </cell>
          <cell r="T26">
            <v>348.01098935515932</v>
          </cell>
          <cell r="U26" t="str">
            <v>X</v>
          </cell>
          <cell r="W26">
            <v>16704</v>
          </cell>
          <cell r="X26">
            <v>166666.666</v>
          </cell>
          <cell r="Y26">
            <v>95800.5</v>
          </cell>
          <cell r="Z26">
            <v>21250</v>
          </cell>
          <cell r="AA26">
            <v>0</v>
          </cell>
          <cell r="AB26">
            <v>66306</v>
          </cell>
          <cell r="AC26" t="e">
            <v>#REF!</v>
          </cell>
          <cell r="AD26">
            <v>17052</v>
          </cell>
          <cell r="AE26">
            <v>348.01098935515932</v>
          </cell>
          <cell r="AF26">
            <v>16704</v>
          </cell>
          <cell r="AG26">
            <v>734.54572315785947</v>
          </cell>
          <cell r="AI26">
            <v>13559.467228224172</v>
          </cell>
          <cell r="AJ26">
            <v>3492.5327717758282</v>
          </cell>
          <cell r="AP26">
            <v>35.078399999999995</v>
          </cell>
          <cell r="AQ26">
            <v>35.078399999999995</v>
          </cell>
          <cell r="AR26">
            <v>35</v>
          </cell>
        </row>
        <row r="27">
          <cell r="A27" t="str">
            <v>8160-01-127</v>
          </cell>
          <cell r="B27" t="str">
            <v>Yishayahu Shai Sheffer</v>
          </cell>
          <cell r="C27" t="str">
            <v>07004476</v>
          </cell>
          <cell r="D27" t="e">
            <v>#REF!</v>
          </cell>
          <cell r="F27" t="str">
            <v>שי ישעיהו שפר</v>
          </cell>
          <cell r="G27" t="str">
            <v>I</v>
          </cell>
          <cell r="I27">
            <v>250000</v>
          </cell>
          <cell r="J27">
            <v>3.4189276924417983E-3</v>
          </cell>
          <cell r="K27">
            <v>1469.0914463157189</v>
          </cell>
          <cell r="L27">
            <v>7026.7865214207632</v>
          </cell>
          <cell r="M27">
            <v>9</v>
          </cell>
          <cell r="N27">
            <v>21</v>
          </cell>
          <cell r="O27">
            <v>8526</v>
          </cell>
          <cell r="P27">
            <v>367.27286157892974</v>
          </cell>
          <cell r="Q27">
            <v>193.26736690135007</v>
          </cell>
          <cell r="R27">
            <v>-193.26736690135007</v>
          </cell>
          <cell r="S27">
            <v>174.00549467757966</v>
          </cell>
          <cell r="T27">
            <v>174.00549467757966</v>
          </cell>
          <cell r="U27" t="str">
            <v>X</v>
          </cell>
          <cell r="W27">
            <v>8352</v>
          </cell>
          <cell r="X27">
            <v>83333.332999999999</v>
          </cell>
          <cell r="Y27">
            <v>47900</v>
          </cell>
          <cell r="Z27">
            <v>10625</v>
          </cell>
          <cell r="AA27">
            <v>0</v>
          </cell>
          <cell r="AB27">
            <v>33153.5</v>
          </cell>
          <cell r="AC27" t="e">
            <v>#REF!</v>
          </cell>
          <cell r="AD27">
            <v>8526</v>
          </cell>
          <cell r="AE27">
            <v>174.00549467757966</v>
          </cell>
          <cell r="AF27">
            <v>8352</v>
          </cell>
          <cell r="AG27">
            <v>367.27286157892974</v>
          </cell>
          <cell r="AI27">
            <v>6779.7336141120859</v>
          </cell>
          <cell r="AJ27">
            <v>1746.2663858879141</v>
          </cell>
          <cell r="AP27">
            <v>17.539199999999997</v>
          </cell>
          <cell r="AQ27">
            <v>18</v>
          </cell>
          <cell r="AR27">
            <v>35</v>
          </cell>
        </row>
        <row r="28">
          <cell r="A28" t="str">
            <v>8160-01-128</v>
          </cell>
          <cell r="B28" t="str">
            <v>Shlomi Aizenberg</v>
          </cell>
          <cell r="C28" t="str">
            <v>036397297</v>
          </cell>
          <cell r="D28" t="e">
            <v>#REF!</v>
          </cell>
          <cell r="F28" t="str">
            <v>שלומי אייזנברג</v>
          </cell>
          <cell r="G28" t="str">
            <v>I</v>
          </cell>
          <cell r="I28">
            <v>200000</v>
          </cell>
          <cell r="J28">
            <v>2.7351421539534388E-3</v>
          </cell>
          <cell r="K28">
            <v>1175.2731570525752</v>
          </cell>
          <cell r="L28">
            <v>5621.4292171366105</v>
          </cell>
          <cell r="M28">
            <v>7</v>
          </cell>
          <cell r="N28">
            <v>17</v>
          </cell>
          <cell r="O28">
            <v>6821</v>
          </cell>
          <cell r="P28">
            <v>293.81828926314381</v>
          </cell>
          <cell r="Q28">
            <v>154.61389352108006</v>
          </cell>
          <cell r="R28">
            <v>-154.61389352108006</v>
          </cell>
          <cell r="S28">
            <v>139.20439574206375</v>
          </cell>
          <cell r="T28">
            <v>139.20439574206375</v>
          </cell>
          <cell r="U28" t="str">
            <v>X</v>
          </cell>
          <cell r="W28">
            <v>6682</v>
          </cell>
          <cell r="X28">
            <v>66666.666400000002</v>
          </cell>
          <cell r="Y28">
            <v>38320</v>
          </cell>
          <cell r="Z28">
            <v>8500</v>
          </cell>
          <cell r="AA28">
            <v>0</v>
          </cell>
          <cell r="AB28">
            <v>26522</v>
          </cell>
          <cell r="AC28" t="e">
            <v>#REF!</v>
          </cell>
          <cell r="AD28">
            <v>6821</v>
          </cell>
          <cell r="AE28">
            <v>139.20439574206375</v>
          </cell>
          <cell r="AF28">
            <v>6682</v>
          </cell>
          <cell r="AG28">
            <v>293.81828926314381</v>
          </cell>
          <cell r="AI28">
            <v>5423.7868912896693</v>
          </cell>
          <cell r="AJ28">
            <v>1397.2131087103307</v>
          </cell>
          <cell r="AP28">
            <v>14.0322</v>
          </cell>
          <cell r="AQ28">
            <v>18</v>
          </cell>
          <cell r="AR28">
            <v>35</v>
          </cell>
        </row>
        <row r="29">
          <cell r="A29" t="str">
            <v>8160-01-129</v>
          </cell>
          <cell r="B29" t="str">
            <v>Shy Datika</v>
          </cell>
          <cell r="C29" t="str">
            <v>023942162</v>
          </cell>
          <cell r="D29" t="e">
            <v>#REF!</v>
          </cell>
          <cell r="F29" t="str">
            <v>שי דתיקה</v>
          </cell>
          <cell r="G29" t="str">
            <v>I</v>
          </cell>
          <cell r="I29">
            <v>500000</v>
          </cell>
          <cell r="J29">
            <v>6.8378553848835967E-3</v>
          </cell>
          <cell r="K29">
            <v>2938.1828926314379</v>
          </cell>
          <cell r="L29">
            <v>14053.573042841526</v>
          </cell>
          <cell r="M29">
            <v>17</v>
          </cell>
          <cell r="N29">
            <v>43</v>
          </cell>
          <cell r="O29">
            <v>17052</v>
          </cell>
          <cell r="P29">
            <v>734.54572315785947</v>
          </cell>
          <cell r="Q29">
            <v>386.53473380270015</v>
          </cell>
          <cell r="R29">
            <v>-386.53473380270015</v>
          </cell>
          <cell r="S29">
            <v>348.01098935515932</v>
          </cell>
          <cell r="T29">
            <v>348.01098935515932</v>
          </cell>
          <cell r="U29" t="str">
            <v>X</v>
          </cell>
          <cell r="W29">
            <v>16704</v>
          </cell>
          <cell r="X29">
            <v>166666.666</v>
          </cell>
          <cell r="Y29">
            <v>95800.5</v>
          </cell>
          <cell r="Z29">
            <v>21250</v>
          </cell>
          <cell r="AA29">
            <v>0</v>
          </cell>
          <cell r="AB29">
            <v>66306</v>
          </cell>
          <cell r="AC29" t="e">
            <v>#REF!</v>
          </cell>
          <cell r="AD29">
            <v>17052</v>
          </cell>
          <cell r="AE29">
            <v>348.01098935515932</v>
          </cell>
          <cell r="AF29">
            <v>16704</v>
          </cell>
          <cell r="AG29">
            <v>734.54572315785947</v>
          </cell>
          <cell r="AI29">
            <v>13559.467228224172</v>
          </cell>
          <cell r="AJ29">
            <v>3492.5327717758282</v>
          </cell>
          <cell r="AP29">
            <v>35.078399999999995</v>
          </cell>
          <cell r="AQ29">
            <v>35.078399999999995</v>
          </cell>
          <cell r="AR29">
            <v>35</v>
          </cell>
        </row>
        <row r="30">
          <cell r="A30" t="str">
            <v>8160-01-130</v>
          </cell>
          <cell r="B30" t="str">
            <v>Solog Industrial Buildings LTD</v>
          </cell>
          <cell r="C30">
            <v>512170234</v>
          </cell>
          <cell r="D30" t="e">
            <v>#REF!</v>
          </cell>
          <cell r="E30" t="str">
            <v>Solog Industrial Buildings LTD</v>
          </cell>
          <cell r="F30" t="str">
            <v>סולוג מבני תעשייה (1995) בע"מ</v>
          </cell>
          <cell r="G30" t="str">
            <v>I</v>
          </cell>
          <cell r="I30">
            <v>210014</v>
          </cell>
          <cell r="J30">
            <v>2.8720907216018875E-3</v>
          </cell>
          <cell r="K30">
            <v>1234.1190840261977</v>
          </cell>
          <cell r="L30">
            <v>5902.8941780386403</v>
          </cell>
          <cell r="M30">
            <v>-2595</v>
          </cell>
          <cell r="N30">
            <v>-6263</v>
          </cell>
          <cell r="O30">
            <v>-1721</v>
          </cell>
          <cell r="Q30">
            <v>162.35541116968054</v>
          </cell>
          <cell r="T30">
            <v>0</v>
          </cell>
          <cell r="U30" t="str">
            <v>V</v>
          </cell>
          <cell r="V30">
            <v>162.35541116968054</v>
          </cell>
          <cell r="W30">
            <v>-1721</v>
          </cell>
          <cell r="X30" t="e">
            <v>#N/A</v>
          </cell>
          <cell r="Y30" t="e">
            <v>#N/A</v>
          </cell>
          <cell r="Z30" t="e">
            <v>#N/A</v>
          </cell>
          <cell r="AA30" t="e">
            <v>#N/A</v>
          </cell>
          <cell r="AB30" t="e">
            <v>#N/A</v>
          </cell>
          <cell r="AC30" t="e">
            <v>#REF!</v>
          </cell>
          <cell r="AD30">
            <v>-1721</v>
          </cell>
          <cell r="AE30">
            <v>0</v>
          </cell>
          <cell r="AF30">
            <v>-1721</v>
          </cell>
          <cell r="AG30">
            <v>162.35541116968054</v>
          </cell>
          <cell r="AI30">
            <v>5695.3559009365426</v>
          </cell>
          <cell r="AJ30">
            <v>-7416.3559009365426</v>
          </cell>
          <cell r="AP30">
            <v>-3.6140999999999996</v>
          </cell>
          <cell r="AQ30">
            <v>18</v>
          </cell>
          <cell r="AR30">
            <v>35</v>
          </cell>
        </row>
        <row r="31">
          <cell r="A31" t="str">
            <v>8160-01-131</v>
          </cell>
          <cell r="B31" t="str">
            <v>The Ehud Sol Company</v>
          </cell>
          <cell r="C31">
            <v>514299676</v>
          </cell>
          <cell r="D31" t="e">
            <v>#REF!</v>
          </cell>
          <cell r="E31" t="str">
            <v>The Ehud Sol Company</v>
          </cell>
          <cell r="F31" t="str">
            <v>חברת אהוד סול</v>
          </cell>
          <cell r="G31" t="str">
            <v>I</v>
          </cell>
          <cell r="I31">
            <v>250000</v>
          </cell>
          <cell r="J31">
            <v>3.4189276924417983E-3</v>
          </cell>
          <cell r="K31">
            <v>1469.0914463157189</v>
          </cell>
          <cell r="L31">
            <v>7026.7865214207632</v>
          </cell>
          <cell r="M31">
            <v>9</v>
          </cell>
          <cell r="N31">
            <v>21</v>
          </cell>
          <cell r="O31">
            <v>8526</v>
          </cell>
          <cell r="P31">
            <v>367.27286157892974</v>
          </cell>
          <cell r="Q31">
            <v>193.26736690135007</v>
          </cell>
          <cell r="R31">
            <v>-193.26736690135007</v>
          </cell>
          <cell r="S31">
            <v>174.00549467757966</v>
          </cell>
          <cell r="T31">
            <v>174.00549467757966</v>
          </cell>
          <cell r="U31" t="str">
            <v>X</v>
          </cell>
          <cell r="W31">
            <v>8352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 t="e">
            <v>#N/A</v>
          </cell>
          <cell r="AC31" t="e">
            <v>#REF!</v>
          </cell>
          <cell r="AD31">
            <v>8526</v>
          </cell>
          <cell r="AE31">
            <v>174.00549467757966</v>
          </cell>
          <cell r="AF31">
            <v>8352</v>
          </cell>
          <cell r="AG31">
            <v>367.27286157892974</v>
          </cell>
          <cell r="AI31">
            <v>6779.7336141120859</v>
          </cell>
          <cell r="AJ31">
            <v>1746.2663858879141</v>
          </cell>
          <cell r="AP31">
            <v>17.539199999999997</v>
          </cell>
          <cell r="AQ31">
            <v>18</v>
          </cell>
          <cell r="AR31">
            <v>35</v>
          </cell>
        </row>
        <row r="32">
          <cell r="A32" t="str">
            <v>8160-01-132</v>
          </cell>
          <cell r="B32" t="str">
            <v>Anat (Shay) Loterbach</v>
          </cell>
          <cell r="C32" t="str">
            <v>057105652</v>
          </cell>
          <cell r="D32" t="e">
            <v>#REF!</v>
          </cell>
          <cell r="F32" t="str">
            <v>ענת לוטרבך</v>
          </cell>
          <cell r="G32" t="str">
            <v>I</v>
          </cell>
          <cell r="H32" t="str">
            <v>Phoenix</v>
          </cell>
          <cell r="I32">
            <v>250000</v>
          </cell>
          <cell r="J32">
            <v>3.4189276924417983E-3</v>
          </cell>
          <cell r="K32">
            <v>1469.0914463157189</v>
          </cell>
          <cell r="L32">
            <v>7026.7865214207632</v>
          </cell>
          <cell r="M32">
            <v>9</v>
          </cell>
          <cell r="N32">
            <v>21</v>
          </cell>
          <cell r="O32">
            <v>8526</v>
          </cell>
          <cell r="Q32">
            <v>193.26736690135007</v>
          </cell>
          <cell r="T32">
            <v>0</v>
          </cell>
          <cell r="U32" t="str">
            <v>IRA</v>
          </cell>
          <cell r="V32">
            <v>193.26736690135007</v>
          </cell>
          <cell r="W32">
            <v>8526</v>
          </cell>
          <cell r="X32">
            <v>83333.332999999999</v>
          </cell>
          <cell r="Y32">
            <v>47900.25</v>
          </cell>
          <cell r="Z32">
            <v>10625</v>
          </cell>
          <cell r="AA32">
            <v>0</v>
          </cell>
          <cell r="AB32">
            <v>33153</v>
          </cell>
          <cell r="AC32" t="e">
            <v>#REF!</v>
          </cell>
          <cell r="AD32">
            <v>8526</v>
          </cell>
          <cell r="AE32">
            <v>0</v>
          </cell>
          <cell r="AF32">
            <v>8526</v>
          </cell>
          <cell r="AG32">
            <v>193.26736690135007</v>
          </cell>
          <cell r="AI32">
            <v>6779.7336141120859</v>
          </cell>
          <cell r="AJ32">
            <v>1746.2663858879141</v>
          </cell>
          <cell r="AP32">
            <v>17.904599999999999</v>
          </cell>
          <cell r="AQ32">
            <v>18</v>
          </cell>
          <cell r="AR32">
            <v>35</v>
          </cell>
        </row>
        <row r="33">
          <cell r="A33" t="str">
            <v>8160-01-133</v>
          </cell>
          <cell r="B33" t="str">
            <v>Moshe Arkin</v>
          </cell>
          <cell r="C33" t="str">
            <v>051643062</v>
          </cell>
          <cell r="D33" t="e">
            <v>#REF!</v>
          </cell>
          <cell r="F33" t="str">
            <v>משה ארקין</v>
          </cell>
          <cell r="G33" t="str">
            <v>I</v>
          </cell>
          <cell r="H33" t="str">
            <v>Phoenix</v>
          </cell>
          <cell r="I33">
            <v>500000</v>
          </cell>
          <cell r="J33">
            <v>6.8378553848835967E-3</v>
          </cell>
          <cell r="K33">
            <v>2938.1828926314379</v>
          </cell>
          <cell r="L33">
            <v>14053.573042841526</v>
          </cell>
          <cell r="M33">
            <v>17</v>
          </cell>
          <cell r="N33">
            <v>43</v>
          </cell>
          <cell r="O33">
            <v>17052</v>
          </cell>
          <cell r="Q33">
            <v>386.53473380270015</v>
          </cell>
          <cell r="T33">
            <v>0</v>
          </cell>
          <cell r="U33" t="str">
            <v>IRA</v>
          </cell>
          <cell r="V33">
            <v>386.53473380270015</v>
          </cell>
          <cell r="W33">
            <v>17052</v>
          </cell>
          <cell r="X33">
            <v>166666.666</v>
          </cell>
          <cell r="Y33">
            <v>95800.5</v>
          </cell>
          <cell r="Z33">
            <v>21250</v>
          </cell>
          <cell r="AA33">
            <v>0</v>
          </cell>
          <cell r="AB33">
            <v>66306</v>
          </cell>
          <cell r="AC33" t="e">
            <v>#REF!</v>
          </cell>
          <cell r="AD33">
            <v>17052</v>
          </cell>
          <cell r="AE33">
            <v>0</v>
          </cell>
          <cell r="AF33">
            <v>17052</v>
          </cell>
          <cell r="AG33">
            <v>386.53473380270015</v>
          </cell>
          <cell r="AI33">
            <v>13559.467228224172</v>
          </cell>
          <cell r="AJ33">
            <v>3492.5327717758282</v>
          </cell>
          <cell r="AP33">
            <v>35.809199999999997</v>
          </cell>
          <cell r="AQ33">
            <v>35.809199999999997</v>
          </cell>
          <cell r="AR33">
            <v>35</v>
          </cell>
        </row>
        <row r="34">
          <cell r="A34" t="str">
            <v>8160-01-134</v>
          </cell>
          <cell r="B34" t="str">
            <v>Yaron Sorek Holdings</v>
          </cell>
          <cell r="C34">
            <v>512875113</v>
          </cell>
          <cell r="D34" t="e">
            <v>#REF!</v>
          </cell>
          <cell r="E34" t="str">
            <v>Yaron Sorek Holdings</v>
          </cell>
          <cell r="F34" t="str">
            <v>ירון שורק החזקות</v>
          </cell>
          <cell r="G34" t="str">
            <v>I</v>
          </cell>
          <cell r="I34">
            <v>250000</v>
          </cell>
          <cell r="J34">
            <v>3.4189276924417983E-3</v>
          </cell>
          <cell r="K34">
            <v>1469.0914463157189</v>
          </cell>
          <cell r="L34">
            <v>7026.7865214207632</v>
          </cell>
          <cell r="M34">
            <v>9</v>
          </cell>
          <cell r="N34">
            <v>21</v>
          </cell>
          <cell r="O34">
            <v>8526</v>
          </cell>
          <cell r="Q34">
            <v>193.26736690135007</v>
          </cell>
          <cell r="T34">
            <v>0</v>
          </cell>
          <cell r="U34" t="str">
            <v>V</v>
          </cell>
          <cell r="V34">
            <v>193.26736690135007</v>
          </cell>
          <cell r="W34">
            <v>8526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 t="e">
            <v>#N/A</v>
          </cell>
          <cell r="AC34" t="e">
            <v>#REF!</v>
          </cell>
          <cell r="AD34">
            <v>8526</v>
          </cell>
          <cell r="AE34">
            <v>0</v>
          </cell>
          <cell r="AF34">
            <v>8526</v>
          </cell>
          <cell r="AG34">
            <v>193.26736690135007</v>
          </cell>
          <cell r="AI34">
            <v>6779.7336141120859</v>
          </cell>
          <cell r="AJ34">
            <v>1746.2663858879141</v>
          </cell>
          <cell r="AP34">
            <v>17.904599999999999</v>
          </cell>
          <cell r="AQ34">
            <v>18</v>
          </cell>
          <cell r="AR34">
            <v>35</v>
          </cell>
        </row>
        <row r="35">
          <cell r="A35" t="str">
            <v>8160-01-135</v>
          </cell>
          <cell r="B35" t="str">
            <v>Zafrir Engineers Ltd</v>
          </cell>
          <cell r="C35">
            <v>520042367</v>
          </cell>
          <cell r="D35" t="e">
            <v>#REF!</v>
          </cell>
          <cell r="E35" t="str">
            <v>Zafrir Engineers Ltd</v>
          </cell>
          <cell r="F35" t="str">
            <v>צפריר מהנדסים בע"מ</v>
          </cell>
          <cell r="G35" t="str">
            <v>I</v>
          </cell>
          <cell r="I35">
            <v>250000</v>
          </cell>
          <cell r="J35">
            <v>3.4189276924417983E-3</v>
          </cell>
          <cell r="K35">
            <v>1469.0914463157189</v>
          </cell>
          <cell r="L35">
            <v>7026.7865214207632</v>
          </cell>
          <cell r="M35">
            <v>9</v>
          </cell>
          <cell r="N35">
            <v>21</v>
          </cell>
          <cell r="O35">
            <v>8526</v>
          </cell>
          <cell r="Q35">
            <v>193.26736690135007</v>
          </cell>
          <cell r="T35">
            <v>0</v>
          </cell>
          <cell r="U35" t="str">
            <v>V</v>
          </cell>
          <cell r="V35">
            <v>193.26736690135007</v>
          </cell>
          <cell r="W35">
            <v>8526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  <cell r="AB35" t="e">
            <v>#N/A</v>
          </cell>
          <cell r="AC35" t="e">
            <v>#REF!</v>
          </cell>
          <cell r="AD35">
            <v>8526</v>
          </cell>
          <cell r="AE35">
            <v>0</v>
          </cell>
          <cell r="AF35">
            <v>8526</v>
          </cell>
          <cell r="AG35">
            <v>193.26736690135007</v>
          </cell>
          <cell r="AI35">
            <v>6779.7336141120859</v>
          </cell>
          <cell r="AJ35">
            <v>1746.2663858879141</v>
          </cell>
          <cell r="AP35">
            <v>17.904599999999999</v>
          </cell>
          <cell r="AQ35">
            <v>18</v>
          </cell>
          <cell r="AR35">
            <v>35</v>
          </cell>
        </row>
        <row r="36">
          <cell r="A36" t="str">
            <v>8160-01-136</v>
          </cell>
          <cell r="B36" t="str">
            <v>Zvi V &amp; Co Company</v>
          </cell>
          <cell r="C36">
            <v>512715970</v>
          </cell>
          <cell r="D36" t="e">
            <v>#REF!</v>
          </cell>
          <cell r="E36" t="str">
            <v>Zvi V &amp; Co Company</v>
          </cell>
          <cell r="F36" t="str">
            <v>חברת צבי ו. ושות' בע"מ</v>
          </cell>
          <cell r="G36" t="str">
            <v>I</v>
          </cell>
          <cell r="I36">
            <v>500000</v>
          </cell>
          <cell r="J36">
            <v>6.8378553848835967E-3</v>
          </cell>
          <cell r="K36">
            <v>2938.1828926314379</v>
          </cell>
          <cell r="L36">
            <v>14053.573042841526</v>
          </cell>
          <cell r="M36">
            <v>17</v>
          </cell>
          <cell r="N36">
            <v>43</v>
          </cell>
          <cell r="O36">
            <v>17052</v>
          </cell>
          <cell r="Q36">
            <v>386.53473380270015</v>
          </cell>
          <cell r="T36">
            <v>0</v>
          </cell>
          <cell r="U36" t="str">
            <v>V</v>
          </cell>
          <cell r="V36">
            <v>386.53473380270015</v>
          </cell>
          <cell r="W36">
            <v>17052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 t="e">
            <v>#N/A</v>
          </cell>
          <cell r="AC36" t="e">
            <v>#REF!</v>
          </cell>
          <cell r="AD36">
            <v>17052</v>
          </cell>
          <cell r="AE36">
            <v>0</v>
          </cell>
          <cell r="AF36">
            <v>17052</v>
          </cell>
          <cell r="AG36">
            <v>386.53473380270015</v>
          </cell>
          <cell r="AI36">
            <v>13559.467228224172</v>
          </cell>
          <cell r="AJ36">
            <v>3492.5327717758282</v>
          </cell>
          <cell r="AP36">
            <v>35.809199999999997</v>
          </cell>
          <cell r="AQ36">
            <v>35.809199999999997</v>
          </cell>
          <cell r="AR36">
            <v>35</v>
          </cell>
        </row>
        <row r="37">
          <cell r="A37" t="str">
            <v>8160-01-137</v>
          </cell>
          <cell r="B37" t="str">
            <v>ADIPAZ Israel Gold Jewllery LTD</v>
          </cell>
          <cell r="C37">
            <v>510606643</v>
          </cell>
          <cell r="D37" t="e">
            <v>#REF!</v>
          </cell>
          <cell r="E37" t="str">
            <v>ADIPAZ Israel Gold Jewllery LTD</v>
          </cell>
          <cell r="F37" t="str">
            <v>עדיפז תכשיטי זהב בישראל בע"מ</v>
          </cell>
          <cell r="G37" t="str">
            <v>I</v>
          </cell>
          <cell r="I37">
            <v>500000</v>
          </cell>
          <cell r="J37">
            <v>6.8378553848835967E-3</v>
          </cell>
          <cell r="K37">
            <v>2938.1828926314379</v>
          </cell>
          <cell r="L37">
            <v>14053.573042841526</v>
          </cell>
          <cell r="M37">
            <v>17</v>
          </cell>
          <cell r="N37">
            <v>43</v>
          </cell>
          <cell r="O37">
            <v>17052</v>
          </cell>
          <cell r="Q37">
            <v>386.53473380270015</v>
          </cell>
          <cell r="T37">
            <v>0</v>
          </cell>
          <cell r="U37" t="str">
            <v>V</v>
          </cell>
          <cell r="V37">
            <v>386.53473380270015</v>
          </cell>
          <cell r="W37">
            <v>17052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 t="e">
            <v>#N/A</v>
          </cell>
          <cell r="AC37" t="e">
            <v>#REF!</v>
          </cell>
          <cell r="AD37">
            <v>17052</v>
          </cell>
          <cell r="AE37">
            <v>0</v>
          </cell>
          <cell r="AF37">
            <v>17052</v>
          </cell>
          <cell r="AG37">
            <v>386.53473380270015</v>
          </cell>
          <cell r="AI37">
            <v>13559.467228224172</v>
          </cell>
          <cell r="AJ37">
            <v>3492.5327717758282</v>
          </cell>
          <cell r="AP37">
            <v>35.809199999999997</v>
          </cell>
          <cell r="AQ37">
            <v>35.809199999999997</v>
          </cell>
          <cell r="AR37">
            <v>35</v>
          </cell>
        </row>
        <row r="38">
          <cell r="A38" t="str">
            <v>8160-01-138</v>
          </cell>
          <cell r="B38" t="str">
            <v>E. Itzhaki Building &amp; Investments Co. Ltd</v>
          </cell>
          <cell r="C38" t="str">
            <v>510-063-647</v>
          </cell>
          <cell r="D38" t="e">
            <v>#REF!</v>
          </cell>
          <cell r="E38" t="str">
            <v>E. Itzhaki Building &amp; Investments Co. Ltd</v>
          </cell>
          <cell r="F38" t="str">
            <v>א יצחקי חברה לבנין והשקעות בע"מ</v>
          </cell>
          <cell r="G38" t="str">
            <v>I</v>
          </cell>
          <cell r="I38">
            <v>500000</v>
          </cell>
          <cell r="J38">
            <v>6.8378553848835967E-3</v>
          </cell>
          <cell r="K38">
            <v>2938.1828926314379</v>
          </cell>
          <cell r="L38">
            <v>14053.573042841526</v>
          </cell>
          <cell r="M38">
            <v>17</v>
          </cell>
          <cell r="N38">
            <v>43</v>
          </cell>
          <cell r="O38">
            <v>17052</v>
          </cell>
          <cell r="Q38">
            <v>386.53473380270015</v>
          </cell>
          <cell r="T38">
            <v>0</v>
          </cell>
          <cell r="U38" t="str">
            <v>V</v>
          </cell>
          <cell r="V38">
            <v>386.53473380270015</v>
          </cell>
          <cell r="W38">
            <v>17052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 t="e">
            <v>#N/A</v>
          </cell>
          <cell r="AC38" t="e">
            <v>#REF!</v>
          </cell>
          <cell r="AD38">
            <v>17052</v>
          </cell>
          <cell r="AE38">
            <v>0</v>
          </cell>
          <cell r="AF38">
            <v>17052</v>
          </cell>
          <cell r="AG38">
            <v>386.53473380270015</v>
          </cell>
          <cell r="AI38">
            <v>13559.467228224172</v>
          </cell>
          <cell r="AJ38">
            <v>3492.5327717758282</v>
          </cell>
          <cell r="AP38">
            <v>35.809199999999997</v>
          </cell>
          <cell r="AQ38">
            <v>35.809199999999997</v>
          </cell>
          <cell r="AR38">
            <v>35</v>
          </cell>
        </row>
        <row r="39">
          <cell r="A39" t="str">
            <v>8160-01-139</v>
          </cell>
          <cell r="B39" t="str">
            <v>Tamar Marash</v>
          </cell>
          <cell r="C39" t="str">
            <v>UTR 5882338352</v>
          </cell>
          <cell r="D39" t="e">
            <v>#REF!</v>
          </cell>
          <cell r="F39" t="str">
            <v>תמר מרש</v>
          </cell>
          <cell r="G39" t="str">
            <v>I</v>
          </cell>
          <cell r="I39">
            <v>400000</v>
          </cell>
          <cell r="J39">
            <v>5.4702843079068777E-3</v>
          </cell>
          <cell r="K39">
            <v>2350.5463141051505</v>
          </cell>
          <cell r="L39">
            <v>11242.858434273221</v>
          </cell>
          <cell r="M39">
            <v>14</v>
          </cell>
          <cell r="N39">
            <v>35</v>
          </cell>
          <cell r="O39">
            <v>13642</v>
          </cell>
          <cell r="P39">
            <v>587.63657852628762</v>
          </cell>
          <cell r="Q39">
            <v>309.22778704216012</v>
          </cell>
          <cell r="R39">
            <v>-309.22778704216012</v>
          </cell>
          <cell r="S39">
            <v>278.40879148412751</v>
          </cell>
          <cell r="T39">
            <v>278.40879148412751</v>
          </cell>
          <cell r="U39" t="str">
            <v>X</v>
          </cell>
          <cell r="W39">
            <v>13364</v>
          </cell>
          <cell r="X39">
            <v>133333.3328</v>
          </cell>
          <cell r="Y39">
            <v>76640</v>
          </cell>
          <cell r="Z39">
            <v>17000</v>
          </cell>
          <cell r="AA39">
            <v>0</v>
          </cell>
          <cell r="AB39">
            <v>53045</v>
          </cell>
          <cell r="AC39" t="e">
            <v>#REF!</v>
          </cell>
          <cell r="AD39">
            <v>13642</v>
          </cell>
          <cell r="AE39">
            <v>278.40879148412751</v>
          </cell>
          <cell r="AF39">
            <v>13364</v>
          </cell>
          <cell r="AG39">
            <v>587.63657852628762</v>
          </cell>
          <cell r="AI39">
            <v>10847.573782579339</v>
          </cell>
          <cell r="AJ39">
            <v>2794.4262174206615</v>
          </cell>
          <cell r="AP39">
            <v>28.064399999999999</v>
          </cell>
          <cell r="AQ39">
            <v>28.064399999999999</v>
          </cell>
          <cell r="AR39">
            <v>35</v>
          </cell>
        </row>
        <row r="40">
          <cell r="A40" t="str">
            <v>8160-01-140</v>
          </cell>
          <cell r="B40" t="str">
            <v>DO-TSACH LTD</v>
          </cell>
          <cell r="C40">
            <v>513229104</v>
          </cell>
          <cell r="D40" t="e">
            <v>#REF!</v>
          </cell>
          <cell r="E40" t="str">
            <v>DO-TSACH LTD</v>
          </cell>
          <cell r="F40" t="str">
            <v>דו - צח בע"מ</v>
          </cell>
          <cell r="G40" t="str">
            <v>I</v>
          </cell>
          <cell r="I40">
            <v>250000</v>
          </cell>
          <cell r="J40">
            <v>3.4189276924417983E-3</v>
          </cell>
          <cell r="K40">
            <v>1469.0914463157189</v>
          </cell>
          <cell r="L40">
            <v>7026.7865214207632</v>
          </cell>
          <cell r="M40">
            <v>9</v>
          </cell>
          <cell r="N40">
            <v>21</v>
          </cell>
          <cell r="O40">
            <v>8526</v>
          </cell>
          <cell r="Q40">
            <v>193.26736690135007</v>
          </cell>
          <cell r="T40">
            <v>0</v>
          </cell>
          <cell r="U40" t="str">
            <v>V</v>
          </cell>
          <cell r="V40">
            <v>193.26736690135007</v>
          </cell>
          <cell r="W40">
            <v>8526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 t="e">
            <v>#N/A</v>
          </cell>
          <cell r="AC40" t="e">
            <v>#REF!</v>
          </cell>
          <cell r="AD40">
            <v>8526</v>
          </cell>
          <cell r="AE40">
            <v>0</v>
          </cell>
          <cell r="AF40">
            <v>8526</v>
          </cell>
          <cell r="AG40">
            <v>193.26736690135007</v>
          </cell>
          <cell r="AI40">
            <v>6779.7336141120859</v>
          </cell>
          <cell r="AJ40">
            <v>1746.2663858879141</v>
          </cell>
          <cell r="AP40">
            <v>17.904599999999999</v>
          </cell>
          <cell r="AQ40">
            <v>18</v>
          </cell>
          <cell r="AR40">
            <v>35</v>
          </cell>
        </row>
        <row r="41">
          <cell r="A41" t="str">
            <v>8160-01-141</v>
          </cell>
          <cell r="B41" t="str">
            <v>Zohar Rapaport</v>
          </cell>
          <cell r="C41" t="str">
            <v>024945867</v>
          </cell>
          <cell r="D41" t="e">
            <v>#REF!</v>
          </cell>
          <cell r="F41" t="str">
            <v>זוהר רפפורט</v>
          </cell>
          <cell r="G41" t="str">
            <v>I</v>
          </cell>
          <cell r="I41">
            <v>300000</v>
          </cell>
          <cell r="J41">
            <v>4.1027132309301578E-3</v>
          </cell>
          <cell r="K41">
            <v>1762.9097355788626</v>
          </cell>
          <cell r="L41">
            <v>8432.1438257049158</v>
          </cell>
          <cell r="M41">
            <v>10</v>
          </cell>
          <cell r="N41">
            <v>25</v>
          </cell>
          <cell r="O41">
            <v>10230</v>
          </cell>
          <cell r="P41">
            <v>440.72743389471566</v>
          </cell>
          <cell r="Q41">
            <v>231.92084028162006</v>
          </cell>
          <cell r="R41">
            <v>-231.92084028162006</v>
          </cell>
          <cell r="S41">
            <v>208.8065936130956</v>
          </cell>
          <cell r="T41">
            <v>208.8065936130956</v>
          </cell>
          <cell r="U41" t="str">
            <v>X</v>
          </cell>
          <cell r="W41">
            <v>10021</v>
          </cell>
          <cell r="X41">
            <v>99999.999599999996</v>
          </cell>
          <cell r="Y41">
            <v>57480</v>
          </cell>
          <cell r="Z41">
            <v>12750</v>
          </cell>
          <cell r="AA41">
            <v>0</v>
          </cell>
          <cell r="AB41">
            <v>39784</v>
          </cell>
          <cell r="AC41" t="e">
            <v>#REF!</v>
          </cell>
          <cell r="AD41">
            <v>10230</v>
          </cell>
          <cell r="AE41">
            <v>208.8065936130956</v>
          </cell>
          <cell r="AF41">
            <v>10021</v>
          </cell>
          <cell r="AG41">
            <v>440.72743389471566</v>
          </cell>
          <cell r="AI41">
            <v>8135.6803369345025</v>
          </cell>
          <cell r="AJ41">
            <v>2094.3196630654975</v>
          </cell>
          <cell r="AP41">
            <v>21.0441</v>
          </cell>
          <cell r="AQ41">
            <v>21.0441</v>
          </cell>
          <cell r="AR41">
            <v>35</v>
          </cell>
        </row>
        <row r="42">
          <cell r="A42" t="str">
            <v>8160-01-142</v>
          </cell>
          <cell r="B42" t="str">
            <v>Shmuel Bezalel</v>
          </cell>
          <cell r="C42" t="str">
            <v>032170169</v>
          </cell>
          <cell r="D42" t="e">
            <v>#REF!</v>
          </cell>
          <cell r="F42" t="str">
            <v>שמואל בצלאל</v>
          </cell>
          <cell r="G42" t="str">
            <v>I</v>
          </cell>
          <cell r="I42">
            <v>250000</v>
          </cell>
          <cell r="J42">
            <v>3.4189276924417983E-3</v>
          </cell>
          <cell r="K42">
            <v>1469.0914463157189</v>
          </cell>
          <cell r="L42">
            <v>7026.7865214207632</v>
          </cell>
          <cell r="M42">
            <v>9</v>
          </cell>
          <cell r="N42">
            <v>21</v>
          </cell>
          <cell r="O42">
            <v>8526</v>
          </cell>
          <cell r="P42">
            <v>367.27286157892974</v>
          </cell>
          <cell r="Q42">
            <v>193.26736690135007</v>
          </cell>
          <cell r="R42">
            <v>-193.26736690135007</v>
          </cell>
          <cell r="S42">
            <v>174.00549467757966</v>
          </cell>
          <cell r="T42">
            <v>174.00549467757966</v>
          </cell>
          <cell r="U42" t="str">
            <v>X</v>
          </cell>
          <cell r="W42">
            <v>8352</v>
          </cell>
          <cell r="X42">
            <v>83333.332999999999</v>
          </cell>
          <cell r="Y42">
            <v>47900</v>
          </cell>
          <cell r="Z42">
            <v>10625</v>
          </cell>
          <cell r="AA42">
            <v>0</v>
          </cell>
          <cell r="AB42">
            <v>33153</v>
          </cell>
          <cell r="AC42" t="e">
            <v>#REF!</v>
          </cell>
          <cell r="AD42">
            <v>8526</v>
          </cell>
          <cell r="AE42">
            <v>174.00549467757966</v>
          </cell>
          <cell r="AF42">
            <v>8352</v>
          </cell>
          <cell r="AG42">
            <v>367.27286157892974</v>
          </cell>
          <cell r="AI42">
            <v>6779.7336141120859</v>
          </cell>
          <cell r="AJ42">
            <v>1746.2663858879141</v>
          </cell>
          <cell r="AP42">
            <v>17.539199999999997</v>
          </cell>
          <cell r="AQ42">
            <v>18</v>
          </cell>
          <cell r="AR42">
            <v>35</v>
          </cell>
        </row>
        <row r="43">
          <cell r="A43" t="str">
            <v>8160-01-143</v>
          </cell>
          <cell r="B43" t="str">
            <v>Yosi Buena</v>
          </cell>
          <cell r="C43" t="str">
            <v>030582126</v>
          </cell>
          <cell r="D43" t="e">
            <v>#REF!</v>
          </cell>
          <cell r="F43" t="str">
            <v>יוסף בואנו</v>
          </cell>
          <cell r="G43" t="str">
            <v>I</v>
          </cell>
          <cell r="H43" t="str">
            <v>Phoenix</v>
          </cell>
          <cell r="I43">
            <v>330000</v>
          </cell>
          <cell r="J43">
            <v>4.512984554023174E-3</v>
          </cell>
          <cell r="K43">
            <v>1939.2007091367491</v>
          </cell>
          <cell r="L43">
            <v>9275.3582082754074</v>
          </cell>
          <cell r="M43">
            <v>12</v>
          </cell>
          <cell r="N43">
            <v>29</v>
          </cell>
          <cell r="O43">
            <v>11256</v>
          </cell>
          <cell r="Q43">
            <v>255.1129243097821</v>
          </cell>
          <cell r="T43">
            <v>0</v>
          </cell>
          <cell r="U43" t="str">
            <v>IRA</v>
          </cell>
          <cell r="V43">
            <v>255.1129243097821</v>
          </cell>
          <cell r="W43">
            <v>11256</v>
          </cell>
          <cell r="X43">
            <v>109999.99956</v>
          </cell>
          <cell r="Y43">
            <v>63228</v>
          </cell>
          <cell r="Z43">
            <v>14025</v>
          </cell>
          <cell r="AA43">
            <v>0</v>
          </cell>
          <cell r="AB43">
            <v>43762</v>
          </cell>
          <cell r="AC43" t="e">
            <v>#REF!</v>
          </cell>
          <cell r="AD43">
            <v>11256</v>
          </cell>
          <cell r="AE43">
            <v>0</v>
          </cell>
          <cell r="AF43">
            <v>11256</v>
          </cell>
          <cell r="AG43">
            <v>255.1129243097821</v>
          </cell>
          <cell r="AI43">
            <v>8949.2483706279545</v>
          </cell>
          <cell r="AJ43">
            <v>2306.7516293720455</v>
          </cell>
          <cell r="AP43">
            <v>23.637599999999999</v>
          </cell>
          <cell r="AQ43">
            <v>23.637599999999999</v>
          </cell>
          <cell r="AR43">
            <v>35</v>
          </cell>
        </row>
        <row r="44">
          <cell r="A44" t="str">
            <v>8160-01-144</v>
          </cell>
          <cell r="B44" t="str">
            <v>Avi Barman</v>
          </cell>
          <cell r="C44" t="str">
            <v>055588800</v>
          </cell>
          <cell r="D44" t="e">
            <v>#REF!</v>
          </cell>
          <cell r="F44" t="str">
            <v>אברהם ברמן</v>
          </cell>
          <cell r="G44" t="str">
            <v>I</v>
          </cell>
          <cell r="H44" t="str">
            <v>Meitav</v>
          </cell>
          <cell r="I44">
            <v>250000</v>
          </cell>
          <cell r="J44">
            <v>3.4189276924417983E-3</v>
          </cell>
          <cell r="K44">
            <v>1469.0914463157189</v>
          </cell>
          <cell r="L44">
            <v>7026.7865214207632</v>
          </cell>
          <cell r="M44">
            <v>9</v>
          </cell>
          <cell r="N44">
            <v>21</v>
          </cell>
          <cell r="O44">
            <v>8526</v>
          </cell>
          <cell r="Q44">
            <v>193.26736690135007</v>
          </cell>
          <cell r="T44">
            <v>0</v>
          </cell>
          <cell r="U44" t="str">
            <v>IRA</v>
          </cell>
          <cell r="V44">
            <v>193.26736690135007</v>
          </cell>
          <cell r="W44">
            <v>8526</v>
          </cell>
          <cell r="X44">
            <v>83333.332999999999</v>
          </cell>
          <cell r="Y44">
            <v>47900.25</v>
          </cell>
          <cell r="Z44">
            <v>10625</v>
          </cell>
          <cell r="AA44">
            <v>0</v>
          </cell>
          <cell r="AB44">
            <v>33150.5</v>
          </cell>
          <cell r="AC44" t="e">
            <v>#REF!</v>
          </cell>
          <cell r="AD44">
            <v>8526</v>
          </cell>
          <cell r="AE44">
            <v>0</v>
          </cell>
          <cell r="AF44">
            <v>8526</v>
          </cell>
          <cell r="AG44">
            <v>193.26736690135007</v>
          </cell>
          <cell r="AI44">
            <v>6779.7336141120859</v>
          </cell>
          <cell r="AJ44">
            <v>1746.2663858879141</v>
          </cell>
          <cell r="AP44">
            <v>17.904599999999999</v>
          </cell>
          <cell r="AQ44">
            <v>18</v>
          </cell>
          <cell r="AR44">
            <v>35</v>
          </cell>
        </row>
        <row r="45">
          <cell r="A45" t="str">
            <v>8160-01-145</v>
          </cell>
          <cell r="B45" t="str">
            <v>Avigur Zmora</v>
          </cell>
          <cell r="C45" t="str">
            <v>025371055</v>
          </cell>
          <cell r="D45" t="e">
            <v>#REF!</v>
          </cell>
          <cell r="F45" t="str">
            <v>אביגור זמורה</v>
          </cell>
          <cell r="G45" t="str">
            <v>I</v>
          </cell>
          <cell r="H45" t="str">
            <v>Meitav</v>
          </cell>
          <cell r="I45">
            <v>283718</v>
          </cell>
          <cell r="J45">
            <v>3.8800453081768087E-3</v>
          </cell>
          <cell r="K45">
            <v>1667.2307478632126</v>
          </cell>
          <cell r="L45">
            <v>7974.5032731378242</v>
          </cell>
          <cell r="M45">
            <v>10</v>
          </cell>
          <cell r="N45">
            <v>24</v>
          </cell>
          <cell r="O45">
            <v>9676</v>
          </cell>
          <cell r="Q45">
            <v>219.33372321006897</v>
          </cell>
          <cell r="T45">
            <v>0</v>
          </cell>
          <cell r="U45" t="str">
            <v>IRA</v>
          </cell>
          <cell r="V45">
            <v>219.33372321006897</v>
          </cell>
          <cell r="W45">
            <v>9676</v>
          </cell>
          <cell r="X45">
            <v>166666.666</v>
          </cell>
          <cell r="Y45">
            <v>95800.5</v>
          </cell>
          <cell r="Z45">
            <v>21250</v>
          </cell>
          <cell r="AA45">
            <v>0</v>
          </cell>
          <cell r="AB45">
            <v>0</v>
          </cell>
          <cell r="AC45" t="e">
            <v>#REF!</v>
          </cell>
          <cell r="AD45">
            <v>9676</v>
          </cell>
          <cell r="AE45">
            <v>0</v>
          </cell>
          <cell r="AF45">
            <v>9676</v>
          </cell>
          <cell r="AG45">
            <v>219.33372321006897</v>
          </cell>
          <cell r="AI45">
            <v>7694.1298461146116</v>
          </cell>
          <cell r="AJ45">
            <v>1981.8701538853884</v>
          </cell>
          <cell r="AP45">
            <v>20.319599999999998</v>
          </cell>
          <cell r="AQ45">
            <v>20.319599999999998</v>
          </cell>
          <cell r="AR45">
            <v>35</v>
          </cell>
        </row>
        <row r="46">
          <cell r="A46" t="str">
            <v>8160-01-146</v>
          </cell>
          <cell r="B46" t="str">
            <v>Danielle Porat</v>
          </cell>
          <cell r="C46" t="str">
            <v>050468131</v>
          </cell>
          <cell r="D46" t="e">
            <v>#REF!</v>
          </cell>
          <cell r="F46" t="str">
            <v>דניאל פורת</v>
          </cell>
          <cell r="G46" t="str">
            <v>I</v>
          </cell>
          <cell r="H46" t="str">
            <v>Meitav</v>
          </cell>
          <cell r="I46">
            <v>250000</v>
          </cell>
          <cell r="J46">
            <v>3.4189276924417983E-3</v>
          </cell>
          <cell r="K46">
            <v>1469.0914463157189</v>
          </cell>
          <cell r="L46">
            <v>7026.7865214207632</v>
          </cell>
          <cell r="M46">
            <v>9</v>
          </cell>
          <cell r="N46">
            <v>21</v>
          </cell>
          <cell r="O46">
            <v>8526</v>
          </cell>
          <cell r="Q46">
            <v>193.26736690135007</v>
          </cell>
          <cell r="T46">
            <v>0</v>
          </cell>
          <cell r="U46" t="str">
            <v>IRA</v>
          </cell>
          <cell r="V46">
            <v>193.26736690135007</v>
          </cell>
          <cell r="W46">
            <v>8526</v>
          </cell>
          <cell r="X46">
            <v>83333.332999999999</v>
          </cell>
          <cell r="Y46">
            <v>47900.25</v>
          </cell>
          <cell r="Z46">
            <v>10625</v>
          </cell>
          <cell r="AA46">
            <v>0</v>
          </cell>
          <cell r="AB46">
            <v>33153</v>
          </cell>
          <cell r="AC46" t="e">
            <v>#REF!</v>
          </cell>
          <cell r="AD46">
            <v>8526</v>
          </cell>
          <cell r="AE46">
            <v>0</v>
          </cell>
          <cell r="AF46">
            <v>8526</v>
          </cell>
          <cell r="AG46">
            <v>193.26736690135007</v>
          </cell>
          <cell r="AI46">
            <v>6779.7336141120859</v>
          </cell>
          <cell r="AJ46">
            <v>1746.2663858879141</v>
          </cell>
          <cell r="AP46">
            <v>17.904599999999999</v>
          </cell>
          <cell r="AQ46">
            <v>18</v>
          </cell>
          <cell r="AR46">
            <v>35</v>
          </cell>
        </row>
        <row r="47">
          <cell r="A47" t="str">
            <v>8160-01-147</v>
          </cell>
          <cell r="B47" t="str">
            <v>Ilan Raviv</v>
          </cell>
          <cell r="C47" t="str">
            <v>068493931</v>
          </cell>
          <cell r="D47" t="e">
            <v>#REF!</v>
          </cell>
          <cell r="F47" t="str">
            <v>אילן רביב</v>
          </cell>
          <cell r="G47" t="str">
            <v>I</v>
          </cell>
          <cell r="H47" t="str">
            <v>Meitav</v>
          </cell>
          <cell r="I47">
            <v>320000</v>
          </cell>
          <cell r="J47">
            <v>4.3762274463255016E-3</v>
          </cell>
          <cell r="K47">
            <v>1880.4370512841201</v>
          </cell>
          <cell r="L47">
            <v>8994.286747418575</v>
          </cell>
          <cell r="M47">
            <v>11</v>
          </cell>
          <cell r="N47">
            <v>27</v>
          </cell>
          <cell r="O47">
            <v>10913</v>
          </cell>
          <cell r="Q47">
            <v>247.38222963372809</v>
          </cell>
          <cell r="T47">
            <v>0</v>
          </cell>
          <cell r="U47" t="str">
            <v>IRA</v>
          </cell>
          <cell r="V47">
            <v>247.38222963372809</v>
          </cell>
          <cell r="W47">
            <v>10913</v>
          </cell>
          <cell r="X47">
            <v>106666.66623999999</v>
          </cell>
          <cell r="Y47">
            <v>61312.32</v>
          </cell>
          <cell r="Z47">
            <v>13600</v>
          </cell>
          <cell r="AA47">
            <v>0</v>
          </cell>
          <cell r="AB47">
            <v>42436</v>
          </cell>
          <cell r="AC47" t="e">
            <v>#REF!</v>
          </cell>
          <cell r="AD47">
            <v>10913</v>
          </cell>
          <cell r="AE47">
            <v>0</v>
          </cell>
          <cell r="AF47">
            <v>10913</v>
          </cell>
          <cell r="AG47">
            <v>247.38222963372809</v>
          </cell>
          <cell r="AI47">
            <v>8678.059026063469</v>
          </cell>
          <cell r="AJ47">
            <v>2234.940973936531</v>
          </cell>
          <cell r="AP47">
            <v>22.917299999999997</v>
          </cell>
          <cell r="AQ47">
            <v>22.917299999999997</v>
          </cell>
          <cell r="AR47">
            <v>35</v>
          </cell>
        </row>
        <row r="48">
          <cell r="A48" t="str">
            <v>8160-01-148</v>
          </cell>
          <cell r="B48" t="str">
            <v>Natan Bigon</v>
          </cell>
          <cell r="C48" t="str">
            <v>065042640</v>
          </cell>
          <cell r="D48" t="e">
            <v>#REF!</v>
          </cell>
          <cell r="F48" t="str">
            <v>נתן ביגון</v>
          </cell>
          <cell r="G48" t="str">
            <v>I</v>
          </cell>
          <cell r="H48" t="str">
            <v>Meitav</v>
          </cell>
          <cell r="I48">
            <v>250000</v>
          </cell>
          <cell r="J48">
            <v>3.4189276924417983E-3</v>
          </cell>
          <cell r="K48">
            <v>1469.0914463157189</v>
          </cell>
          <cell r="L48">
            <v>7026.7865214207632</v>
          </cell>
          <cell r="M48">
            <v>9</v>
          </cell>
          <cell r="N48">
            <v>21</v>
          </cell>
          <cell r="O48">
            <v>8526</v>
          </cell>
          <cell r="Q48">
            <v>193.26736690135007</v>
          </cell>
          <cell r="T48">
            <v>0</v>
          </cell>
          <cell r="U48" t="str">
            <v>IRA</v>
          </cell>
          <cell r="V48">
            <v>193.26736690135007</v>
          </cell>
          <cell r="W48">
            <v>8526</v>
          </cell>
          <cell r="X48">
            <v>83333.332999999999</v>
          </cell>
          <cell r="Y48">
            <v>47900.25</v>
          </cell>
          <cell r="Z48">
            <v>10625</v>
          </cell>
          <cell r="AA48">
            <v>0</v>
          </cell>
          <cell r="AB48">
            <v>33153</v>
          </cell>
          <cell r="AC48" t="e">
            <v>#REF!</v>
          </cell>
          <cell r="AD48">
            <v>8526</v>
          </cell>
          <cell r="AE48">
            <v>0</v>
          </cell>
          <cell r="AF48">
            <v>8526</v>
          </cell>
          <cell r="AG48">
            <v>193.26736690135007</v>
          </cell>
          <cell r="AI48">
            <v>6779.7336141120859</v>
          </cell>
          <cell r="AJ48">
            <v>1746.2663858879141</v>
          </cell>
          <cell r="AP48">
            <v>17.904599999999999</v>
          </cell>
          <cell r="AQ48">
            <v>18</v>
          </cell>
          <cell r="AR48">
            <v>35</v>
          </cell>
        </row>
        <row r="49">
          <cell r="A49" t="str">
            <v>8160-01-149</v>
          </cell>
          <cell r="B49" t="str">
            <v>Shlomo Binyamin</v>
          </cell>
          <cell r="C49" t="str">
            <v>015125008</v>
          </cell>
          <cell r="D49" t="e">
            <v>#REF!</v>
          </cell>
          <cell r="F49" t="str">
            <v>סילביה בנימין</v>
          </cell>
          <cell r="G49" t="str">
            <v>I</v>
          </cell>
          <cell r="H49" t="str">
            <v>Meitav</v>
          </cell>
          <cell r="I49">
            <v>250000</v>
          </cell>
          <cell r="J49">
            <v>3.4189276924417983E-3</v>
          </cell>
          <cell r="K49">
            <v>1469.0914463157189</v>
          </cell>
          <cell r="L49">
            <v>7026.7865214207632</v>
          </cell>
          <cell r="M49">
            <v>9</v>
          </cell>
          <cell r="N49">
            <v>21</v>
          </cell>
          <cell r="O49">
            <v>8526</v>
          </cell>
          <cell r="Q49">
            <v>193.26736690135007</v>
          </cell>
          <cell r="T49">
            <v>0</v>
          </cell>
          <cell r="U49" t="str">
            <v>IRA</v>
          </cell>
          <cell r="V49">
            <v>193.26736690135007</v>
          </cell>
          <cell r="W49">
            <v>8526</v>
          </cell>
          <cell r="X49">
            <v>83333.332999999999</v>
          </cell>
          <cell r="Y49">
            <v>47900</v>
          </cell>
          <cell r="Z49">
            <v>10625</v>
          </cell>
          <cell r="AA49">
            <v>0</v>
          </cell>
          <cell r="AB49">
            <v>33153</v>
          </cell>
          <cell r="AC49" t="e">
            <v>#REF!</v>
          </cell>
          <cell r="AD49">
            <v>8526</v>
          </cell>
          <cell r="AE49">
            <v>0</v>
          </cell>
          <cell r="AF49">
            <v>8526</v>
          </cell>
          <cell r="AG49">
            <v>193.26736690135007</v>
          </cell>
          <cell r="AI49">
            <v>6779.7336141120859</v>
          </cell>
          <cell r="AJ49">
            <v>1746.2663858879141</v>
          </cell>
          <cell r="AP49">
            <v>17.904599999999999</v>
          </cell>
          <cell r="AQ49">
            <v>18</v>
          </cell>
          <cell r="AR49">
            <v>35</v>
          </cell>
        </row>
        <row r="50">
          <cell r="A50" t="str">
            <v>8160-01-150</v>
          </cell>
          <cell r="B50" t="str">
            <v>Aharon Shamir</v>
          </cell>
          <cell r="C50" t="str">
            <v>051292720</v>
          </cell>
          <cell r="D50" t="e">
            <v>#REF!</v>
          </cell>
          <cell r="F50" t="str">
            <v>אהרון שמיר</v>
          </cell>
          <cell r="G50" t="str">
            <v>I</v>
          </cell>
          <cell r="H50" t="str">
            <v>Meitav</v>
          </cell>
          <cell r="I50">
            <v>250000</v>
          </cell>
          <cell r="J50">
            <v>3.4189276924417983E-3</v>
          </cell>
          <cell r="K50">
            <v>1469.0914463157189</v>
          </cell>
          <cell r="L50">
            <v>7026.7865214207632</v>
          </cell>
          <cell r="M50">
            <v>9</v>
          </cell>
          <cell r="N50">
            <v>21</v>
          </cell>
          <cell r="O50">
            <v>8526</v>
          </cell>
          <cell r="Q50">
            <v>193.26736690135007</v>
          </cell>
          <cell r="T50">
            <v>0</v>
          </cell>
          <cell r="U50" t="str">
            <v>IRA</v>
          </cell>
          <cell r="V50">
            <v>193.26736690135007</v>
          </cell>
          <cell r="W50">
            <v>8526</v>
          </cell>
          <cell r="X50">
            <v>83333.332999999999</v>
          </cell>
          <cell r="Y50">
            <v>47900.25</v>
          </cell>
          <cell r="Z50">
            <v>10625</v>
          </cell>
          <cell r="AA50">
            <v>0</v>
          </cell>
          <cell r="AB50">
            <v>33153</v>
          </cell>
          <cell r="AC50" t="e">
            <v>#REF!</v>
          </cell>
          <cell r="AD50">
            <v>8526</v>
          </cell>
          <cell r="AE50">
            <v>0</v>
          </cell>
          <cell r="AF50">
            <v>8526</v>
          </cell>
          <cell r="AG50">
            <v>193.26736690135007</v>
          </cell>
          <cell r="AI50">
            <v>6779.7336141120859</v>
          </cell>
          <cell r="AJ50">
            <v>1746.2663858879141</v>
          </cell>
          <cell r="AP50">
            <v>17.904599999999999</v>
          </cell>
          <cell r="AQ50">
            <v>18</v>
          </cell>
          <cell r="AR50">
            <v>35</v>
          </cell>
        </row>
        <row r="51">
          <cell r="A51" t="str">
            <v>8160-01-151</v>
          </cell>
          <cell r="B51" t="str">
            <v>Amiram (Michaela) Vardi</v>
          </cell>
          <cell r="C51" t="str">
            <v>057184038</v>
          </cell>
          <cell r="D51" t="e">
            <v>#REF!</v>
          </cell>
          <cell r="F51" t="str">
            <v>ורדי מיכאלה</v>
          </cell>
          <cell r="G51" t="str">
            <v>I</v>
          </cell>
          <cell r="H51" t="str">
            <v>Meitav</v>
          </cell>
          <cell r="I51">
            <v>250000</v>
          </cell>
          <cell r="J51">
            <v>3.4189276924417983E-3</v>
          </cell>
          <cell r="K51">
            <v>1469.0914463157189</v>
          </cell>
          <cell r="L51">
            <v>7026.7865214207632</v>
          </cell>
          <cell r="M51">
            <v>9</v>
          </cell>
          <cell r="N51">
            <v>21</v>
          </cell>
          <cell r="O51">
            <v>8526</v>
          </cell>
          <cell r="Q51">
            <v>193.26736690135007</v>
          </cell>
          <cell r="T51">
            <v>0</v>
          </cell>
          <cell r="U51" t="str">
            <v>IRA</v>
          </cell>
          <cell r="V51">
            <v>193.26736690135007</v>
          </cell>
          <cell r="W51">
            <v>8526</v>
          </cell>
          <cell r="X51">
            <v>83333.332999999999</v>
          </cell>
          <cell r="Y51">
            <v>47900.25</v>
          </cell>
          <cell r="Z51">
            <v>10625</v>
          </cell>
          <cell r="AA51">
            <v>0</v>
          </cell>
          <cell r="AB51">
            <v>33153</v>
          </cell>
          <cell r="AC51" t="e">
            <v>#REF!</v>
          </cell>
          <cell r="AD51">
            <v>8526</v>
          </cell>
          <cell r="AE51">
            <v>0</v>
          </cell>
          <cell r="AF51">
            <v>8526</v>
          </cell>
          <cell r="AG51">
            <v>193.26736690135007</v>
          </cell>
          <cell r="AI51">
            <v>6779.7336141120859</v>
          </cell>
          <cell r="AJ51">
            <v>1746.2663858879141</v>
          </cell>
          <cell r="AP51">
            <v>17.904599999999999</v>
          </cell>
          <cell r="AQ51">
            <v>18</v>
          </cell>
          <cell r="AR51">
            <v>35</v>
          </cell>
        </row>
        <row r="52">
          <cell r="A52" t="str">
            <v>8160-01-152</v>
          </cell>
          <cell r="B52" t="str">
            <v>Eli Heiselbach</v>
          </cell>
          <cell r="C52" t="str">
            <v>057070971</v>
          </cell>
          <cell r="D52" t="e">
            <v>#REF!</v>
          </cell>
          <cell r="F52" t="str">
            <v>אליעזר היזלבק</v>
          </cell>
          <cell r="G52" t="str">
            <v>I</v>
          </cell>
          <cell r="H52" t="str">
            <v>Meitav</v>
          </cell>
          <cell r="I52">
            <v>350000</v>
          </cell>
          <cell r="J52">
            <v>4.7864987694185178E-3</v>
          </cell>
          <cell r="K52">
            <v>2056.7280248420066</v>
          </cell>
          <cell r="L52">
            <v>9837.5011299890684</v>
          </cell>
          <cell r="M52">
            <v>13</v>
          </cell>
          <cell r="N52">
            <v>30</v>
          </cell>
          <cell r="O52">
            <v>11937</v>
          </cell>
          <cell r="Q52">
            <v>270.57431366189007</v>
          </cell>
          <cell r="T52">
            <v>0</v>
          </cell>
          <cell r="U52" t="str">
            <v>IRA</v>
          </cell>
          <cell r="V52">
            <v>270.57431366189007</v>
          </cell>
          <cell r="W52">
            <v>11937</v>
          </cell>
          <cell r="X52">
            <v>116666.66619999999</v>
          </cell>
          <cell r="Y52">
            <v>67060.349999999991</v>
          </cell>
          <cell r="Z52">
            <v>14875</v>
          </cell>
          <cell r="AA52">
            <v>0</v>
          </cell>
          <cell r="AB52">
            <v>46414</v>
          </cell>
          <cell r="AC52" t="e">
            <v>#REF!</v>
          </cell>
          <cell r="AD52">
            <v>11937</v>
          </cell>
          <cell r="AE52">
            <v>0</v>
          </cell>
          <cell r="AF52">
            <v>11937</v>
          </cell>
          <cell r="AG52">
            <v>270.57431366189007</v>
          </cell>
          <cell r="AI52">
            <v>9491.6270597569201</v>
          </cell>
          <cell r="AJ52">
            <v>2445.3729402430799</v>
          </cell>
          <cell r="AP52">
            <v>25.067699999999999</v>
          </cell>
          <cell r="AQ52">
            <v>25.067699999999999</v>
          </cell>
          <cell r="AR52">
            <v>35</v>
          </cell>
        </row>
        <row r="53">
          <cell r="A53" t="str">
            <v>8160-01-153</v>
          </cell>
          <cell r="B53" t="str">
            <v>Gal Toren</v>
          </cell>
          <cell r="C53" t="str">
            <v>053410270</v>
          </cell>
          <cell r="D53" t="e">
            <v>#REF!</v>
          </cell>
          <cell r="F53" t="str">
            <v>גל יוסף תורן</v>
          </cell>
          <cell r="G53" t="str">
            <v>I</v>
          </cell>
          <cell r="H53" t="str">
            <v>Meitav</v>
          </cell>
          <cell r="I53">
            <v>270000</v>
          </cell>
          <cell r="J53">
            <v>3.6924419078371421E-3</v>
          </cell>
          <cell r="K53">
            <v>1586.6187620209764</v>
          </cell>
          <cell r="L53">
            <v>7588.9294431344233</v>
          </cell>
          <cell r="M53">
            <v>10</v>
          </cell>
          <cell r="N53">
            <v>23</v>
          </cell>
          <cell r="O53">
            <v>9209</v>
          </cell>
          <cell r="Q53">
            <v>208.72875625345807</v>
          </cell>
          <cell r="T53">
            <v>0</v>
          </cell>
          <cell r="U53" t="str">
            <v>IRA</v>
          </cell>
          <cell r="V53">
            <v>208.72875625345807</v>
          </cell>
          <cell r="W53">
            <v>9209</v>
          </cell>
          <cell r="X53">
            <v>89999.999639999995</v>
          </cell>
          <cell r="Y53">
            <v>51732.27</v>
          </cell>
          <cell r="Z53">
            <v>11475</v>
          </cell>
          <cell r="AA53">
            <v>0</v>
          </cell>
          <cell r="AB53">
            <v>35805</v>
          </cell>
          <cell r="AC53" t="e">
            <v>#REF!</v>
          </cell>
          <cell r="AD53">
            <v>9209</v>
          </cell>
          <cell r="AE53">
            <v>0</v>
          </cell>
          <cell r="AF53">
            <v>9209</v>
          </cell>
          <cell r="AG53">
            <v>208.72875625345807</v>
          </cell>
          <cell r="AI53">
            <v>7322.1123032410533</v>
          </cell>
          <cell r="AJ53">
            <v>1886.8876967589467</v>
          </cell>
          <cell r="AP53">
            <v>19.338899999999999</v>
          </cell>
          <cell r="AQ53">
            <v>19.338899999999999</v>
          </cell>
          <cell r="AR53">
            <v>35</v>
          </cell>
        </row>
        <row r="54">
          <cell r="A54" t="str">
            <v>8160-01-154</v>
          </cell>
          <cell r="B54" t="str">
            <v>Oren Hadar</v>
          </cell>
          <cell r="C54" t="str">
            <v>029495389</v>
          </cell>
          <cell r="D54" t="e">
            <v>#REF!</v>
          </cell>
          <cell r="F54" t="str">
            <v>אורן יהונדב הדר</v>
          </cell>
          <cell r="G54" t="str">
            <v>I</v>
          </cell>
          <cell r="H54" t="str">
            <v>Meitav</v>
          </cell>
          <cell r="I54">
            <v>330000</v>
          </cell>
          <cell r="J54">
            <v>4.512984554023174E-3</v>
          </cell>
          <cell r="K54">
            <v>1939.2007091367491</v>
          </cell>
          <cell r="L54">
            <v>9275.3582082754074</v>
          </cell>
          <cell r="M54">
            <v>12</v>
          </cell>
          <cell r="N54">
            <v>29</v>
          </cell>
          <cell r="O54">
            <v>11256</v>
          </cell>
          <cell r="Q54">
            <v>255.1129243097821</v>
          </cell>
          <cell r="T54">
            <v>0</v>
          </cell>
          <cell r="U54" t="str">
            <v>IRA</v>
          </cell>
          <cell r="V54">
            <v>255.1129243097821</v>
          </cell>
          <cell r="W54">
            <v>11256</v>
          </cell>
          <cell r="X54">
            <v>109999.99956</v>
          </cell>
          <cell r="Y54">
            <v>63228.329999999994</v>
          </cell>
          <cell r="Z54">
            <v>14025</v>
          </cell>
          <cell r="AA54">
            <v>0</v>
          </cell>
          <cell r="AB54">
            <v>43762</v>
          </cell>
          <cell r="AC54" t="e">
            <v>#REF!</v>
          </cell>
          <cell r="AD54">
            <v>11256</v>
          </cell>
          <cell r="AE54">
            <v>0</v>
          </cell>
          <cell r="AF54">
            <v>11256</v>
          </cell>
          <cell r="AG54">
            <v>255.1129243097821</v>
          </cell>
          <cell r="AI54">
            <v>8949.2483706279545</v>
          </cell>
          <cell r="AJ54">
            <v>2306.7516293720455</v>
          </cell>
          <cell r="AP54">
            <v>23.637599999999999</v>
          </cell>
          <cell r="AQ54">
            <v>23.637599999999999</v>
          </cell>
          <cell r="AR54">
            <v>35</v>
          </cell>
        </row>
        <row r="55">
          <cell r="A55" t="str">
            <v>8160-01-155</v>
          </cell>
          <cell r="B55" t="str">
            <v>Shmuel Heiselbach</v>
          </cell>
          <cell r="C55" t="str">
            <v>022801732</v>
          </cell>
          <cell r="D55" t="e">
            <v>#REF!</v>
          </cell>
          <cell r="F55" t="str">
            <v>שמואל היזלבק</v>
          </cell>
          <cell r="G55" t="str">
            <v>I</v>
          </cell>
          <cell r="H55" t="str">
            <v>Meitav</v>
          </cell>
          <cell r="I55">
            <v>350000</v>
          </cell>
          <cell r="J55">
            <v>4.7864987694185178E-3</v>
          </cell>
          <cell r="K55">
            <v>2056.7280248420066</v>
          </cell>
          <cell r="L55">
            <v>9837.5011299890684</v>
          </cell>
          <cell r="M55">
            <v>13</v>
          </cell>
          <cell r="N55">
            <v>30</v>
          </cell>
          <cell r="O55">
            <v>11937</v>
          </cell>
          <cell r="Q55">
            <v>270.57431366189007</v>
          </cell>
          <cell r="T55">
            <v>0</v>
          </cell>
          <cell r="U55" t="str">
            <v>IRA</v>
          </cell>
          <cell r="V55">
            <v>270.57431366189007</v>
          </cell>
          <cell r="W55">
            <v>11937</v>
          </cell>
          <cell r="X55">
            <v>116666.66619999999</v>
          </cell>
          <cell r="Y55">
            <v>67060</v>
          </cell>
          <cell r="Z55">
            <v>14875</v>
          </cell>
          <cell r="AA55">
            <v>0</v>
          </cell>
          <cell r="AB55">
            <v>46414</v>
          </cell>
          <cell r="AC55" t="e">
            <v>#REF!</v>
          </cell>
          <cell r="AD55">
            <v>11937</v>
          </cell>
          <cell r="AE55">
            <v>0</v>
          </cell>
          <cell r="AF55">
            <v>11937</v>
          </cell>
          <cell r="AG55">
            <v>270.57431366189007</v>
          </cell>
          <cell r="AI55">
            <v>9491.6270597569201</v>
          </cell>
          <cell r="AJ55">
            <v>2445.3729402430799</v>
          </cell>
          <cell r="AP55">
            <v>25.067699999999999</v>
          </cell>
          <cell r="AQ55">
            <v>25.067699999999999</v>
          </cell>
          <cell r="AR55">
            <v>35</v>
          </cell>
        </row>
        <row r="56">
          <cell r="A56" t="str">
            <v>8160-01-157</v>
          </cell>
          <cell r="B56" t="str">
            <v>Gili Yohanany</v>
          </cell>
          <cell r="C56" t="str">
            <v>054175021</v>
          </cell>
          <cell r="D56" t="e">
            <v>#REF!</v>
          </cell>
          <cell r="F56" t="str">
            <v>גילי יוחנני</v>
          </cell>
          <cell r="G56" t="str">
            <v>I</v>
          </cell>
          <cell r="H56" t="str">
            <v>Meitav</v>
          </cell>
          <cell r="I56">
            <v>200000</v>
          </cell>
          <cell r="J56">
            <v>2.7351421539534388E-3</v>
          </cell>
          <cell r="K56">
            <v>1175.2731570525752</v>
          </cell>
          <cell r="L56">
            <v>5621.4292171366105</v>
          </cell>
          <cell r="M56">
            <v>7</v>
          </cell>
          <cell r="N56">
            <v>17</v>
          </cell>
          <cell r="O56">
            <v>6821</v>
          </cell>
          <cell r="Q56">
            <v>154.61389352108006</v>
          </cell>
          <cell r="T56">
            <v>0</v>
          </cell>
          <cell r="U56" t="str">
            <v>IRA</v>
          </cell>
          <cell r="V56">
            <v>154.61389352108006</v>
          </cell>
          <cell r="W56">
            <v>6821</v>
          </cell>
          <cell r="X56">
            <v>66666.666400000002</v>
          </cell>
          <cell r="Y56">
            <v>38320.199999999997</v>
          </cell>
          <cell r="Z56">
            <v>8497.5</v>
          </cell>
          <cell r="AA56">
            <v>0</v>
          </cell>
          <cell r="AB56">
            <v>26525</v>
          </cell>
          <cell r="AC56" t="e">
            <v>#REF!</v>
          </cell>
          <cell r="AD56">
            <v>6821</v>
          </cell>
          <cell r="AE56">
            <v>0</v>
          </cell>
          <cell r="AF56">
            <v>6821</v>
          </cell>
          <cell r="AG56">
            <v>154.61389352108006</v>
          </cell>
          <cell r="AI56">
            <v>5423.7868912896693</v>
          </cell>
          <cell r="AJ56">
            <v>1397.2131087103307</v>
          </cell>
          <cell r="AP56">
            <v>14.3241</v>
          </cell>
          <cell r="AQ56">
            <v>18</v>
          </cell>
          <cell r="AR56">
            <v>35</v>
          </cell>
        </row>
        <row r="57">
          <cell r="A57" t="str">
            <v>8160-01-158</v>
          </cell>
          <cell r="B57" t="str">
            <v>Alon Reshef</v>
          </cell>
          <cell r="C57" t="str">
            <v>057069510</v>
          </cell>
          <cell r="D57" t="e">
            <v>#REF!</v>
          </cell>
          <cell r="F57" t="str">
            <v>אלון רשף</v>
          </cell>
          <cell r="G57" t="str">
            <v>I</v>
          </cell>
          <cell r="H57" t="str">
            <v>Meitav</v>
          </cell>
          <cell r="I57">
            <v>300000</v>
          </cell>
          <cell r="J57">
            <v>4.1027132309301578E-3</v>
          </cell>
          <cell r="K57">
            <v>1762.9097355788626</v>
          </cell>
          <cell r="L57">
            <v>8432.1438257049158</v>
          </cell>
          <cell r="M57">
            <v>10</v>
          </cell>
          <cell r="N57">
            <v>25</v>
          </cell>
          <cell r="O57">
            <v>10230</v>
          </cell>
          <cell r="Q57">
            <v>231.92084028162006</v>
          </cell>
          <cell r="T57">
            <v>0</v>
          </cell>
          <cell r="U57" t="str">
            <v>IRA</v>
          </cell>
          <cell r="V57">
            <v>231.92084028162006</v>
          </cell>
          <cell r="W57">
            <v>10230</v>
          </cell>
          <cell r="X57">
            <v>99999.999599999996</v>
          </cell>
          <cell r="Y57">
            <v>57480.299999999996</v>
          </cell>
          <cell r="Z57">
            <v>12750</v>
          </cell>
          <cell r="AA57">
            <v>0</v>
          </cell>
          <cell r="AB57">
            <v>39784</v>
          </cell>
          <cell r="AC57" t="e">
            <v>#REF!</v>
          </cell>
          <cell r="AD57">
            <v>10230</v>
          </cell>
          <cell r="AE57">
            <v>0</v>
          </cell>
          <cell r="AF57">
            <v>10230</v>
          </cell>
          <cell r="AG57">
            <v>231.92084028162006</v>
          </cell>
          <cell r="AI57">
            <v>8135.6803369345025</v>
          </cell>
          <cell r="AJ57">
            <v>2094.3196630654975</v>
          </cell>
          <cell r="AP57">
            <v>21.482999999999997</v>
          </cell>
          <cell r="AQ57">
            <v>21.482999999999997</v>
          </cell>
          <cell r="AR57">
            <v>35</v>
          </cell>
        </row>
        <row r="58">
          <cell r="A58" t="str">
            <v>8160-01-159</v>
          </cell>
          <cell r="B58" t="str">
            <v>Dan Kampel</v>
          </cell>
          <cell r="C58" t="str">
            <v>050596741</v>
          </cell>
          <cell r="D58" t="e">
            <v>#REF!</v>
          </cell>
          <cell r="F58" t="str">
            <v>דן שמואל קמפל</v>
          </cell>
          <cell r="G58" t="str">
            <v>I</v>
          </cell>
          <cell r="H58" t="str">
            <v>Meitav</v>
          </cell>
          <cell r="I58">
            <v>250000</v>
          </cell>
          <cell r="J58">
            <v>3.4189276924417983E-3</v>
          </cell>
          <cell r="K58">
            <v>1469.0914463157189</v>
          </cell>
          <cell r="L58">
            <v>7026.7865214207632</v>
          </cell>
          <cell r="M58">
            <v>9</v>
          </cell>
          <cell r="N58">
            <v>21</v>
          </cell>
          <cell r="O58">
            <v>8526</v>
          </cell>
          <cell r="Q58">
            <v>193.26736690135007</v>
          </cell>
          <cell r="T58">
            <v>0</v>
          </cell>
          <cell r="U58" t="str">
            <v>IRA</v>
          </cell>
          <cell r="V58">
            <v>193.26736690135007</v>
          </cell>
          <cell r="W58">
            <v>8526</v>
          </cell>
          <cell r="X58">
            <v>83333.332999999999</v>
          </cell>
          <cell r="Y58">
            <v>47900.25</v>
          </cell>
          <cell r="Z58">
            <v>10625</v>
          </cell>
          <cell r="AA58">
            <v>0</v>
          </cell>
          <cell r="AB58">
            <v>33153</v>
          </cell>
          <cell r="AC58" t="e">
            <v>#REF!</v>
          </cell>
          <cell r="AD58">
            <v>8526</v>
          </cell>
          <cell r="AE58">
            <v>0</v>
          </cell>
          <cell r="AF58">
            <v>8526</v>
          </cell>
          <cell r="AG58">
            <v>193.26736690135007</v>
          </cell>
          <cell r="AI58">
            <v>6779.7336141120859</v>
          </cell>
          <cell r="AJ58">
            <v>1746.2663858879141</v>
          </cell>
          <cell r="AP58">
            <v>17.904599999999999</v>
          </cell>
          <cell r="AQ58">
            <v>18</v>
          </cell>
          <cell r="AR58">
            <v>35</v>
          </cell>
        </row>
        <row r="59">
          <cell r="A59" t="str">
            <v>8160-01-160</v>
          </cell>
          <cell r="B59" t="str">
            <v>Dr. Aharon Roni &amp; Haya Bernstein</v>
          </cell>
          <cell r="C59" t="str">
            <v>065049207</v>
          </cell>
          <cell r="D59" t="e">
            <v>#REF!</v>
          </cell>
          <cell r="F59" t="str">
            <v>חיה בורנשטיין</v>
          </cell>
          <cell r="G59" t="str">
            <v>I</v>
          </cell>
          <cell r="H59" t="str">
            <v>Meitav</v>
          </cell>
          <cell r="I59">
            <v>250000</v>
          </cell>
          <cell r="J59">
            <v>3.4189276924417983E-3</v>
          </cell>
          <cell r="K59">
            <v>1469.0914463157189</v>
          </cell>
          <cell r="L59">
            <v>7026.7865214207632</v>
          </cell>
          <cell r="M59">
            <v>9</v>
          </cell>
          <cell r="N59">
            <v>21</v>
          </cell>
          <cell r="O59">
            <v>8526</v>
          </cell>
          <cell r="Q59">
            <v>193.26736690135007</v>
          </cell>
          <cell r="T59">
            <v>0</v>
          </cell>
          <cell r="U59" t="str">
            <v>IRA</v>
          </cell>
          <cell r="V59">
            <v>193.26736690135007</v>
          </cell>
          <cell r="W59">
            <v>8526</v>
          </cell>
          <cell r="X59">
            <v>83333.332999999999</v>
          </cell>
          <cell r="Y59">
            <v>47900.25</v>
          </cell>
          <cell r="Z59">
            <v>10625</v>
          </cell>
          <cell r="AA59">
            <v>0</v>
          </cell>
          <cell r="AB59">
            <v>33153</v>
          </cell>
          <cell r="AC59" t="e">
            <v>#REF!</v>
          </cell>
          <cell r="AD59">
            <v>8526</v>
          </cell>
          <cell r="AE59">
            <v>0</v>
          </cell>
          <cell r="AF59">
            <v>8526</v>
          </cell>
          <cell r="AG59">
            <v>193.26736690135007</v>
          </cell>
          <cell r="AI59">
            <v>6779.7336141120859</v>
          </cell>
          <cell r="AJ59">
            <v>1746.2663858879141</v>
          </cell>
          <cell r="AP59">
            <v>17.904599999999999</v>
          </cell>
          <cell r="AQ59">
            <v>18</v>
          </cell>
          <cell r="AR59">
            <v>35</v>
          </cell>
        </row>
        <row r="60">
          <cell r="A60" t="str">
            <v>8160-01-161</v>
          </cell>
          <cell r="B60" t="str">
            <v>Zvi Stepak</v>
          </cell>
          <cell r="C60" t="str">
            <v>07957319</v>
          </cell>
          <cell r="D60" t="e">
            <v>#REF!</v>
          </cell>
          <cell r="F60" t="str">
            <v>צבי סטפק</v>
          </cell>
          <cell r="G60" t="str">
            <v>I</v>
          </cell>
          <cell r="H60" t="str">
            <v>Meitav</v>
          </cell>
          <cell r="I60">
            <v>250000</v>
          </cell>
          <cell r="J60">
            <v>3.4189276924417983E-3</v>
          </cell>
          <cell r="K60">
            <v>1469.0914463157189</v>
          </cell>
          <cell r="L60">
            <v>7026.7865214207632</v>
          </cell>
          <cell r="M60">
            <v>9</v>
          </cell>
          <cell r="N60">
            <v>21</v>
          </cell>
          <cell r="O60">
            <v>8526</v>
          </cell>
          <cell r="Q60">
            <v>193.26736690135007</v>
          </cell>
          <cell r="T60">
            <v>0</v>
          </cell>
          <cell r="U60" t="str">
            <v>IRA</v>
          </cell>
          <cell r="V60">
            <v>193.26736690135007</v>
          </cell>
          <cell r="W60">
            <v>8526</v>
          </cell>
          <cell r="X60">
            <v>83333.332999999999</v>
          </cell>
          <cell r="Y60">
            <v>47900</v>
          </cell>
          <cell r="Z60">
            <v>10625</v>
          </cell>
          <cell r="AA60">
            <v>0</v>
          </cell>
          <cell r="AB60">
            <v>33153</v>
          </cell>
          <cell r="AC60" t="e">
            <v>#REF!</v>
          </cell>
          <cell r="AD60">
            <v>8526</v>
          </cell>
          <cell r="AE60">
            <v>0</v>
          </cell>
          <cell r="AF60">
            <v>8526</v>
          </cell>
          <cell r="AG60">
            <v>193.26736690135007</v>
          </cell>
          <cell r="AI60">
            <v>6779.7336141120859</v>
          </cell>
          <cell r="AJ60">
            <v>1746.2663858879141</v>
          </cell>
          <cell r="AP60">
            <v>17.904599999999999</v>
          </cell>
          <cell r="AQ60">
            <v>18</v>
          </cell>
          <cell r="AR60">
            <v>35</v>
          </cell>
        </row>
        <row r="61">
          <cell r="A61" t="str">
            <v>8160-01-162</v>
          </cell>
          <cell r="B61" t="str">
            <v>Arie Huber</v>
          </cell>
          <cell r="C61" t="str">
            <v>051261535</v>
          </cell>
          <cell r="D61" t="e">
            <v>#REF!</v>
          </cell>
          <cell r="F61" t="str">
            <v>אריה הובר</v>
          </cell>
          <cell r="G61" t="str">
            <v>I</v>
          </cell>
          <cell r="H61" t="str">
            <v>Meitav</v>
          </cell>
          <cell r="I61">
            <v>250000</v>
          </cell>
          <cell r="J61">
            <v>3.4189276924417983E-3</v>
          </cell>
          <cell r="K61">
            <v>1469.0914463157189</v>
          </cell>
          <cell r="L61">
            <v>7026.7865214207632</v>
          </cell>
          <cell r="M61">
            <v>9</v>
          </cell>
          <cell r="N61">
            <v>21</v>
          </cell>
          <cell r="O61">
            <v>8526</v>
          </cell>
          <cell r="Q61">
            <v>193.26736690135007</v>
          </cell>
          <cell r="T61">
            <v>0</v>
          </cell>
          <cell r="U61" t="str">
            <v>IRA</v>
          </cell>
          <cell r="V61">
            <v>193.26736690135007</v>
          </cell>
          <cell r="W61">
            <v>8526</v>
          </cell>
          <cell r="X61">
            <v>83333.332999999999</v>
          </cell>
          <cell r="Y61">
            <v>47900.25</v>
          </cell>
          <cell r="Z61">
            <v>10625</v>
          </cell>
          <cell r="AA61">
            <v>0</v>
          </cell>
          <cell r="AB61">
            <v>33153</v>
          </cell>
          <cell r="AC61" t="e">
            <v>#REF!</v>
          </cell>
          <cell r="AD61">
            <v>8526</v>
          </cell>
          <cell r="AE61">
            <v>0</v>
          </cell>
          <cell r="AF61">
            <v>8526</v>
          </cell>
          <cell r="AG61">
            <v>193.26736690135007</v>
          </cell>
          <cell r="AI61">
            <v>6779.7336141120859</v>
          </cell>
          <cell r="AJ61">
            <v>1746.2663858879141</v>
          </cell>
          <cell r="AP61">
            <v>17.904599999999999</v>
          </cell>
          <cell r="AQ61">
            <v>18</v>
          </cell>
          <cell r="AR61">
            <v>35</v>
          </cell>
        </row>
        <row r="62">
          <cell r="A62" t="str">
            <v>8160-01-163</v>
          </cell>
          <cell r="B62" t="str">
            <v>Ron Rymon</v>
          </cell>
          <cell r="C62" t="str">
            <v>058491093</v>
          </cell>
          <cell r="D62" t="e">
            <v>#REF!</v>
          </cell>
          <cell r="F62" t="str">
            <v>רון רימון</v>
          </cell>
          <cell r="G62" t="str">
            <v>I</v>
          </cell>
          <cell r="H62" t="str">
            <v>Phoenix</v>
          </cell>
          <cell r="I62">
            <v>250000</v>
          </cell>
          <cell r="J62">
            <v>3.4189276924417983E-3</v>
          </cell>
          <cell r="K62">
            <v>1469.0914463157189</v>
          </cell>
          <cell r="L62">
            <v>7026.7865214207632</v>
          </cell>
          <cell r="M62">
            <v>9</v>
          </cell>
          <cell r="N62">
            <v>21</v>
          </cell>
          <cell r="O62">
            <v>8526</v>
          </cell>
          <cell r="Q62">
            <v>193.26736690135007</v>
          </cell>
          <cell r="T62">
            <v>0</v>
          </cell>
          <cell r="U62" t="str">
            <v>IRA</v>
          </cell>
          <cell r="V62">
            <v>193.26736690135007</v>
          </cell>
          <cell r="W62">
            <v>8526</v>
          </cell>
          <cell r="X62">
            <v>83333.332999999999</v>
          </cell>
          <cell r="Y62">
            <v>47900.25</v>
          </cell>
          <cell r="Z62">
            <v>10625</v>
          </cell>
          <cell r="AA62">
            <v>0</v>
          </cell>
          <cell r="AB62">
            <v>33153</v>
          </cell>
          <cell r="AC62" t="e">
            <v>#REF!</v>
          </cell>
          <cell r="AD62">
            <v>8526</v>
          </cell>
          <cell r="AE62">
            <v>0</v>
          </cell>
          <cell r="AF62">
            <v>8526</v>
          </cell>
          <cell r="AG62">
            <v>193.26736690135007</v>
          </cell>
          <cell r="AI62">
            <v>6779.7336141120859</v>
          </cell>
          <cell r="AJ62">
            <v>1746.2663858879141</v>
          </cell>
          <cell r="AP62">
            <v>17.904599999999999</v>
          </cell>
          <cell r="AQ62">
            <v>18</v>
          </cell>
          <cell r="AR62">
            <v>35</v>
          </cell>
        </row>
        <row r="63">
          <cell r="A63" t="str">
            <v>8160-01-164</v>
          </cell>
          <cell r="B63" t="str">
            <v>Ophir Shevach</v>
          </cell>
          <cell r="C63" t="str">
            <v>003078854</v>
          </cell>
          <cell r="D63" t="e">
            <v>#REF!</v>
          </cell>
          <cell r="F63" t="str">
            <v>אופיר שבח</v>
          </cell>
          <cell r="G63" t="str">
            <v>I</v>
          </cell>
          <cell r="H63" t="str">
            <v>Phoenix</v>
          </cell>
          <cell r="I63">
            <v>250000</v>
          </cell>
          <cell r="J63">
            <v>3.4189276924417983E-3</v>
          </cell>
          <cell r="K63">
            <v>1469.0914463157189</v>
          </cell>
          <cell r="L63">
            <v>7026.7865214207632</v>
          </cell>
          <cell r="M63">
            <v>9</v>
          </cell>
          <cell r="N63">
            <v>21</v>
          </cell>
          <cell r="O63">
            <v>8526</v>
          </cell>
          <cell r="Q63">
            <v>193.26736690135007</v>
          </cell>
          <cell r="T63">
            <v>0</v>
          </cell>
          <cell r="U63" t="str">
            <v>IRA</v>
          </cell>
          <cell r="V63">
            <v>193.26736690135007</v>
          </cell>
          <cell r="W63">
            <v>8526</v>
          </cell>
          <cell r="X63">
            <v>83333.332999999999</v>
          </cell>
          <cell r="Y63">
            <v>47900.25</v>
          </cell>
          <cell r="Z63">
            <v>10625</v>
          </cell>
          <cell r="AA63">
            <v>0</v>
          </cell>
          <cell r="AB63">
            <v>33153</v>
          </cell>
          <cell r="AC63" t="e">
            <v>#REF!</v>
          </cell>
          <cell r="AD63">
            <v>8526</v>
          </cell>
          <cell r="AE63">
            <v>0</v>
          </cell>
          <cell r="AF63">
            <v>8526</v>
          </cell>
          <cell r="AG63">
            <v>193.26736690135007</v>
          </cell>
          <cell r="AI63">
            <v>6779.7336141120859</v>
          </cell>
          <cell r="AJ63">
            <v>1746.2663858879141</v>
          </cell>
          <cell r="AP63">
            <v>17.904599999999999</v>
          </cell>
          <cell r="AQ63">
            <v>18</v>
          </cell>
          <cell r="AR63">
            <v>35</v>
          </cell>
        </row>
        <row r="64">
          <cell r="A64" t="str">
            <v>8160-01-165</v>
          </cell>
          <cell r="B64" t="str">
            <v>Guy Eliav</v>
          </cell>
          <cell r="C64" t="str">
            <v>024609026</v>
          </cell>
          <cell r="D64" t="e">
            <v>#REF!</v>
          </cell>
          <cell r="F64" t="str">
            <v>גיא אלון אליאב</v>
          </cell>
          <cell r="G64" t="str">
            <v>I</v>
          </cell>
          <cell r="I64">
            <v>250000</v>
          </cell>
          <cell r="J64">
            <v>3.4189276924417983E-3</v>
          </cell>
          <cell r="K64">
            <v>1469.0914463157189</v>
          </cell>
          <cell r="L64">
            <v>7026.7865214207632</v>
          </cell>
          <cell r="M64">
            <v>9</v>
          </cell>
          <cell r="N64">
            <v>21</v>
          </cell>
          <cell r="O64">
            <v>8526</v>
          </cell>
          <cell r="P64">
            <v>367.27286157892974</v>
          </cell>
          <cell r="Q64">
            <v>193.26736690135007</v>
          </cell>
          <cell r="R64">
            <v>-193.26736690135007</v>
          </cell>
          <cell r="S64">
            <v>174.00549467757966</v>
          </cell>
          <cell r="T64">
            <v>174.00549467757966</v>
          </cell>
          <cell r="U64" t="str">
            <v>X</v>
          </cell>
          <cell r="W64">
            <v>8352</v>
          </cell>
          <cell r="X64">
            <v>83333.332999999999</v>
          </cell>
          <cell r="Y64">
            <v>47900.25</v>
          </cell>
          <cell r="Z64">
            <v>10626</v>
          </cell>
          <cell r="AA64">
            <v>0</v>
          </cell>
          <cell r="AB64">
            <v>33153</v>
          </cell>
          <cell r="AC64" t="e">
            <v>#REF!</v>
          </cell>
          <cell r="AD64">
            <v>8526</v>
          </cell>
          <cell r="AE64">
            <v>174.00549467757966</v>
          </cell>
          <cell r="AF64">
            <v>8352</v>
          </cell>
          <cell r="AG64">
            <v>367.27286157892974</v>
          </cell>
          <cell r="AI64">
            <v>6779.7336141120859</v>
          </cell>
          <cell r="AJ64">
            <v>1746.2663858879141</v>
          </cell>
          <cell r="AP64">
            <v>17.539199999999997</v>
          </cell>
          <cell r="AQ64">
            <v>18</v>
          </cell>
          <cell r="AR64">
            <v>35</v>
          </cell>
        </row>
        <row r="65">
          <cell r="A65" t="str">
            <v>8160-01-166</v>
          </cell>
          <cell r="B65" t="str">
            <v>Ester Beck (Louis)</v>
          </cell>
          <cell r="C65" t="str">
            <v>017161142</v>
          </cell>
          <cell r="D65" t="e">
            <v>#REF!</v>
          </cell>
          <cell r="F65" t="str">
            <v>אסתר בורגר בק</v>
          </cell>
          <cell r="G65" t="str">
            <v>II</v>
          </cell>
          <cell r="I65">
            <v>250000</v>
          </cell>
          <cell r="J65">
            <v>3.4189276924417983E-3</v>
          </cell>
          <cell r="K65">
            <v>1469.0914463157189</v>
          </cell>
          <cell r="L65">
            <v>7026.7865214207632</v>
          </cell>
          <cell r="M65">
            <v>9</v>
          </cell>
          <cell r="N65">
            <v>21</v>
          </cell>
          <cell r="O65">
            <v>8526</v>
          </cell>
          <cell r="P65">
            <v>367.27286157892974</v>
          </cell>
          <cell r="Q65">
            <v>193.26736690135007</v>
          </cell>
          <cell r="R65">
            <v>-193.26736690135007</v>
          </cell>
          <cell r="S65">
            <v>174.00549467757966</v>
          </cell>
          <cell r="T65">
            <v>174.00549467757966</v>
          </cell>
          <cell r="U65" t="str">
            <v>X</v>
          </cell>
          <cell r="W65">
            <v>8352</v>
          </cell>
          <cell r="X65">
            <v>0</v>
          </cell>
          <cell r="Y65">
            <v>131234</v>
          </cell>
          <cell r="Z65">
            <v>10632</v>
          </cell>
          <cell r="AA65">
            <v>0</v>
          </cell>
          <cell r="AB65">
            <v>33153</v>
          </cell>
          <cell r="AC65" t="e">
            <v>#REF!</v>
          </cell>
          <cell r="AD65">
            <v>8526</v>
          </cell>
          <cell r="AE65">
            <v>174.00549467757966</v>
          </cell>
          <cell r="AF65">
            <v>8352</v>
          </cell>
          <cell r="AG65">
            <v>367.27286157892974</v>
          </cell>
          <cell r="AI65">
            <v>6779.7336141120859</v>
          </cell>
          <cell r="AJ65">
            <v>1746.2663858879141</v>
          </cell>
          <cell r="AP65">
            <v>17.539199999999997</v>
          </cell>
          <cell r="AQ65">
            <v>18</v>
          </cell>
          <cell r="AR65">
            <v>35</v>
          </cell>
        </row>
        <row r="66">
          <cell r="A66" t="str">
            <v>8160-01-167</v>
          </cell>
          <cell r="B66" t="str">
            <v>Trico Fuchs Ltd.</v>
          </cell>
          <cell r="C66">
            <v>510621113</v>
          </cell>
          <cell r="D66" t="e">
            <v>#REF!</v>
          </cell>
          <cell r="E66" t="str">
            <v>Trico Fuchs Ltd.</v>
          </cell>
          <cell r="F66" t="str">
            <v>טריקו - פוקס בע"מ</v>
          </cell>
          <cell r="G66" t="str">
            <v>II</v>
          </cell>
          <cell r="I66">
            <v>750000</v>
          </cell>
          <cell r="J66">
            <v>1.0256783077325395E-2</v>
          </cell>
          <cell r="K66">
            <v>4407.2743389471561</v>
          </cell>
          <cell r="L66">
            <v>21080.359564262286</v>
          </cell>
          <cell r="M66">
            <v>26</v>
          </cell>
          <cell r="N66">
            <v>64</v>
          </cell>
          <cell r="O66">
            <v>25578</v>
          </cell>
          <cell r="Q66">
            <v>579.80210070405019</v>
          </cell>
          <cell r="T66">
            <v>0</v>
          </cell>
          <cell r="U66" t="str">
            <v>V</v>
          </cell>
          <cell r="V66">
            <v>579.80210070405019</v>
          </cell>
          <cell r="W66">
            <v>25578</v>
          </cell>
          <cell r="X66" t="e">
            <v>#N/A</v>
          </cell>
          <cell r="Y66" t="e">
            <v>#N/A</v>
          </cell>
          <cell r="Z66" t="e">
            <v>#N/A</v>
          </cell>
          <cell r="AA66" t="e">
            <v>#N/A</v>
          </cell>
          <cell r="AB66" t="e">
            <v>#N/A</v>
          </cell>
          <cell r="AC66" t="e">
            <v>#REF!</v>
          </cell>
          <cell r="AD66">
            <v>25578</v>
          </cell>
          <cell r="AE66">
            <v>0</v>
          </cell>
          <cell r="AF66">
            <v>25578</v>
          </cell>
          <cell r="AG66">
            <v>579.80210070405019</v>
          </cell>
          <cell r="AI66">
            <v>20339.200842336257</v>
          </cell>
          <cell r="AJ66">
            <v>5238.7991576637432</v>
          </cell>
          <cell r="AP66">
            <v>53.713799999999999</v>
          </cell>
          <cell r="AQ66">
            <v>53.713799999999999</v>
          </cell>
          <cell r="AR66">
            <v>35</v>
          </cell>
        </row>
        <row r="67">
          <cell r="A67" t="str">
            <v>8160-01-168</v>
          </cell>
          <cell r="B67" t="str">
            <v>Uzi Ziv</v>
          </cell>
          <cell r="C67" t="str">
            <v>057697351</v>
          </cell>
          <cell r="D67" t="e">
            <v>#REF!</v>
          </cell>
          <cell r="F67" t="str">
            <v>עוזי עזרא זיו</v>
          </cell>
          <cell r="G67" t="str">
            <v>II</v>
          </cell>
          <cell r="I67">
            <v>250000</v>
          </cell>
          <cell r="J67">
            <v>3.4189276924417983E-3</v>
          </cell>
          <cell r="K67">
            <v>1469.0914463157189</v>
          </cell>
          <cell r="L67">
            <v>7026.7865214207632</v>
          </cell>
          <cell r="M67">
            <v>9</v>
          </cell>
          <cell r="N67">
            <v>21</v>
          </cell>
          <cell r="O67">
            <v>8526</v>
          </cell>
          <cell r="P67">
            <v>367.27286157892974</v>
          </cell>
          <cell r="Q67">
            <v>193.26736690135007</v>
          </cell>
          <cell r="R67">
            <v>-193.26736690135007</v>
          </cell>
          <cell r="S67">
            <v>174.00549467757966</v>
          </cell>
          <cell r="T67">
            <v>174.00549467757966</v>
          </cell>
          <cell r="U67" t="str">
            <v>X</v>
          </cell>
          <cell r="W67">
            <v>8352</v>
          </cell>
          <cell r="X67">
            <v>0</v>
          </cell>
          <cell r="Y67">
            <v>131233.5</v>
          </cell>
          <cell r="Z67">
            <v>10625</v>
          </cell>
          <cell r="AA67">
            <v>0</v>
          </cell>
          <cell r="AB67">
            <v>33153</v>
          </cell>
          <cell r="AC67" t="e">
            <v>#REF!</v>
          </cell>
          <cell r="AD67">
            <v>8526</v>
          </cell>
          <cell r="AE67">
            <v>174.00549467757966</v>
          </cell>
          <cell r="AF67">
            <v>8352</v>
          </cell>
          <cell r="AG67">
            <v>367.27286157892974</v>
          </cell>
          <cell r="AI67">
            <v>6779.7336141120859</v>
          </cell>
          <cell r="AJ67">
            <v>1746.2663858879141</v>
          </cell>
          <cell r="AP67">
            <v>17.539199999999997</v>
          </cell>
          <cell r="AQ67">
            <v>18</v>
          </cell>
          <cell r="AR67">
            <v>35</v>
          </cell>
        </row>
        <row r="68">
          <cell r="A68" t="str">
            <v>8160-01-169</v>
          </cell>
          <cell r="B68" t="str">
            <v>Michal (Yuval) Hatuka</v>
          </cell>
          <cell r="C68" t="str">
            <v>023749609</v>
          </cell>
          <cell r="D68" t="e">
            <v>#REF!</v>
          </cell>
          <cell r="F68" t="str">
            <v>מיכל שטרית חתוק</v>
          </cell>
          <cell r="G68" t="str">
            <v>II</v>
          </cell>
          <cell r="I68">
            <v>250000</v>
          </cell>
          <cell r="J68">
            <v>3.4189276924417983E-3</v>
          </cell>
          <cell r="K68">
            <v>1469.0914463157189</v>
          </cell>
          <cell r="L68">
            <v>7026.7865214207632</v>
          </cell>
          <cell r="M68">
            <v>9</v>
          </cell>
          <cell r="N68">
            <v>21</v>
          </cell>
          <cell r="O68">
            <v>8526</v>
          </cell>
          <cell r="P68">
            <v>367.27286157892974</v>
          </cell>
          <cell r="Q68">
            <v>193.26736690135007</v>
          </cell>
          <cell r="R68">
            <v>-193.26736690135007</v>
          </cell>
          <cell r="S68">
            <v>174.00549467757966</v>
          </cell>
          <cell r="T68">
            <v>174.00549467757966</v>
          </cell>
          <cell r="U68" t="str">
            <v>X</v>
          </cell>
          <cell r="W68">
            <v>8352</v>
          </cell>
          <cell r="X68">
            <v>0</v>
          </cell>
          <cell r="Y68">
            <v>131233.5</v>
          </cell>
          <cell r="Z68">
            <v>10622.5</v>
          </cell>
          <cell r="AA68">
            <v>0</v>
          </cell>
          <cell r="AB68">
            <v>33153.5</v>
          </cell>
          <cell r="AC68" t="e">
            <v>#REF!</v>
          </cell>
          <cell r="AD68">
            <v>8526</v>
          </cell>
          <cell r="AE68">
            <v>174.00549467757966</v>
          </cell>
          <cell r="AF68">
            <v>8352</v>
          </cell>
          <cell r="AG68">
            <v>367.27286157892974</v>
          </cell>
          <cell r="AI68">
            <v>6779.7336141120859</v>
          </cell>
          <cell r="AJ68">
            <v>1746.2663858879141</v>
          </cell>
          <cell r="AP68">
            <v>17.539199999999997</v>
          </cell>
          <cell r="AQ68">
            <v>18</v>
          </cell>
          <cell r="AR68">
            <v>35</v>
          </cell>
        </row>
        <row r="69">
          <cell r="A69" t="str">
            <v>8160-01-170</v>
          </cell>
          <cell r="B69" t="str">
            <v>E Hasson LTD</v>
          </cell>
          <cell r="C69">
            <v>512041591</v>
          </cell>
          <cell r="D69" t="e">
            <v>#REF!</v>
          </cell>
          <cell r="E69" t="str">
            <v>E Hasson LTD</v>
          </cell>
          <cell r="F69" t="str">
            <v>אליהו חסון בע"מ</v>
          </cell>
          <cell r="G69" t="str">
            <v>II</v>
          </cell>
          <cell r="I69">
            <v>1000000</v>
          </cell>
          <cell r="J69">
            <v>1.3675710769767193E-2</v>
          </cell>
          <cell r="K69">
            <v>5876.3657852628758</v>
          </cell>
          <cell r="L69">
            <v>28107.146085683053</v>
          </cell>
          <cell r="M69">
            <v>35</v>
          </cell>
          <cell r="N69">
            <v>86</v>
          </cell>
          <cell r="O69">
            <v>34105</v>
          </cell>
          <cell r="Q69">
            <v>773.06946760540029</v>
          </cell>
          <cell r="T69">
            <v>0</v>
          </cell>
          <cell r="U69" t="str">
            <v>V</v>
          </cell>
          <cell r="W69">
            <v>34105</v>
          </cell>
          <cell r="X69" t="e">
            <v>#N/A</v>
          </cell>
          <cell r="Y69" t="e">
            <v>#N/A</v>
          </cell>
          <cell r="Z69" t="e">
            <v>#N/A</v>
          </cell>
          <cell r="AA69" t="e">
            <v>#N/A</v>
          </cell>
          <cell r="AB69" t="e">
            <v>#N/A</v>
          </cell>
          <cell r="AC69" t="e">
            <v>#REF!</v>
          </cell>
          <cell r="AD69">
            <v>34105</v>
          </cell>
          <cell r="AE69">
            <v>0</v>
          </cell>
          <cell r="AF69">
            <v>34105</v>
          </cell>
          <cell r="AG69">
            <v>773.06946760540029</v>
          </cell>
          <cell r="AI69">
            <v>27118.934456448344</v>
          </cell>
          <cell r="AJ69">
            <v>6986.0655435516564</v>
          </cell>
          <cell r="AP69">
            <v>71.620499999999993</v>
          </cell>
          <cell r="AQ69">
            <v>71.620499999999993</v>
          </cell>
          <cell r="AR69">
            <v>35</v>
          </cell>
        </row>
        <row r="70">
          <cell r="A70" t="str">
            <v>8160-01-171</v>
          </cell>
          <cell r="B70" t="str">
            <v>Yishai Fuchs</v>
          </cell>
          <cell r="C70" t="str">
            <v>040785750</v>
          </cell>
          <cell r="D70" t="e">
            <v>#REF!</v>
          </cell>
          <cell r="F70" t="str">
            <v>ישי פוקס</v>
          </cell>
          <cell r="G70" t="str">
            <v>II</v>
          </cell>
          <cell r="I70">
            <v>150000</v>
          </cell>
          <cell r="J70">
            <v>2.0513566154650789E-3</v>
          </cell>
          <cell r="K70">
            <v>881.45486778943132</v>
          </cell>
          <cell r="L70">
            <v>4216.0719128524579</v>
          </cell>
          <cell r="M70">
            <v>6</v>
          </cell>
          <cell r="N70">
            <v>13</v>
          </cell>
          <cell r="O70">
            <v>5117</v>
          </cell>
          <cell r="P70">
            <v>220.36371694735783</v>
          </cell>
          <cell r="Q70">
            <v>115.96042014081003</v>
          </cell>
          <cell r="R70">
            <v>-115.96042014081003</v>
          </cell>
          <cell r="S70">
            <v>104.4032968065478</v>
          </cell>
          <cell r="T70">
            <v>104.4032968065478</v>
          </cell>
          <cell r="U70" t="str">
            <v>X</v>
          </cell>
          <cell r="W70">
            <v>5013</v>
          </cell>
          <cell r="X70">
            <v>0</v>
          </cell>
          <cell r="Y70">
            <v>78740.100000000006</v>
          </cell>
          <cell r="Z70">
            <v>6375</v>
          </cell>
          <cell r="AA70">
            <v>0</v>
          </cell>
          <cell r="AB70">
            <v>19892</v>
          </cell>
          <cell r="AC70" t="e">
            <v>#REF!</v>
          </cell>
          <cell r="AD70">
            <v>5117</v>
          </cell>
          <cell r="AE70">
            <v>104.4032968065478</v>
          </cell>
          <cell r="AF70">
            <v>5013</v>
          </cell>
          <cell r="AG70">
            <v>220.36371694735783</v>
          </cell>
          <cell r="AI70">
            <v>4067.8401684672513</v>
          </cell>
          <cell r="AJ70">
            <v>1049.1598315327487</v>
          </cell>
          <cell r="AP70">
            <v>10.527299999999999</v>
          </cell>
          <cell r="AQ70">
            <v>18</v>
          </cell>
          <cell r="AR70">
            <v>35</v>
          </cell>
        </row>
        <row r="71">
          <cell r="A71" t="str">
            <v>8160-01-172</v>
          </cell>
          <cell r="B71" t="str">
            <v>Ofer Jacobson</v>
          </cell>
          <cell r="C71" t="str">
            <v>057750606</v>
          </cell>
          <cell r="D71" t="e">
            <v>#REF!</v>
          </cell>
          <cell r="F71" t="str">
            <v>עופר יעקבזון</v>
          </cell>
          <cell r="G71" t="str">
            <v>II</v>
          </cell>
          <cell r="I71">
            <v>250000</v>
          </cell>
          <cell r="J71">
            <v>3.4189276924417983E-3</v>
          </cell>
          <cell r="K71">
            <v>1469.0914463157189</v>
          </cell>
          <cell r="L71">
            <v>7026.7865214207632</v>
          </cell>
          <cell r="M71">
            <v>9</v>
          </cell>
          <cell r="N71">
            <v>21</v>
          </cell>
          <cell r="O71">
            <v>8526</v>
          </cell>
          <cell r="P71">
            <v>367.27286157892974</v>
          </cell>
          <cell r="Q71">
            <v>193.26736690135007</v>
          </cell>
          <cell r="R71">
            <v>-193.26736690135007</v>
          </cell>
          <cell r="S71">
            <v>174.00549467757966</v>
          </cell>
          <cell r="T71">
            <v>174.00549467757966</v>
          </cell>
          <cell r="U71" t="str">
            <v>X</v>
          </cell>
          <cell r="W71">
            <v>8352</v>
          </cell>
          <cell r="X71">
            <v>0</v>
          </cell>
          <cell r="Y71">
            <v>131233.5</v>
          </cell>
          <cell r="Z71">
            <v>10624.5</v>
          </cell>
          <cell r="AA71">
            <v>0</v>
          </cell>
          <cell r="AB71">
            <v>33153</v>
          </cell>
          <cell r="AC71" t="e">
            <v>#REF!</v>
          </cell>
          <cell r="AD71">
            <v>8526</v>
          </cell>
          <cell r="AE71">
            <v>174.00549467757966</v>
          </cell>
          <cell r="AF71">
            <v>8352</v>
          </cell>
          <cell r="AG71">
            <v>367.27286157892974</v>
          </cell>
          <cell r="AI71">
            <v>6779.7336141120859</v>
          </cell>
          <cell r="AJ71">
            <v>1746.2663858879141</v>
          </cell>
          <cell r="AP71">
            <v>17.539199999999997</v>
          </cell>
          <cell r="AQ71">
            <v>18</v>
          </cell>
          <cell r="AR71">
            <v>35</v>
          </cell>
        </row>
        <row r="72">
          <cell r="A72" t="str">
            <v>8160-01-173</v>
          </cell>
          <cell r="B72" t="str">
            <v>Oded Fuchs</v>
          </cell>
          <cell r="C72" t="str">
            <v>039301825</v>
          </cell>
          <cell r="D72" t="e">
            <v>#REF!</v>
          </cell>
          <cell r="F72" t="str">
            <v>עודד פוקס</v>
          </cell>
          <cell r="G72" t="str">
            <v>II</v>
          </cell>
          <cell r="I72">
            <v>150000</v>
          </cell>
          <cell r="J72">
            <v>2.0513566154650789E-3</v>
          </cell>
          <cell r="K72">
            <v>881.45486778943132</v>
          </cell>
          <cell r="L72">
            <v>4216.0719128524579</v>
          </cell>
          <cell r="M72">
            <v>6</v>
          </cell>
          <cell r="N72">
            <v>13</v>
          </cell>
          <cell r="O72">
            <v>5117</v>
          </cell>
          <cell r="P72">
            <v>220.36371694735783</v>
          </cell>
          <cell r="Q72">
            <v>115.96042014081003</v>
          </cell>
          <cell r="R72">
            <v>-115.96042014081003</v>
          </cell>
          <cell r="S72">
            <v>104.4032968065478</v>
          </cell>
          <cell r="T72">
            <v>104.4032968065478</v>
          </cell>
          <cell r="U72" t="str">
            <v>X</v>
          </cell>
          <cell r="W72">
            <v>5013</v>
          </cell>
          <cell r="X72">
            <v>0</v>
          </cell>
          <cell r="Y72">
            <v>78740.100000000006</v>
          </cell>
          <cell r="Z72">
            <v>6375</v>
          </cell>
          <cell r="AA72">
            <v>0</v>
          </cell>
          <cell r="AB72">
            <v>19892</v>
          </cell>
          <cell r="AC72" t="e">
            <v>#REF!</v>
          </cell>
          <cell r="AD72">
            <v>5117</v>
          </cell>
          <cell r="AE72">
            <v>104.4032968065478</v>
          </cell>
          <cell r="AF72">
            <v>5013</v>
          </cell>
          <cell r="AG72">
            <v>220.36371694735783</v>
          </cell>
          <cell r="AI72">
            <v>4067.8401684672513</v>
          </cell>
          <cell r="AJ72">
            <v>1049.1598315327487</v>
          </cell>
          <cell r="AP72">
            <v>10.527299999999999</v>
          </cell>
          <cell r="AQ72">
            <v>18</v>
          </cell>
          <cell r="AR72">
            <v>35</v>
          </cell>
        </row>
        <row r="73">
          <cell r="A73" t="str">
            <v>8160-01-174</v>
          </cell>
          <cell r="B73" t="str">
            <v>Moshe Strumlaufer</v>
          </cell>
          <cell r="C73" t="str">
            <v>055710610</v>
          </cell>
          <cell r="D73" t="e">
            <v>#REF!</v>
          </cell>
          <cell r="F73" t="str">
            <v>משה שטורמלאופר</v>
          </cell>
          <cell r="G73" t="str">
            <v>II</v>
          </cell>
          <cell r="I73">
            <v>500000</v>
          </cell>
          <cell r="J73">
            <v>6.8378553848835967E-3</v>
          </cell>
          <cell r="K73">
            <v>2938.1828926314379</v>
          </cell>
          <cell r="L73">
            <v>14053.573042841526</v>
          </cell>
          <cell r="M73">
            <v>17</v>
          </cell>
          <cell r="N73">
            <v>43</v>
          </cell>
          <cell r="O73">
            <v>17052</v>
          </cell>
          <cell r="P73">
            <v>734.54572315785947</v>
          </cell>
          <cell r="Q73">
            <v>386.53473380270015</v>
          </cell>
          <cell r="R73">
            <v>-386.53473380270015</v>
          </cell>
          <cell r="S73">
            <v>348.01098935515932</v>
          </cell>
          <cell r="T73">
            <v>348.01098935515932</v>
          </cell>
          <cell r="U73" t="str">
            <v>X</v>
          </cell>
          <cell r="W73">
            <v>16704</v>
          </cell>
          <cell r="X73">
            <v>0</v>
          </cell>
          <cell r="Y73">
            <v>262467</v>
          </cell>
          <cell r="Z73">
            <v>21250</v>
          </cell>
          <cell r="AA73">
            <v>0</v>
          </cell>
          <cell r="AB73">
            <v>66306</v>
          </cell>
          <cell r="AC73" t="e">
            <v>#REF!</v>
          </cell>
          <cell r="AD73">
            <v>17052</v>
          </cell>
          <cell r="AE73">
            <v>348.01098935515932</v>
          </cell>
          <cell r="AF73">
            <v>16704</v>
          </cell>
          <cell r="AG73">
            <v>734.54572315785947</v>
          </cell>
          <cell r="AI73">
            <v>13559.467228224172</v>
          </cell>
          <cell r="AJ73">
            <v>3492.5327717758282</v>
          </cell>
          <cell r="AP73">
            <v>35.078399999999995</v>
          </cell>
          <cell r="AQ73">
            <v>35.078399999999995</v>
          </cell>
          <cell r="AR73">
            <v>35</v>
          </cell>
        </row>
        <row r="74">
          <cell r="A74" t="str">
            <v>8160-01-175</v>
          </cell>
          <cell r="B74" t="str">
            <v>Vilnai Marketing Group LTD</v>
          </cell>
          <cell r="C74">
            <v>511973299</v>
          </cell>
          <cell r="D74" t="e">
            <v>#REF!</v>
          </cell>
          <cell r="E74" t="str">
            <v>Vilnai Marketing Group LTD</v>
          </cell>
          <cell r="F74" t="str">
            <v>קבוצת וילנאי לשיווק בע"מ</v>
          </cell>
          <cell r="G74" t="str">
            <v>II</v>
          </cell>
          <cell r="I74">
            <v>250000</v>
          </cell>
          <cell r="J74">
            <v>3.4189276924417983E-3</v>
          </cell>
          <cell r="K74">
            <v>1469.0914463157189</v>
          </cell>
          <cell r="L74">
            <v>7026.7865214207632</v>
          </cell>
          <cell r="M74">
            <v>9</v>
          </cell>
          <cell r="N74">
            <v>21</v>
          </cell>
          <cell r="O74">
            <v>8526</v>
          </cell>
          <cell r="Q74">
            <v>193.26736690135007</v>
          </cell>
          <cell r="T74">
            <v>0</v>
          </cell>
          <cell r="U74" t="str">
            <v>V</v>
          </cell>
          <cell r="V74">
            <v>193.26736690135007</v>
          </cell>
          <cell r="W74">
            <v>8526</v>
          </cell>
          <cell r="X74" t="e">
            <v>#N/A</v>
          </cell>
          <cell r="Y74" t="e">
            <v>#N/A</v>
          </cell>
          <cell r="Z74" t="e">
            <v>#N/A</v>
          </cell>
          <cell r="AA74" t="e">
            <v>#N/A</v>
          </cell>
          <cell r="AB74" t="e">
            <v>#N/A</v>
          </cell>
          <cell r="AC74" t="e">
            <v>#REF!</v>
          </cell>
          <cell r="AD74">
            <v>8526</v>
          </cell>
          <cell r="AE74">
            <v>0</v>
          </cell>
          <cell r="AF74">
            <v>8526</v>
          </cell>
          <cell r="AG74">
            <v>193.26736690135007</v>
          </cell>
          <cell r="AI74">
            <v>6779.7336141120859</v>
          </cell>
          <cell r="AJ74">
            <v>1746.2663858879141</v>
          </cell>
          <cell r="AP74">
            <v>17.904599999999999</v>
          </cell>
          <cell r="AQ74">
            <v>18</v>
          </cell>
          <cell r="AR74">
            <v>35</v>
          </cell>
        </row>
        <row r="75">
          <cell r="A75" t="str">
            <v>8160-01-176</v>
          </cell>
          <cell r="B75" t="str">
            <v>Atlas Multi Fund L.P</v>
          </cell>
          <cell r="C75" t="str">
            <v>OG-90358</v>
          </cell>
          <cell r="D75" t="e">
            <v>#REF!</v>
          </cell>
          <cell r="E75" t="str">
            <v>Atlas Multi Fund L.P</v>
          </cell>
          <cell r="G75" t="str">
            <v>II</v>
          </cell>
          <cell r="I75">
            <v>3000000</v>
          </cell>
          <cell r="J75">
            <v>4.1027132309301578E-2</v>
          </cell>
          <cell r="K75">
            <v>17629.097355788625</v>
          </cell>
          <cell r="L75">
            <v>84321.438257049143</v>
          </cell>
          <cell r="M75">
            <v>106</v>
          </cell>
          <cell r="N75">
            <v>258</v>
          </cell>
          <cell r="O75">
            <v>102315</v>
          </cell>
          <cell r="Q75">
            <v>2319.2084028162008</v>
          </cell>
          <cell r="T75">
            <v>0</v>
          </cell>
          <cell r="U75" t="str">
            <v>V</v>
          </cell>
          <cell r="W75">
            <v>102315</v>
          </cell>
          <cell r="X75" t="e">
            <v>#N/A</v>
          </cell>
          <cell r="Y75" t="e">
            <v>#N/A</v>
          </cell>
          <cell r="Z75" t="e">
            <v>#N/A</v>
          </cell>
          <cell r="AA75" t="e">
            <v>#N/A</v>
          </cell>
          <cell r="AB75" t="e">
            <v>#N/A</v>
          </cell>
          <cell r="AC75" t="e">
            <v>#REF!</v>
          </cell>
          <cell r="AD75">
            <v>102315</v>
          </cell>
          <cell r="AE75">
            <v>0</v>
          </cell>
          <cell r="AF75">
            <v>102315</v>
          </cell>
          <cell r="AG75">
            <v>2319.2084028162008</v>
          </cell>
          <cell r="AI75">
            <v>81356.803369345027</v>
          </cell>
          <cell r="AJ75">
            <v>20958.196630654973</v>
          </cell>
          <cell r="AP75">
            <v>214.86149999999998</v>
          </cell>
          <cell r="AQ75">
            <v>214.86149999999998</v>
          </cell>
          <cell r="AR75">
            <v>35</v>
          </cell>
        </row>
        <row r="76">
          <cell r="A76" t="str">
            <v>8160-01-177</v>
          </cell>
          <cell r="B76" t="str">
            <v>Aviad Avni</v>
          </cell>
          <cell r="C76" t="str">
            <v>054973680</v>
          </cell>
          <cell r="D76" t="e">
            <v>#REF!</v>
          </cell>
          <cell r="F76" t="str">
            <v>אביעד יצחק אבני</v>
          </cell>
          <cell r="G76" t="str">
            <v>II</v>
          </cell>
          <cell r="H76" t="str">
            <v>Meitav</v>
          </cell>
          <cell r="I76">
            <v>250000</v>
          </cell>
          <cell r="J76">
            <v>3.4189276924417983E-3</v>
          </cell>
          <cell r="K76">
            <v>1469.0914463157189</v>
          </cell>
          <cell r="L76">
            <v>7026.7865214207632</v>
          </cell>
          <cell r="M76">
            <v>9</v>
          </cell>
          <cell r="N76">
            <v>21</v>
          </cell>
          <cell r="O76">
            <v>8526</v>
          </cell>
          <cell r="Q76">
            <v>193.26736690135007</v>
          </cell>
          <cell r="T76">
            <v>0</v>
          </cell>
          <cell r="U76" t="str">
            <v>IRA</v>
          </cell>
          <cell r="V76">
            <v>193.26736690135007</v>
          </cell>
          <cell r="W76">
            <v>8526</v>
          </cell>
          <cell r="X76">
            <v>0</v>
          </cell>
          <cell r="Y76">
            <v>131233.5</v>
          </cell>
          <cell r="Z76">
            <v>10625</v>
          </cell>
          <cell r="AA76">
            <v>0</v>
          </cell>
          <cell r="AB76">
            <v>33153</v>
          </cell>
          <cell r="AC76" t="e">
            <v>#REF!</v>
          </cell>
          <cell r="AD76">
            <v>8526</v>
          </cell>
          <cell r="AE76">
            <v>0</v>
          </cell>
          <cell r="AF76">
            <v>8526</v>
          </cell>
          <cell r="AG76">
            <v>193.26736690135007</v>
          </cell>
          <cell r="AI76">
            <v>6779.7336141120859</v>
          </cell>
          <cell r="AJ76">
            <v>1746.2663858879141</v>
          </cell>
          <cell r="AP76">
            <v>17.904599999999999</v>
          </cell>
          <cell r="AQ76">
            <v>18</v>
          </cell>
          <cell r="AR76">
            <v>35</v>
          </cell>
        </row>
        <row r="77">
          <cell r="A77" t="str">
            <v>8160-01-178</v>
          </cell>
          <cell r="B77" t="str">
            <v>Ehud Aloni</v>
          </cell>
          <cell r="C77" t="str">
            <v>001450287</v>
          </cell>
          <cell r="D77" t="e">
            <v>#REF!</v>
          </cell>
          <cell r="F77" t="str">
            <v>אהוד אלוני</v>
          </cell>
          <cell r="G77" t="str">
            <v>II</v>
          </cell>
          <cell r="H77" t="str">
            <v>Meitav</v>
          </cell>
          <cell r="I77">
            <v>1250000</v>
          </cell>
          <cell r="J77">
            <v>1.7094638462208992E-2</v>
          </cell>
          <cell r="K77">
            <v>7345.4572315785945</v>
          </cell>
          <cell r="L77">
            <v>35133.932607103816</v>
          </cell>
          <cell r="M77">
            <v>45</v>
          </cell>
          <cell r="N77">
            <v>108</v>
          </cell>
          <cell r="O77">
            <v>42632</v>
          </cell>
          <cell r="Q77">
            <v>966.33683450675039</v>
          </cell>
          <cell r="T77">
            <v>0</v>
          </cell>
          <cell r="U77" t="str">
            <v>IRA</v>
          </cell>
          <cell r="V77">
            <v>966.33683450675039</v>
          </cell>
          <cell r="W77">
            <v>42632</v>
          </cell>
          <cell r="X77">
            <v>0</v>
          </cell>
          <cell r="Y77">
            <v>656167.5</v>
          </cell>
          <cell r="Z77">
            <v>53124</v>
          </cell>
          <cell r="AA77">
            <v>0</v>
          </cell>
          <cell r="AB77">
            <v>165765</v>
          </cell>
          <cell r="AC77" t="e">
            <v>#REF!</v>
          </cell>
          <cell r="AD77">
            <v>42632</v>
          </cell>
          <cell r="AE77">
            <v>0</v>
          </cell>
          <cell r="AF77">
            <v>42632</v>
          </cell>
          <cell r="AG77">
            <v>966.33683450675039</v>
          </cell>
          <cell r="AI77">
            <v>33898.66807056043</v>
          </cell>
          <cell r="AJ77">
            <v>8733.3319294395696</v>
          </cell>
          <cell r="AP77">
            <v>89.527199999999993</v>
          </cell>
          <cell r="AQ77">
            <v>89.527199999999993</v>
          </cell>
          <cell r="AR77">
            <v>35</v>
          </cell>
        </row>
        <row r="78">
          <cell r="A78" t="str">
            <v>8160-01-179</v>
          </cell>
          <cell r="B78" t="str">
            <v>Eyal Vardi</v>
          </cell>
          <cell r="C78" t="str">
            <v>055893275</v>
          </cell>
          <cell r="D78" t="e">
            <v>#REF!</v>
          </cell>
          <cell r="F78" t="str">
            <v>אייל ורדי</v>
          </cell>
          <cell r="G78" t="str">
            <v>II</v>
          </cell>
          <cell r="H78" t="str">
            <v>Meitav</v>
          </cell>
          <cell r="I78">
            <v>198602</v>
          </cell>
          <cell r="J78">
            <v>2.7160235102973041E-3</v>
          </cell>
          <cell r="K78">
            <v>1167.0579976847775</v>
          </cell>
          <cell r="L78">
            <v>5582.1354269088251</v>
          </cell>
          <cell r="M78">
            <v>7</v>
          </cell>
          <cell r="N78">
            <v>17</v>
          </cell>
          <cell r="O78">
            <v>6773</v>
          </cell>
          <cell r="Q78">
            <v>153.5331424053677</v>
          </cell>
          <cell r="T78">
            <v>0</v>
          </cell>
          <cell r="U78" t="str">
            <v>IRA</v>
          </cell>
          <cell r="V78">
            <v>153.5331424053677</v>
          </cell>
          <cell r="W78">
            <v>6773</v>
          </cell>
          <cell r="X78">
            <v>0</v>
          </cell>
          <cell r="Y78">
            <v>183726.9</v>
          </cell>
          <cell r="Z78">
            <v>14875</v>
          </cell>
          <cell r="AA78">
            <v>0</v>
          </cell>
          <cell r="AB78">
            <v>0</v>
          </cell>
          <cell r="AC78" t="e">
            <v>#REF!</v>
          </cell>
          <cell r="AD78">
            <v>6773</v>
          </cell>
          <cell r="AE78">
            <v>0</v>
          </cell>
          <cell r="AF78">
            <v>6773</v>
          </cell>
          <cell r="AG78">
            <v>153.5331424053677</v>
          </cell>
          <cell r="AI78">
            <v>5385.8746209195542</v>
          </cell>
          <cell r="AJ78">
            <v>1387.1253790804458</v>
          </cell>
          <cell r="AP78">
            <v>14.223299999999998</v>
          </cell>
          <cell r="AQ78">
            <v>18</v>
          </cell>
          <cell r="AR78">
            <v>35</v>
          </cell>
        </row>
        <row r="79">
          <cell r="A79" t="str">
            <v>8160-01-180</v>
          </cell>
          <cell r="B79" t="str">
            <v>Eli Katzav</v>
          </cell>
          <cell r="C79" t="str">
            <v>053370367</v>
          </cell>
          <cell r="D79" t="e">
            <v>#REF!</v>
          </cell>
          <cell r="F79" t="str">
            <v>אלי קצב</v>
          </cell>
          <cell r="G79" t="str">
            <v>II</v>
          </cell>
          <cell r="H79" t="str">
            <v>Meitav</v>
          </cell>
          <cell r="I79">
            <v>250000</v>
          </cell>
          <cell r="J79">
            <v>3.4189276924417983E-3</v>
          </cell>
          <cell r="K79">
            <v>1469.0914463157189</v>
          </cell>
          <cell r="L79">
            <v>7026.7865214207632</v>
          </cell>
          <cell r="M79">
            <v>9</v>
          </cell>
          <cell r="N79">
            <v>21</v>
          </cell>
          <cell r="O79">
            <v>8526</v>
          </cell>
          <cell r="Q79">
            <v>193.26736690135007</v>
          </cell>
          <cell r="T79">
            <v>0</v>
          </cell>
          <cell r="U79" t="str">
            <v>IRA</v>
          </cell>
          <cell r="V79">
            <v>193.26736690135007</v>
          </cell>
          <cell r="W79">
            <v>8526</v>
          </cell>
          <cell r="X79">
            <v>0</v>
          </cell>
          <cell r="Y79">
            <v>131233.5</v>
          </cell>
          <cell r="Z79">
            <v>10625</v>
          </cell>
          <cell r="AA79">
            <v>0</v>
          </cell>
          <cell r="AB79">
            <v>33152</v>
          </cell>
          <cell r="AC79" t="e">
            <v>#REF!</v>
          </cell>
          <cell r="AD79">
            <v>8526</v>
          </cell>
          <cell r="AE79">
            <v>0</v>
          </cell>
          <cell r="AF79">
            <v>8526</v>
          </cell>
          <cell r="AG79">
            <v>193.26736690135007</v>
          </cell>
          <cell r="AI79">
            <v>6779.7336141120859</v>
          </cell>
          <cell r="AJ79">
            <v>1746.2663858879141</v>
          </cell>
          <cell r="AP79">
            <v>17.904599999999999</v>
          </cell>
          <cell r="AQ79">
            <v>18</v>
          </cell>
          <cell r="AR79">
            <v>35</v>
          </cell>
        </row>
        <row r="80">
          <cell r="A80" t="str">
            <v>8160-01-181</v>
          </cell>
          <cell r="B80" t="str">
            <v>Liora (Nachman) Manor</v>
          </cell>
          <cell r="C80" t="str">
            <v>002239028</v>
          </cell>
          <cell r="D80" t="e">
            <v>#REF!</v>
          </cell>
          <cell r="F80" t="str">
            <v>ליאורה מנור</v>
          </cell>
          <cell r="G80" t="str">
            <v>II</v>
          </cell>
          <cell r="H80" t="str">
            <v>Meitav</v>
          </cell>
          <cell r="I80">
            <v>250000</v>
          </cell>
          <cell r="J80">
            <v>3.4189276924417983E-3</v>
          </cell>
          <cell r="K80">
            <v>1469.0914463157189</v>
          </cell>
          <cell r="L80">
            <v>7026.7865214207632</v>
          </cell>
          <cell r="M80">
            <v>9</v>
          </cell>
          <cell r="N80">
            <v>21</v>
          </cell>
          <cell r="O80">
            <v>8526</v>
          </cell>
          <cell r="Q80">
            <v>193.26736690135007</v>
          </cell>
          <cell r="T80">
            <v>0</v>
          </cell>
          <cell r="U80" t="str">
            <v>IRA</v>
          </cell>
          <cell r="V80">
            <v>193.26736690135007</v>
          </cell>
          <cell r="W80">
            <v>8526</v>
          </cell>
          <cell r="X80">
            <v>0</v>
          </cell>
          <cell r="Y80">
            <v>131233.5</v>
          </cell>
          <cell r="Z80">
            <v>10625</v>
          </cell>
          <cell r="AA80">
            <v>0</v>
          </cell>
          <cell r="AB80">
            <v>33153</v>
          </cell>
          <cell r="AC80" t="e">
            <v>#REF!</v>
          </cell>
          <cell r="AD80">
            <v>8526</v>
          </cell>
          <cell r="AE80">
            <v>0</v>
          </cell>
          <cell r="AF80">
            <v>8526</v>
          </cell>
          <cell r="AG80">
            <v>193.26736690135007</v>
          </cell>
          <cell r="AI80">
            <v>6779.7336141120859</v>
          </cell>
          <cell r="AJ80">
            <v>1746.2663858879141</v>
          </cell>
          <cell r="AP80">
            <v>17.904599999999999</v>
          </cell>
          <cell r="AQ80">
            <v>18</v>
          </cell>
          <cell r="AR80">
            <v>35</v>
          </cell>
        </row>
        <row r="81">
          <cell r="A81" t="str">
            <v>8160-01-182</v>
          </cell>
          <cell r="B81" t="str">
            <v>Amos Nahir</v>
          </cell>
          <cell r="C81" t="str">
            <v>051388411</v>
          </cell>
          <cell r="D81" t="e">
            <v>#REF!</v>
          </cell>
          <cell r="F81" t="str">
            <v>עמוס נהיר</v>
          </cell>
          <cell r="G81" t="str">
            <v>II</v>
          </cell>
          <cell r="H81" t="str">
            <v>Meitav</v>
          </cell>
          <cell r="I81">
            <v>200000</v>
          </cell>
          <cell r="J81">
            <v>2.7351421539534388E-3</v>
          </cell>
          <cell r="K81">
            <v>1175.2731570525752</v>
          </cell>
          <cell r="L81">
            <v>5621.4292171366105</v>
          </cell>
          <cell r="M81">
            <v>7</v>
          </cell>
          <cell r="N81">
            <v>17</v>
          </cell>
          <cell r="O81">
            <v>6821</v>
          </cell>
          <cell r="Q81">
            <v>154.61389352108006</v>
          </cell>
          <cell r="T81">
            <v>0</v>
          </cell>
          <cell r="U81" t="str">
            <v>IRA</v>
          </cell>
          <cell r="V81">
            <v>154.61389352108006</v>
          </cell>
          <cell r="W81">
            <v>6821</v>
          </cell>
          <cell r="X81">
            <v>0</v>
          </cell>
          <cell r="Y81">
            <v>104986.8</v>
          </cell>
          <cell r="Z81">
            <v>8500</v>
          </cell>
          <cell r="AA81">
            <v>0</v>
          </cell>
          <cell r="AB81">
            <v>26522</v>
          </cell>
          <cell r="AC81" t="e">
            <v>#REF!</v>
          </cell>
          <cell r="AD81">
            <v>6821</v>
          </cell>
          <cell r="AE81">
            <v>0</v>
          </cell>
          <cell r="AF81">
            <v>6821</v>
          </cell>
          <cell r="AG81">
            <v>154.61389352108006</v>
          </cell>
          <cell r="AI81">
            <v>5423.7868912896693</v>
          </cell>
          <cell r="AJ81">
            <v>1397.2131087103307</v>
          </cell>
          <cell r="AP81">
            <v>14.3241</v>
          </cell>
          <cell r="AQ81">
            <v>18</v>
          </cell>
          <cell r="AR81">
            <v>35</v>
          </cell>
        </row>
        <row r="82">
          <cell r="A82" t="str">
            <v>8160-01-183</v>
          </cell>
          <cell r="B82" t="str">
            <v>Ran Weldman</v>
          </cell>
          <cell r="C82" t="str">
            <v>055483424</v>
          </cell>
          <cell r="D82" t="e">
            <v>#REF!</v>
          </cell>
          <cell r="F82" t="str">
            <v>רן ולדמן</v>
          </cell>
          <cell r="G82" t="str">
            <v>II</v>
          </cell>
          <cell r="H82" t="str">
            <v>Meitav</v>
          </cell>
          <cell r="I82">
            <v>500000</v>
          </cell>
          <cell r="J82">
            <v>6.8378553848835967E-3</v>
          </cell>
          <cell r="K82">
            <v>2938.1828926314379</v>
          </cell>
          <cell r="L82">
            <v>14053.573042841526</v>
          </cell>
          <cell r="M82">
            <v>17</v>
          </cell>
          <cell r="N82">
            <v>43</v>
          </cell>
          <cell r="O82">
            <v>17052</v>
          </cell>
          <cell r="Q82">
            <v>386.53473380270015</v>
          </cell>
          <cell r="T82">
            <v>0</v>
          </cell>
          <cell r="U82" t="str">
            <v>IRA</v>
          </cell>
          <cell r="V82">
            <v>386.53473380270015</v>
          </cell>
          <cell r="W82">
            <v>17052</v>
          </cell>
          <cell r="X82">
            <v>0</v>
          </cell>
          <cell r="Y82">
            <v>262467</v>
          </cell>
          <cell r="Z82">
            <v>21250</v>
          </cell>
          <cell r="AA82">
            <v>0</v>
          </cell>
          <cell r="AB82">
            <v>66306</v>
          </cell>
          <cell r="AC82" t="e">
            <v>#REF!</v>
          </cell>
          <cell r="AD82">
            <v>17052</v>
          </cell>
          <cell r="AE82">
            <v>0</v>
          </cell>
          <cell r="AF82">
            <v>17052</v>
          </cell>
          <cell r="AG82">
            <v>386.53473380270015</v>
          </cell>
          <cell r="AI82">
            <v>13559.467228224172</v>
          </cell>
          <cell r="AJ82">
            <v>3492.5327717758282</v>
          </cell>
          <cell r="AP82">
            <v>35.809199999999997</v>
          </cell>
          <cell r="AQ82">
            <v>35.809199999999997</v>
          </cell>
          <cell r="AR82">
            <v>35</v>
          </cell>
        </row>
        <row r="83">
          <cell r="A83" t="str">
            <v>8160-01-184</v>
          </cell>
          <cell r="B83" t="str">
            <v>Shlomo Helinger</v>
          </cell>
          <cell r="C83" t="str">
            <v>056394026</v>
          </cell>
          <cell r="D83" t="e">
            <v>#REF!</v>
          </cell>
          <cell r="F83" t="str">
            <v>שלמה הלינגר</v>
          </cell>
          <cell r="G83" t="str">
            <v>II</v>
          </cell>
          <cell r="H83" t="str">
            <v>Meitav</v>
          </cell>
          <cell r="I83">
            <v>250000</v>
          </cell>
          <cell r="J83">
            <v>3.4189276924417983E-3</v>
          </cell>
          <cell r="K83">
            <v>1469.0914463157189</v>
          </cell>
          <cell r="L83">
            <v>7026.7865214207632</v>
          </cell>
          <cell r="M83">
            <v>9</v>
          </cell>
          <cell r="N83">
            <v>21</v>
          </cell>
          <cell r="O83">
            <v>8526</v>
          </cell>
          <cell r="Q83">
            <v>193.26736690135007</v>
          </cell>
          <cell r="T83">
            <v>0</v>
          </cell>
          <cell r="U83" t="str">
            <v>IRA</v>
          </cell>
          <cell r="V83">
            <v>193.26736690135007</v>
          </cell>
          <cell r="W83">
            <v>8526</v>
          </cell>
          <cell r="X83">
            <v>0</v>
          </cell>
          <cell r="Y83">
            <v>131233.5</v>
          </cell>
          <cell r="Z83">
            <v>10625</v>
          </cell>
          <cell r="AA83">
            <v>0</v>
          </cell>
          <cell r="AB83">
            <v>33153</v>
          </cell>
          <cell r="AC83" t="e">
            <v>#REF!</v>
          </cell>
          <cell r="AD83">
            <v>8526</v>
          </cell>
          <cell r="AE83">
            <v>0</v>
          </cell>
          <cell r="AF83">
            <v>8526</v>
          </cell>
          <cell r="AG83">
            <v>193.26736690135007</v>
          </cell>
          <cell r="AI83">
            <v>6779.7336141120859</v>
          </cell>
          <cell r="AJ83">
            <v>1746.2663858879141</v>
          </cell>
          <cell r="AP83">
            <v>17.904599999999999</v>
          </cell>
          <cell r="AQ83">
            <v>18</v>
          </cell>
          <cell r="AR83">
            <v>35</v>
          </cell>
        </row>
        <row r="84">
          <cell r="A84" t="str">
            <v>8160-01-185</v>
          </cell>
          <cell r="B84" t="str">
            <v>Ran Oz</v>
          </cell>
          <cell r="C84" t="str">
            <v>059855924</v>
          </cell>
          <cell r="D84" t="e">
            <v>#REF!</v>
          </cell>
          <cell r="F84" t="str">
            <v>רן מנחם עוז</v>
          </cell>
          <cell r="G84" t="str">
            <v>I</v>
          </cell>
          <cell r="H84" t="str">
            <v>Meitav</v>
          </cell>
          <cell r="I84">
            <v>250000</v>
          </cell>
          <cell r="J84">
            <v>3.4189276924417983E-3</v>
          </cell>
          <cell r="K84">
            <v>1469.0914463157189</v>
          </cell>
          <cell r="L84">
            <v>7026.7865214207632</v>
          </cell>
          <cell r="M84">
            <v>9</v>
          </cell>
          <cell r="N84">
            <v>21</v>
          </cell>
          <cell r="O84">
            <v>8526</v>
          </cell>
          <cell r="Q84">
            <v>193.26736690135007</v>
          </cell>
          <cell r="T84">
            <v>0</v>
          </cell>
          <cell r="U84" t="str">
            <v>IRA</v>
          </cell>
          <cell r="V84">
            <v>193.26736690135007</v>
          </cell>
          <cell r="W84">
            <v>8526</v>
          </cell>
          <cell r="X84">
            <v>83333.332999999999</v>
          </cell>
          <cell r="Y84">
            <v>47900.25</v>
          </cell>
          <cell r="Z84">
            <v>10625</v>
          </cell>
          <cell r="AA84">
            <v>0</v>
          </cell>
          <cell r="AB84">
            <v>33153</v>
          </cell>
          <cell r="AC84" t="e">
            <v>#REF!</v>
          </cell>
          <cell r="AD84">
            <v>8526</v>
          </cell>
          <cell r="AE84">
            <v>0</v>
          </cell>
          <cell r="AF84">
            <v>8526</v>
          </cell>
          <cell r="AG84">
            <v>193.26736690135007</v>
          </cell>
          <cell r="AI84">
            <v>6779.7336141120859</v>
          </cell>
          <cell r="AJ84">
            <v>1746.2663858879141</v>
          </cell>
          <cell r="AP84">
            <v>17.904599999999999</v>
          </cell>
          <cell r="AQ84">
            <v>18</v>
          </cell>
          <cell r="AR84">
            <v>35</v>
          </cell>
        </row>
        <row r="85">
          <cell r="A85" t="str">
            <v>8160-01-186</v>
          </cell>
          <cell r="B85" t="str">
            <v>Amotz Yarden</v>
          </cell>
          <cell r="C85">
            <v>53930681</v>
          </cell>
          <cell r="D85" t="e">
            <v>#REF!</v>
          </cell>
          <cell r="F85" t="str">
            <v>אמוץ ירדן</v>
          </cell>
          <cell r="G85" t="str">
            <v>III</v>
          </cell>
          <cell r="I85">
            <v>555000</v>
          </cell>
          <cell r="J85">
            <v>7.5900194772207923E-3</v>
          </cell>
          <cell r="K85">
            <v>3261.3830108208958</v>
          </cell>
          <cell r="L85">
            <v>15599.466077554094</v>
          </cell>
          <cell r="M85">
            <v>20</v>
          </cell>
          <cell r="N85">
            <v>48</v>
          </cell>
          <cell r="O85">
            <v>18929</v>
          </cell>
          <cell r="P85">
            <v>815.34575270522396</v>
          </cell>
          <cell r="Q85">
            <v>429.05355452099718</v>
          </cell>
          <cell r="R85">
            <v>-429.05355452099718</v>
          </cell>
          <cell r="S85">
            <v>386.29219818422678</v>
          </cell>
          <cell r="T85">
            <v>386.29219818422678</v>
          </cell>
          <cell r="U85" t="str">
            <v>X</v>
          </cell>
          <cell r="W85">
            <v>18543</v>
          </cell>
          <cell r="X85">
            <v>0</v>
          </cell>
          <cell r="Y85">
            <v>0</v>
          </cell>
          <cell r="Z85">
            <v>314926</v>
          </cell>
          <cell r="AA85">
            <v>0</v>
          </cell>
          <cell r="AB85">
            <v>73600</v>
          </cell>
          <cell r="AC85" t="str">
            <v>Zero investment in 2019</v>
          </cell>
          <cell r="AD85">
            <v>18929</v>
          </cell>
          <cell r="AE85">
            <v>386.29219818422678</v>
          </cell>
          <cell r="AF85">
            <v>18543</v>
          </cell>
          <cell r="AG85">
            <v>815.34575270522396</v>
          </cell>
          <cell r="AI85">
            <v>15051.008623328831</v>
          </cell>
          <cell r="AJ85">
            <v>3877.9913766711688</v>
          </cell>
          <cell r="AP85">
            <v>38.940300000000001</v>
          </cell>
          <cell r="AQ85">
            <v>38.940300000000001</v>
          </cell>
          <cell r="AR85">
            <v>35</v>
          </cell>
        </row>
        <row r="86">
          <cell r="A86" t="str">
            <v>8160-01-187</v>
          </cell>
          <cell r="B86" t="str">
            <v>Eli Amit</v>
          </cell>
          <cell r="C86" t="str">
            <v>525944900</v>
          </cell>
          <cell r="D86" t="e">
            <v>#REF!</v>
          </cell>
          <cell r="F86" t="str">
            <v>אלי עמית</v>
          </cell>
          <cell r="G86" t="str">
            <v>III</v>
          </cell>
          <cell r="H86" t="str">
            <v>Kal-Gemel</v>
          </cell>
          <cell r="I86">
            <v>290000</v>
          </cell>
          <cell r="J86">
            <v>3.9659561232324864E-3</v>
          </cell>
          <cell r="K86">
            <v>1704.1460777262341</v>
          </cell>
          <cell r="L86">
            <v>8151.0723648480853</v>
          </cell>
          <cell r="M86">
            <v>10</v>
          </cell>
          <cell r="N86">
            <v>25</v>
          </cell>
          <cell r="O86">
            <v>9890</v>
          </cell>
          <cell r="Q86">
            <v>224.1901456055661</v>
          </cell>
          <cell r="T86">
            <v>0</v>
          </cell>
          <cell r="U86" t="str">
            <v>IRA</v>
          </cell>
          <cell r="V86">
            <v>224.1901456055661</v>
          </cell>
          <cell r="W86">
            <v>9890</v>
          </cell>
          <cell r="X86">
            <v>0</v>
          </cell>
          <cell r="Y86">
            <v>0</v>
          </cell>
          <cell r="Z86">
            <v>164556</v>
          </cell>
          <cell r="AA86">
            <v>0</v>
          </cell>
          <cell r="AB86">
            <v>38458</v>
          </cell>
          <cell r="AC86" t="str">
            <v>Zero investment in 2019</v>
          </cell>
          <cell r="AD86">
            <v>9890</v>
          </cell>
          <cell r="AE86">
            <v>0</v>
          </cell>
          <cell r="AF86">
            <v>9890</v>
          </cell>
          <cell r="AG86">
            <v>224.1901456055661</v>
          </cell>
          <cell r="AI86">
            <v>7864.4909923700206</v>
          </cell>
          <cell r="AJ86">
            <v>2025.5090076299794</v>
          </cell>
          <cell r="AP86">
            <v>20.768999999999998</v>
          </cell>
          <cell r="AQ86">
            <v>20.768999999999998</v>
          </cell>
          <cell r="AR86">
            <v>35</v>
          </cell>
        </row>
        <row r="87">
          <cell r="A87" t="str">
            <v>8160-01-188</v>
          </cell>
          <cell r="B87" t="str">
            <v>Yoram &amp; Smadar Gurwich</v>
          </cell>
          <cell r="C87" t="str">
            <v>Yoram- 064445661
Smadar - 054119714</v>
          </cell>
          <cell r="D87" t="e">
            <v>#REF!</v>
          </cell>
          <cell r="F87" t="str">
            <v>יורם גורביץ וסמדר גורביץ</v>
          </cell>
          <cell r="G87" t="str">
            <v>III</v>
          </cell>
          <cell r="I87">
            <v>250000</v>
          </cell>
          <cell r="J87">
            <v>3.4189276924417983E-3</v>
          </cell>
          <cell r="K87">
            <v>1469.0914463157189</v>
          </cell>
          <cell r="L87">
            <v>7026.7865214207632</v>
          </cell>
          <cell r="M87">
            <v>9</v>
          </cell>
          <cell r="N87">
            <v>21</v>
          </cell>
          <cell r="O87">
            <v>8526</v>
          </cell>
          <cell r="P87">
            <v>367.27286157892974</v>
          </cell>
          <cell r="Q87">
            <v>193.26736690135007</v>
          </cell>
          <cell r="R87">
            <v>-193.26736690135007</v>
          </cell>
          <cell r="S87">
            <v>174.00549467757966</v>
          </cell>
          <cell r="T87">
            <v>174.00549467757966</v>
          </cell>
          <cell r="U87" t="str">
            <v>X</v>
          </cell>
          <cell r="W87">
            <v>8352</v>
          </cell>
          <cell r="X87">
            <v>0</v>
          </cell>
          <cell r="Y87">
            <v>0</v>
          </cell>
          <cell r="Z87">
            <v>141858</v>
          </cell>
          <cell r="AA87">
            <v>0</v>
          </cell>
          <cell r="AB87">
            <v>33153</v>
          </cell>
          <cell r="AC87" t="str">
            <v>Zero investment in 2019</v>
          </cell>
          <cell r="AD87">
            <v>8526</v>
          </cell>
          <cell r="AE87">
            <v>174.00549467757966</v>
          </cell>
          <cell r="AF87">
            <v>8352</v>
          </cell>
          <cell r="AG87">
            <v>367.27286157892974</v>
          </cell>
          <cell r="AI87">
            <v>6779.7336141120859</v>
          </cell>
          <cell r="AJ87">
            <v>1746.2663858879141</v>
          </cell>
          <cell r="AP87">
            <v>17.539199999999997</v>
          </cell>
          <cell r="AQ87">
            <v>18</v>
          </cell>
          <cell r="AR87">
            <v>35</v>
          </cell>
        </row>
        <row r="88">
          <cell r="A88" t="str">
            <v>8160-01-189</v>
          </cell>
          <cell r="B88" t="str">
            <v>Channa Sharef</v>
          </cell>
          <cell r="C88" t="str">
            <v>001075324</v>
          </cell>
          <cell r="D88" t="e">
            <v>#REF!</v>
          </cell>
          <cell r="F88" t="str">
            <v>חנה שרף</v>
          </cell>
          <cell r="G88" t="str">
            <v>III</v>
          </cell>
          <cell r="H88" t="str">
            <v>Meitav</v>
          </cell>
          <cell r="I88">
            <v>250000</v>
          </cell>
          <cell r="J88">
            <v>3.4189276924417983E-3</v>
          </cell>
          <cell r="K88">
            <v>1469.0914463157189</v>
          </cell>
          <cell r="L88">
            <v>7026.7865214207632</v>
          </cell>
          <cell r="M88">
            <v>9</v>
          </cell>
          <cell r="N88">
            <v>21</v>
          </cell>
          <cell r="O88">
            <v>8526</v>
          </cell>
          <cell r="Q88">
            <v>193.26736690135007</v>
          </cell>
          <cell r="T88">
            <v>0</v>
          </cell>
          <cell r="U88" t="str">
            <v>IRA</v>
          </cell>
          <cell r="V88">
            <v>193.26736690135007</v>
          </cell>
          <cell r="W88">
            <v>8526</v>
          </cell>
          <cell r="X88">
            <v>0</v>
          </cell>
          <cell r="Y88">
            <v>0</v>
          </cell>
          <cell r="Z88">
            <v>141858</v>
          </cell>
          <cell r="AA88">
            <v>0</v>
          </cell>
          <cell r="AB88">
            <v>33153</v>
          </cell>
          <cell r="AC88" t="str">
            <v>Zero investment in 2019</v>
          </cell>
          <cell r="AD88">
            <v>8526</v>
          </cell>
          <cell r="AE88">
            <v>0</v>
          </cell>
          <cell r="AF88">
            <v>8526</v>
          </cell>
          <cell r="AG88">
            <v>193.26736690135007</v>
          </cell>
          <cell r="AI88">
            <v>6779.7336141120859</v>
          </cell>
          <cell r="AJ88">
            <v>1746.2663858879141</v>
          </cell>
          <cell r="AP88">
            <v>17.904599999999999</v>
          </cell>
          <cell r="AQ88">
            <v>18</v>
          </cell>
          <cell r="AR88">
            <v>35</v>
          </cell>
        </row>
        <row r="89">
          <cell r="A89" t="str">
            <v>8160-01-190</v>
          </cell>
          <cell r="B89" t="str">
            <v>Yair Amit</v>
          </cell>
          <cell r="C89" t="str">
            <v>038757068</v>
          </cell>
          <cell r="D89" t="e">
            <v>#REF!</v>
          </cell>
          <cell r="F89" t="str">
            <v>יאיר עמית</v>
          </cell>
          <cell r="G89" t="str">
            <v>III</v>
          </cell>
          <cell r="I89">
            <v>250000</v>
          </cell>
          <cell r="J89">
            <v>3.4189276924417983E-3</v>
          </cell>
          <cell r="K89">
            <v>1469.0914463157189</v>
          </cell>
          <cell r="L89">
            <v>7026.7865214207632</v>
          </cell>
          <cell r="M89">
            <v>8.8000000000001819</v>
          </cell>
          <cell r="N89">
            <v>21</v>
          </cell>
          <cell r="O89">
            <v>8526</v>
          </cell>
          <cell r="P89">
            <v>367.27286157892974</v>
          </cell>
          <cell r="Q89">
            <v>193.26736690135007</v>
          </cell>
          <cell r="R89">
            <v>-193.26736690135007</v>
          </cell>
          <cell r="S89">
            <v>174.00549467757966</v>
          </cell>
          <cell r="T89">
            <v>174.00549467757966</v>
          </cell>
          <cell r="U89" t="str">
            <v>X</v>
          </cell>
          <cell r="W89">
            <v>8352</v>
          </cell>
          <cell r="X89">
            <v>0</v>
          </cell>
          <cell r="Y89">
            <v>0</v>
          </cell>
          <cell r="Z89">
            <v>141858</v>
          </cell>
          <cell r="AA89">
            <v>0</v>
          </cell>
          <cell r="AB89">
            <v>33153</v>
          </cell>
          <cell r="AC89" t="str">
            <v>Zero investment in 2019</v>
          </cell>
          <cell r="AD89">
            <v>8526</v>
          </cell>
          <cell r="AE89">
            <v>174.00549467757966</v>
          </cell>
          <cell r="AF89">
            <v>8352</v>
          </cell>
          <cell r="AG89">
            <v>367.27286157892974</v>
          </cell>
          <cell r="AI89">
            <v>6779.7336141120859</v>
          </cell>
          <cell r="AJ89">
            <v>1746.2663858879141</v>
          </cell>
          <cell r="AP89">
            <v>17.539199999999997</v>
          </cell>
          <cell r="AQ89">
            <v>18</v>
          </cell>
          <cell r="AR89">
            <v>35</v>
          </cell>
        </row>
        <row r="90">
          <cell r="A90" t="str">
            <v>8160-01-191</v>
          </cell>
          <cell r="B90" t="str">
            <v>Ariel Cohen</v>
          </cell>
          <cell r="C90" t="str">
            <v>Ariel - 056164510
Nurit - 022583181</v>
          </cell>
          <cell r="D90" t="e">
            <v>#REF!</v>
          </cell>
          <cell r="F90" t="str">
            <v>אריאל כהן ונורית כהן</v>
          </cell>
          <cell r="G90" t="str">
            <v>III</v>
          </cell>
          <cell r="I90">
            <v>300000</v>
          </cell>
          <cell r="J90">
            <v>4.1027132309301578E-3</v>
          </cell>
          <cell r="K90">
            <v>1762.9097355788626</v>
          </cell>
          <cell r="L90">
            <v>8432.1438257049158</v>
          </cell>
          <cell r="M90">
            <v>10</v>
          </cell>
          <cell r="N90">
            <v>25</v>
          </cell>
          <cell r="O90">
            <v>10230</v>
          </cell>
          <cell r="P90">
            <v>440.72743389471566</v>
          </cell>
          <cell r="Q90">
            <v>231.92084028162006</v>
          </cell>
          <cell r="R90">
            <v>-231.92084028162006</v>
          </cell>
          <cell r="S90">
            <v>208.8065936130956</v>
          </cell>
          <cell r="T90">
            <v>208.8065936130956</v>
          </cell>
          <cell r="U90" t="str">
            <v>X</v>
          </cell>
          <cell r="W90">
            <v>10021</v>
          </cell>
          <cell r="X90">
            <v>0</v>
          </cell>
          <cell r="Y90">
            <v>0</v>
          </cell>
          <cell r="Z90">
            <v>170230</v>
          </cell>
          <cell r="AA90">
            <v>0</v>
          </cell>
          <cell r="AB90">
            <v>39784</v>
          </cell>
          <cell r="AC90" t="str">
            <v>Zero investment in 2019</v>
          </cell>
          <cell r="AD90">
            <v>10230</v>
          </cell>
          <cell r="AE90">
            <v>208.8065936130956</v>
          </cell>
          <cell r="AF90">
            <v>10021</v>
          </cell>
          <cell r="AG90">
            <v>440.72743389471566</v>
          </cell>
          <cell r="AI90">
            <v>8135.6803369345025</v>
          </cell>
          <cell r="AJ90">
            <v>2094.3196630654975</v>
          </cell>
          <cell r="AP90">
            <v>21.0441</v>
          </cell>
          <cell r="AQ90">
            <v>21.0441</v>
          </cell>
          <cell r="AR90">
            <v>35</v>
          </cell>
        </row>
        <row r="91">
          <cell r="A91" t="str">
            <v>8160-01-192</v>
          </cell>
          <cell r="B91" t="str">
            <v>Ranuman LTD</v>
          </cell>
          <cell r="C91">
            <v>514201912</v>
          </cell>
          <cell r="D91" t="e">
            <v>#REF!</v>
          </cell>
          <cell r="E91" t="str">
            <v>Ranuman LTD</v>
          </cell>
          <cell r="F91" t="str">
            <v>רנאומן בע"מ</v>
          </cell>
          <cell r="G91" t="str">
            <v>III</v>
          </cell>
          <cell r="I91">
            <v>500000</v>
          </cell>
          <cell r="J91">
            <v>6.8378553848835967E-3</v>
          </cell>
          <cell r="K91">
            <v>2938.1828926314379</v>
          </cell>
          <cell r="L91">
            <v>14053.573042841526</v>
          </cell>
          <cell r="M91">
            <v>17</v>
          </cell>
          <cell r="N91">
            <v>43</v>
          </cell>
          <cell r="O91">
            <v>17052</v>
          </cell>
          <cell r="Q91">
            <v>386.53473380270015</v>
          </cell>
          <cell r="T91">
            <v>0</v>
          </cell>
          <cell r="U91" t="str">
            <v>V</v>
          </cell>
          <cell r="V91">
            <v>386.53473380270015</v>
          </cell>
          <cell r="W91">
            <v>17052</v>
          </cell>
          <cell r="X91" t="e">
            <v>#N/A</v>
          </cell>
          <cell r="Y91" t="e">
            <v>#N/A</v>
          </cell>
          <cell r="Z91" t="e">
            <v>#N/A</v>
          </cell>
          <cell r="AA91" t="e">
            <v>#N/A</v>
          </cell>
          <cell r="AB91" t="e">
            <v>#N/A</v>
          </cell>
          <cell r="AC91" t="str">
            <v>Zero investment in 2019</v>
          </cell>
          <cell r="AD91">
            <v>17052</v>
          </cell>
          <cell r="AE91">
            <v>0</v>
          </cell>
          <cell r="AF91">
            <v>17052</v>
          </cell>
          <cell r="AG91">
            <v>386.53473380270015</v>
          </cell>
          <cell r="AI91">
            <v>13559.467228224172</v>
          </cell>
          <cell r="AJ91">
            <v>3492.5327717758282</v>
          </cell>
          <cell r="AP91">
            <v>35.809199999999997</v>
          </cell>
          <cell r="AQ91">
            <v>35.809199999999997</v>
          </cell>
          <cell r="AR91">
            <v>35</v>
          </cell>
        </row>
        <row r="92">
          <cell r="A92" t="str">
            <v>8160-01-193</v>
          </cell>
          <cell r="B92" t="str">
            <v>Gabriela Avron</v>
          </cell>
          <cell r="C92" t="str">
            <v>026127795</v>
          </cell>
          <cell r="D92" t="e">
            <v>#REF!</v>
          </cell>
          <cell r="F92" t="str">
            <v>גבריאלה אברון</v>
          </cell>
          <cell r="G92" t="str">
            <v>III</v>
          </cell>
          <cell r="I92">
            <v>150000</v>
          </cell>
          <cell r="J92">
            <v>2.0513566154650789E-3</v>
          </cell>
          <cell r="K92">
            <v>881.45486778943132</v>
          </cell>
          <cell r="L92">
            <v>4216.0719128524579</v>
          </cell>
          <cell r="M92">
            <v>6</v>
          </cell>
          <cell r="N92">
            <v>13</v>
          </cell>
          <cell r="O92">
            <v>5117</v>
          </cell>
          <cell r="P92">
            <v>220.36371694735783</v>
          </cell>
          <cell r="Q92">
            <v>115.96042014081003</v>
          </cell>
          <cell r="R92">
            <v>-115.96042014081003</v>
          </cell>
          <cell r="S92">
            <v>104.4032968065478</v>
          </cell>
          <cell r="T92">
            <v>104.4032968065478</v>
          </cell>
          <cell r="U92" t="str">
            <v>X</v>
          </cell>
          <cell r="W92">
            <v>5013</v>
          </cell>
          <cell r="X92">
            <v>0</v>
          </cell>
          <cell r="Y92">
            <v>0</v>
          </cell>
          <cell r="Z92">
            <v>85112.5</v>
          </cell>
          <cell r="AA92">
            <v>0</v>
          </cell>
          <cell r="AB92">
            <v>19891.5</v>
          </cell>
          <cell r="AC92" t="str">
            <v>Zero investment in 2019</v>
          </cell>
          <cell r="AD92">
            <v>5117</v>
          </cell>
          <cell r="AE92">
            <v>104.4032968065478</v>
          </cell>
          <cell r="AF92">
            <v>5013</v>
          </cell>
          <cell r="AG92">
            <v>220.36371694735783</v>
          </cell>
          <cell r="AI92">
            <v>4067.8401684672513</v>
          </cell>
          <cell r="AJ92">
            <v>1049.1598315327487</v>
          </cell>
          <cell r="AP92">
            <v>10.527299999999999</v>
          </cell>
          <cell r="AQ92">
            <v>18</v>
          </cell>
          <cell r="AR92">
            <v>35</v>
          </cell>
        </row>
        <row r="93">
          <cell r="A93" t="str">
            <v>8160-01-194</v>
          </cell>
          <cell r="B93" t="str">
            <v>Ilan Cohen</v>
          </cell>
          <cell r="C93" t="str">
            <v>058105131</v>
          </cell>
          <cell r="D93" t="e">
            <v>#REF!</v>
          </cell>
          <cell r="F93" t="str">
            <v>אילן כהן</v>
          </cell>
          <cell r="G93" t="str">
            <v>III</v>
          </cell>
          <cell r="I93">
            <v>100000</v>
          </cell>
          <cell r="J93">
            <v>1.3675710769767194E-3</v>
          </cell>
          <cell r="K93">
            <v>587.63657852628762</v>
          </cell>
          <cell r="L93">
            <v>2810.7146085683053</v>
          </cell>
          <cell r="M93">
            <v>3</v>
          </cell>
          <cell r="N93">
            <v>8</v>
          </cell>
          <cell r="O93">
            <v>3409</v>
          </cell>
          <cell r="P93">
            <v>146.90914463157191</v>
          </cell>
          <cell r="Q93">
            <v>77.306946760540029</v>
          </cell>
          <cell r="R93">
            <v>-77.306946760540029</v>
          </cell>
          <cell r="S93">
            <v>69.602197871031876</v>
          </cell>
          <cell r="T93">
            <v>69.602197871031876</v>
          </cell>
          <cell r="U93" t="str">
            <v>X</v>
          </cell>
          <cell r="W93">
            <v>3339</v>
          </cell>
          <cell r="X93">
            <v>0</v>
          </cell>
          <cell r="Y93">
            <v>0</v>
          </cell>
          <cell r="Z93">
            <v>56743</v>
          </cell>
          <cell r="AA93">
            <v>0</v>
          </cell>
          <cell r="AB93">
            <v>13261</v>
          </cell>
          <cell r="AC93" t="str">
            <v>Zero investment in 2019</v>
          </cell>
          <cell r="AD93">
            <v>3409</v>
          </cell>
          <cell r="AE93">
            <v>69.602197871031876</v>
          </cell>
          <cell r="AF93">
            <v>3339</v>
          </cell>
          <cell r="AG93">
            <v>146.90914463157191</v>
          </cell>
          <cell r="AI93">
            <v>2711.8934456448346</v>
          </cell>
          <cell r="AJ93">
            <v>697.10655435516537</v>
          </cell>
          <cell r="AP93">
            <v>7.0118999999999998</v>
          </cell>
          <cell r="AQ93">
            <v>18</v>
          </cell>
          <cell r="AR93">
            <v>35</v>
          </cell>
        </row>
        <row r="94">
          <cell r="A94" t="str">
            <v>8160-01-195</v>
          </cell>
          <cell r="B94" t="str">
            <v>Kopelman LTD</v>
          </cell>
          <cell r="C94">
            <v>510204555</v>
          </cell>
          <cell r="D94" t="e">
            <v>#REF!</v>
          </cell>
          <cell r="E94" t="str">
            <v>Kopelman LTD</v>
          </cell>
          <cell r="F94" t="str">
            <v>חברת קופלמן בע"מ</v>
          </cell>
          <cell r="G94" t="str">
            <v>III</v>
          </cell>
          <cell r="I94">
            <v>250000</v>
          </cell>
          <cell r="J94">
            <v>3.4189276924417983E-3</v>
          </cell>
          <cell r="K94">
            <v>1469.0914463157189</v>
          </cell>
          <cell r="L94">
            <v>7026.7865214207632</v>
          </cell>
          <cell r="M94">
            <v>9</v>
          </cell>
          <cell r="N94">
            <v>21</v>
          </cell>
          <cell r="O94">
            <v>8526</v>
          </cell>
          <cell r="P94">
            <v>367.27286157892974</v>
          </cell>
          <cell r="Q94">
            <v>193.26736690135007</v>
          </cell>
          <cell r="R94">
            <v>-193.26736690135007</v>
          </cell>
          <cell r="S94">
            <v>174.00549467757966</v>
          </cell>
          <cell r="T94">
            <v>174.00549467757966</v>
          </cell>
          <cell r="U94" t="str">
            <v>X</v>
          </cell>
          <cell r="W94">
            <v>8352</v>
          </cell>
          <cell r="X94" t="e">
            <v>#N/A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str">
            <v>Zero investment in 2019</v>
          </cell>
          <cell r="AD94">
            <v>8526</v>
          </cell>
          <cell r="AE94">
            <v>174.00549467757966</v>
          </cell>
          <cell r="AF94">
            <v>8352</v>
          </cell>
          <cell r="AG94">
            <v>367.27286157892974</v>
          </cell>
          <cell r="AI94">
            <v>6779.7336141120859</v>
          </cell>
          <cell r="AJ94">
            <v>1746.2663858879141</v>
          </cell>
          <cell r="AP94">
            <v>17.539199999999997</v>
          </cell>
          <cell r="AQ94">
            <v>18</v>
          </cell>
          <cell r="AR94">
            <v>35</v>
          </cell>
        </row>
        <row r="95">
          <cell r="A95" t="str">
            <v>8160-01-196</v>
          </cell>
          <cell r="B95" t="str">
            <v>Michael lutzky</v>
          </cell>
          <cell r="C95" t="str">
            <v>017518861</v>
          </cell>
          <cell r="D95" t="e">
            <v>#REF!</v>
          </cell>
          <cell r="F95" t="str">
            <v>מיכאל לוצקי</v>
          </cell>
          <cell r="G95" t="str">
            <v>III</v>
          </cell>
          <cell r="I95">
            <v>300000</v>
          </cell>
          <cell r="J95">
            <v>4.1027132309301578E-3</v>
          </cell>
          <cell r="K95">
            <v>1762.9097355788626</v>
          </cell>
          <cell r="L95">
            <v>8432.1438257049158</v>
          </cell>
          <cell r="M95">
            <v>10</v>
          </cell>
          <cell r="N95">
            <v>25</v>
          </cell>
          <cell r="O95">
            <v>10230</v>
          </cell>
          <cell r="P95">
            <v>440.72743389471566</v>
          </cell>
          <cell r="Q95">
            <v>231.92084028162006</v>
          </cell>
          <cell r="R95">
            <v>-231.92084028162006</v>
          </cell>
          <cell r="S95">
            <v>208.8065936130956</v>
          </cell>
          <cell r="T95">
            <v>208.8065936130956</v>
          </cell>
          <cell r="U95" t="str">
            <v>X</v>
          </cell>
          <cell r="W95">
            <v>10021</v>
          </cell>
          <cell r="X95">
            <v>0</v>
          </cell>
          <cell r="Y95">
            <v>0</v>
          </cell>
          <cell r="Z95">
            <v>170230</v>
          </cell>
          <cell r="AA95">
            <v>0</v>
          </cell>
          <cell r="AB95">
            <v>39784</v>
          </cell>
          <cell r="AC95" t="str">
            <v>Zero investment in 2019</v>
          </cell>
          <cell r="AD95">
            <v>10230</v>
          </cell>
          <cell r="AE95">
            <v>208.8065936130956</v>
          </cell>
          <cell r="AF95">
            <v>10021</v>
          </cell>
          <cell r="AG95">
            <v>440.72743389471566</v>
          </cell>
          <cell r="AI95">
            <v>8135.6803369345025</v>
          </cell>
          <cell r="AJ95">
            <v>2094.3196630654975</v>
          </cell>
          <cell r="AP95">
            <v>21.0441</v>
          </cell>
          <cell r="AQ95">
            <v>21.0441</v>
          </cell>
          <cell r="AR95">
            <v>35</v>
          </cell>
        </row>
        <row r="96">
          <cell r="A96" t="str">
            <v>8160-01-197</v>
          </cell>
          <cell r="B96" t="str">
            <v>Nirit Leshem</v>
          </cell>
          <cell r="C96">
            <v>56158298</v>
          </cell>
          <cell r="D96" t="e">
            <v>#REF!</v>
          </cell>
          <cell r="F96" t="str">
            <v>נירית לשם</v>
          </cell>
          <cell r="G96" t="str">
            <v>III</v>
          </cell>
          <cell r="I96">
            <v>250000</v>
          </cell>
          <cell r="J96">
            <v>3.4189276924417983E-3</v>
          </cell>
          <cell r="K96">
            <v>1469.0914463157189</v>
          </cell>
          <cell r="L96">
            <v>7026.7865214207632</v>
          </cell>
          <cell r="M96">
            <v>9</v>
          </cell>
          <cell r="N96">
            <v>21</v>
          </cell>
          <cell r="O96">
            <v>8526</v>
          </cell>
          <cell r="P96">
            <v>367.27286157892974</v>
          </cell>
          <cell r="Q96">
            <v>193.26736690135007</v>
          </cell>
          <cell r="R96">
            <v>-193.26736690135007</v>
          </cell>
          <cell r="S96">
            <v>174.00549467757966</v>
          </cell>
          <cell r="T96">
            <v>174.00549467757966</v>
          </cell>
          <cell r="U96" t="str">
            <v>X</v>
          </cell>
          <cell r="W96">
            <v>8352</v>
          </cell>
          <cell r="X96">
            <v>0</v>
          </cell>
          <cell r="Y96">
            <v>0</v>
          </cell>
          <cell r="Z96">
            <v>141858</v>
          </cell>
          <cell r="AA96">
            <v>0</v>
          </cell>
          <cell r="AB96">
            <v>33153</v>
          </cell>
          <cell r="AC96" t="str">
            <v>Zero investment in 2019</v>
          </cell>
          <cell r="AD96">
            <v>8526</v>
          </cell>
          <cell r="AE96">
            <v>174.00549467757966</v>
          </cell>
          <cell r="AF96">
            <v>8352</v>
          </cell>
          <cell r="AG96">
            <v>367.27286157892974</v>
          </cell>
          <cell r="AI96">
            <v>6779.7336141120859</v>
          </cell>
          <cell r="AJ96">
            <v>1746.2663858879141</v>
          </cell>
          <cell r="AP96">
            <v>17.539199999999997</v>
          </cell>
          <cell r="AQ96">
            <v>18</v>
          </cell>
          <cell r="AR96">
            <v>35</v>
          </cell>
        </row>
        <row r="97">
          <cell r="A97" t="str">
            <v>8160-01-198</v>
          </cell>
          <cell r="B97" t="str">
            <v>Nurit Cohen</v>
          </cell>
          <cell r="C97" t="str">
            <v>001634542</v>
          </cell>
          <cell r="D97" t="e">
            <v>#REF!</v>
          </cell>
          <cell r="F97" t="str">
            <v>נורית כהן</v>
          </cell>
          <cell r="G97" t="str">
            <v>III</v>
          </cell>
          <cell r="I97">
            <v>300000</v>
          </cell>
          <cell r="J97">
            <v>4.1027132309301578E-3</v>
          </cell>
          <cell r="K97">
            <v>1762.9097355788626</v>
          </cell>
          <cell r="L97">
            <v>8432.1438257049158</v>
          </cell>
          <cell r="M97">
            <v>10</v>
          </cell>
          <cell r="N97">
            <v>25</v>
          </cell>
          <cell r="O97">
            <v>10230</v>
          </cell>
          <cell r="P97">
            <v>440.72743389471566</v>
          </cell>
          <cell r="Q97">
            <v>231.92084028162006</v>
          </cell>
          <cell r="R97">
            <v>-231.92084028162006</v>
          </cell>
          <cell r="S97">
            <v>208.8065936130956</v>
          </cell>
          <cell r="T97">
            <v>208.8065936130956</v>
          </cell>
          <cell r="U97" t="str">
            <v>X</v>
          </cell>
          <cell r="W97">
            <v>10021</v>
          </cell>
          <cell r="X97">
            <v>0</v>
          </cell>
          <cell r="Y97">
            <v>0</v>
          </cell>
          <cell r="Z97">
            <v>170230</v>
          </cell>
          <cell r="AA97">
            <v>0</v>
          </cell>
          <cell r="AB97">
            <v>39784</v>
          </cell>
          <cell r="AC97" t="str">
            <v>Zero investment in 2019</v>
          </cell>
          <cell r="AD97">
            <v>10230</v>
          </cell>
          <cell r="AE97">
            <v>208.8065936130956</v>
          </cell>
          <cell r="AF97">
            <v>10021</v>
          </cell>
          <cell r="AG97">
            <v>440.72743389471566</v>
          </cell>
          <cell r="AI97">
            <v>8135.6803369345025</v>
          </cell>
          <cell r="AJ97">
            <v>2094.3196630654975</v>
          </cell>
          <cell r="AP97">
            <v>21.0441</v>
          </cell>
          <cell r="AQ97">
            <v>21.0441</v>
          </cell>
          <cell r="AR97">
            <v>35</v>
          </cell>
        </row>
        <row r="98">
          <cell r="A98" t="str">
            <v>8160-01-199</v>
          </cell>
          <cell r="B98" t="str">
            <v>Ofer Adler</v>
          </cell>
          <cell r="C98" t="str">
            <v>027750660</v>
          </cell>
          <cell r="D98" t="e">
            <v>#REF!</v>
          </cell>
          <cell r="F98" t="str">
            <v>עופר אדלר</v>
          </cell>
          <cell r="G98" t="str">
            <v>III</v>
          </cell>
          <cell r="I98">
            <v>280000</v>
          </cell>
          <cell r="J98">
            <v>3.829199015534814E-3</v>
          </cell>
          <cell r="K98">
            <v>1645.3824198736052</v>
          </cell>
          <cell r="L98">
            <v>7870.0009039912538</v>
          </cell>
          <cell r="M98">
            <v>10</v>
          </cell>
          <cell r="N98">
            <v>24</v>
          </cell>
          <cell r="O98">
            <v>9549</v>
          </cell>
          <cell r="P98">
            <v>411.34560496840129</v>
          </cell>
          <cell r="Q98">
            <v>216.45945092951206</v>
          </cell>
          <cell r="R98">
            <v>-216.45945092951206</v>
          </cell>
          <cell r="S98">
            <v>194.88615403888923</v>
          </cell>
          <cell r="T98">
            <v>194.88615403888923</v>
          </cell>
          <cell r="U98" t="str">
            <v>X</v>
          </cell>
          <cell r="W98">
            <v>9354</v>
          </cell>
          <cell r="X98">
            <v>0</v>
          </cell>
          <cell r="Y98">
            <v>0</v>
          </cell>
          <cell r="Z98">
            <v>158881</v>
          </cell>
          <cell r="AA98">
            <v>0</v>
          </cell>
          <cell r="AB98">
            <v>37131</v>
          </cell>
          <cell r="AC98" t="str">
            <v>Zero investment in 2019</v>
          </cell>
          <cell r="AD98">
            <v>9549</v>
          </cell>
          <cell r="AE98">
            <v>194.88615403888923</v>
          </cell>
          <cell r="AF98">
            <v>9354</v>
          </cell>
          <cell r="AG98">
            <v>411.34560496840129</v>
          </cell>
          <cell r="AI98">
            <v>7593.301647805536</v>
          </cell>
          <cell r="AJ98">
            <v>1955.698352194464</v>
          </cell>
          <cell r="AP98">
            <v>19.6434</v>
          </cell>
          <cell r="AQ98">
            <v>19.6434</v>
          </cell>
          <cell r="AR98">
            <v>35</v>
          </cell>
        </row>
        <row r="99">
          <cell r="A99" t="str">
            <v>8160-01-200</v>
          </cell>
          <cell r="B99" t="str">
            <v>Tamir Cohen</v>
          </cell>
          <cell r="C99" t="str">
            <v>024117152</v>
          </cell>
          <cell r="D99" t="e">
            <v>#REF!</v>
          </cell>
          <cell r="F99" t="str">
            <v>תמיר כהן</v>
          </cell>
          <cell r="G99" t="str">
            <v>III</v>
          </cell>
          <cell r="I99">
            <v>100000</v>
          </cell>
          <cell r="J99">
            <v>1.3675710769767194E-3</v>
          </cell>
          <cell r="K99">
            <v>587.63657852628762</v>
          </cell>
          <cell r="L99">
            <v>2810.7146085683053</v>
          </cell>
          <cell r="M99">
            <v>3</v>
          </cell>
          <cell r="N99">
            <v>8</v>
          </cell>
          <cell r="O99">
            <v>3409</v>
          </cell>
          <cell r="P99">
            <v>146.90914463157191</v>
          </cell>
          <cell r="Q99">
            <v>77.306946760540029</v>
          </cell>
          <cell r="R99">
            <v>-77.306946760540029</v>
          </cell>
          <cell r="S99">
            <v>69.602197871031876</v>
          </cell>
          <cell r="T99">
            <v>69.602197871031876</v>
          </cell>
          <cell r="U99" t="str">
            <v>X</v>
          </cell>
          <cell r="W99">
            <v>3339</v>
          </cell>
          <cell r="X99">
            <v>0</v>
          </cell>
          <cell r="Y99">
            <v>0</v>
          </cell>
          <cell r="Z99">
            <v>56743</v>
          </cell>
          <cell r="AA99">
            <v>0</v>
          </cell>
          <cell r="AB99">
            <v>13261</v>
          </cell>
          <cell r="AC99" t="str">
            <v>Zero investment in 2019</v>
          </cell>
          <cell r="AD99">
            <v>3409</v>
          </cell>
          <cell r="AE99">
            <v>69.602197871031876</v>
          </cell>
          <cell r="AF99">
            <v>3339</v>
          </cell>
          <cell r="AG99">
            <v>146.90914463157191</v>
          </cell>
          <cell r="AI99">
            <v>2711.8934456448346</v>
          </cell>
          <cell r="AJ99">
            <v>697.10655435516537</v>
          </cell>
          <cell r="AP99">
            <v>7.0118999999999998</v>
          </cell>
          <cell r="AQ99">
            <v>18</v>
          </cell>
          <cell r="AR99">
            <v>35</v>
          </cell>
        </row>
        <row r="100">
          <cell r="A100" t="str">
            <v>8160-01-201</v>
          </cell>
          <cell r="B100" t="str">
            <v>Zeev Kalimi</v>
          </cell>
          <cell r="C100" t="str">
            <v>056076888</v>
          </cell>
          <cell r="D100" t="e">
            <v>#REF!</v>
          </cell>
          <cell r="F100" t="str">
            <v>זאב קלימי</v>
          </cell>
          <cell r="G100" t="str">
            <v>III</v>
          </cell>
          <cell r="I100">
            <v>300000</v>
          </cell>
          <cell r="J100">
            <v>4.1027132309301578E-3</v>
          </cell>
          <cell r="K100">
            <v>1762.9097355788626</v>
          </cell>
          <cell r="L100">
            <v>8432.1438257049158</v>
          </cell>
          <cell r="M100">
            <v>10</v>
          </cell>
          <cell r="N100">
            <v>25</v>
          </cell>
          <cell r="O100">
            <v>10230</v>
          </cell>
          <cell r="P100">
            <v>440.72743389471566</v>
          </cell>
          <cell r="Q100">
            <v>231.92084028162006</v>
          </cell>
          <cell r="R100">
            <v>-231.92084028162006</v>
          </cell>
          <cell r="S100">
            <v>208.8065936130956</v>
          </cell>
          <cell r="T100">
            <v>208.8065936130956</v>
          </cell>
          <cell r="U100" t="str">
            <v>X</v>
          </cell>
          <cell r="W100">
            <v>10021</v>
          </cell>
          <cell r="X100">
            <v>0</v>
          </cell>
          <cell r="Y100">
            <v>0</v>
          </cell>
          <cell r="Z100">
            <v>170230</v>
          </cell>
          <cell r="AA100">
            <v>0</v>
          </cell>
          <cell r="AB100">
            <v>39784</v>
          </cell>
          <cell r="AC100" t="str">
            <v>Zero investment in 2019</v>
          </cell>
          <cell r="AD100">
            <v>10230</v>
          </cell>
          <cell r="AE100">
            <v>208.8065936130956</v>
          </cell>
          <cell r="AF100">
            <v>10021</v>
          </cell>
          <cell r="AG100">
            <v>440.72743389471566</v>
          </cell>
          <cell r="AI100">
            <v>8135.6803369345025</v>
          </cell>
          <cell r="AJ100">
            <v>2094.3196630654975</v>
          </cell>
          <cell r="AP100">
            <v>21.0441</v>
          </cell>
          <cell r="AQ100">
            <v>21.0441</v>
          </cell>
          <cell r="AR100">
            <v>35</v>
          </cell>
        </row>
        <row r="101">
          <cell r="A101" t="str">
            <v>8160-01-202</v>
          </cell>
          <cell r="B101" t="str">
            <v>Cidev Group LTD</v>
          </cell>
          <cell r="C101">
            <v>510657612</v>
          </cell>
          <cell r="D101" t="e">
            <v>#REF!</v>
          </cell>
          <cell r="E101" t="str">
            <v>Cidev Group LTD</v>
          </cell>
          <cell r="F101" t="str">
            <v>קבוצת סידב בע"מ</v>
          </cell>
          <cell r="G101" t="str">
            <v>III</v>
          </cell>
          <cell r="I101">
            <v>500000</v>
          </cell>
          <cell r="J101">
            <v>6.8378553848835967E-3</v>
          </cell>
          <cell r="K101">
            <v>2938.1828926314379</v>
          </cell>
          <cell r="L101">
            <v>14053.573042841526</v>
          </cell>
          <cell r="M101">
            <v>17</v>
          </cell>
          <cell r="N101">
            <v>43</v>
          </cell>
          <cell r="O101">
            <v>17052</v>
          </cell>
          <cell r="Q101">
            <v>386.53473380270015</v>
          </cell>
          <cell r="T101">
            <v>0</v>
          </cell>
          <cell r="U101" t="str">
            <v>V</v>
          </cell>
          <cell r="V101">
            <v>386.53473380270015</v>
          </cell>
          <cell r="W101">
            <v>17052</v>
          </cell>
          <cell r="X101" t="e">
            <v>#N/A</v>
          </cell>
          <cell r="Y101" t="e">
            <v>#N/A</v>
          </cell>
          <cell r="Z101" t="e">
            <v>#N/A</v>
          </cell>
          <cell r="AA101" t="e">
            <v>#N/A</v>
          </cell>
          <cell r="AB101" t="e">
            <v>#N/A</v>
          </cell>
          <cell r="AC101" t="str">
            <v>Zero investment in 2019</v>
          </cell>
          <cell r="AD101">
            <v>17052</v>
          </cell>
          <cell r="AE101">
            <v>0</v>
          </cell>
          <cell r="AF101">
            <v>17052</v>
          </cell>
          <cell r="AG101">
            <v>386.53473380270015</v>
          </cell>
          <cell r="AI101">
            <v>13559.467228224172</v>
          </cell>
          <cell r="AJ101">
            <v>3492.5327717758282</v>
          </cell>
          <cell r="AP101">
            <v>35.809199999999997</v>
          </cell>
          <cell r="AQ101">
            <v>35.809199999999997</v>
          </cell>
          <cell r="AR101">
            <v>35</v>
          </cell>
        </row>
        <row r="102">
          <cell r="A102" t="str">
            <v>8160-01-204</v>
          </cell>
          <cell r="B102" t="str">
            <v>S.H.I.F.A.T Architectures Ltd</v>
          </cell>
          <cell r="C102">
            <v>513075838</v>
          </cell>
          <cell r="D102" t="e">
            <v>#REF!</v>
          </cell>
          <cell r="E102" t="str">
            <v>S.H.I.F.A.T Architectures Ltd</v>
          </cell>
          <cell r="F102" t="str">
            <v>ש.י.פ.ת לוי אדריכלים בע"מ</v>
          </cell>
          <cell r="G102" t="str">
            <v>III</v>
          </cell>
          <cell r="I102">
            <v>250000</v>
          </cell>
          <cell r="J102">
            <v>3.4189276924417983E-3</v>
          </cell>
          <cell r="K102">
            <v>1469.0914463157189</v>
          </cell>
          <cell r="L102">
            <v>7026.7865214207632</v>
          </cell>
          <cell r="M102">
            <v>9</v>
          </cell>
          <cell r="N102">
            <v>21</v>
          </cell>
          <cell r="O102">
            <v>8526</v>
          </cell>
          <cell r="Q102">
            <v>193.26736690135007</v>
          </cell>
          <cell r="T102">
            <v>0</v>
          </cell>
          <cell r="U102" t="str">
            <v>V</v>
          </cell>
          <cell r="V102">
            <v>193.26736690135007</v>
          </cell>
          <cell r="W102">
            <v>8526</v>
          </cell>
          <cell r="X102" t="e">
            <v>#N/A</v>
          </cell>
          <cell r="Y102" t="e">
            <v>#N/A</v>
          </cell>
          <cell r="Z102" t="e">
            <v>#N/A</v>
          </cell>
          <cell r="AA102" t="e">
            <v>#N/A</v>
          </cell>
          <cell r="AB102" t="e">
            <v>#N/A</v>
          </cell>
          <cell r="AC102" t="str">
            <v>Zero investment in 2019</v>
          </cell>
          <cell r="AD102">
            <v>8526</v>
          </cell>
          <cell r="AE102">
            <v>0</v>
          </cell>
          <cell r="AF102">
            <v>8526</v>
          </cell>
          <cell r="AG102">
            <v>193.26736690135007</v>
          </cell>
          <cell r="AI102">
            <v>6779.7336141120859</v>
          </cell>
          <cell r="AJ102">
            <v>1746.2663858879141</v>
          </cell>
          <cell r="AP102">
            <v>17.904599999999999</v>
          </cell>
          <cell r="AQ102">
            <v>18</v>
          </cell>
          <cell r="AR102">
            <v>35</v>
          </cell>
        </row>
        <row r="103">
          <cell r="A103" t="str">
            <v>8160-01-205</v>
          </cell>
          <cell r="B103" t="str">
            <v>R.B LTD</v>
          </cell>
          <cell r="C103">
            <v>513179796</v>
          </cell>
          <cell r="D103" t="e">
            <v>#REF!</v>
          </cell>
          <cell r="E103" t="str">
            <v>R.B LTD</v>
          </cell>
          <cell r="F103" t="str">
            <v>אר.בי ביטון רפאל החזקות בע"מ</v>
          </cell>
          <cell r="G103" t="str">
            <v>III</v>
          </cell>
          <cell r="I103">
            <v>300000</v>
          </cell>
          <cell r="J103">
            <v>4.1027132309301578E-3</v>
          </cell>
          <cell r="K103">
            <v>1762.9097355788626</v>
          </cell>
          <cell r="L103">
            <v>8432.1438257049158</v>
          </cell>
          <cell r="M103">
            <v>10</v>
          </cell>
          <cell r="N103">
            <v>25</v>
          </cell>
          <cell r="O103">
            <v>10230</v>
          </cell>
          <cell r="Q103">
            <v>231.92084028162006</v>
          </cell>
          <cell r="T103">
            <v>0</v>
          </cell>
          <cell r="U103" t="str">
            <v>V</v>
          </cell>
          <cell r="V103">
            <v>231.92084028162006</v>
          </cell>
          <cell r="W103">
            <v>10230</v>
          </cell>
          <cell r="X103" t="e">
            <v>#N/A</v>
          </cell>
          <cell r="Y103" t="e">
            <v>#N/A</v>
          </cell>
          <cell r="Z103" t="e">
            <v>#N/A</v>
          </cell>
          <cell r="AA103" t="e">
            <v>#N/A</v>
          </cell>
          <cell r="AB103" t="e">
            <v>#N/A</v>
          </cell>
          <cell r="AC103" t="str">
            <v>Zero investment in 2019</v>
          </cell>
          <cell r="AD103">
            <v>10230</v>
          </cell>
          <cell r="AE103">
            <v>0</v>
          </cell>
          <cell r="AF103">
            <v>10230</v>
          </cell>
          <cell r="AG103">
            <v>231.92084028162006</v>
          </cell>
          <cell r="AI103">
            <v>8135.6803369345025</v>
          </cell>
          <cell r="AJ103">
            <v>2094.3196630654975</v>
          </cell>
          <cell r="AP103">
            <v>21.482999999999997</v>
          </cell>
          <cell r="AQ103">
            <v>21.482999999999997</v>
          </cell>
          <cell r="AR103">
            <v>35</v>
          </cell>
        </row>
        <row r="104">
          <cell r="A104" t="str">
            <v>8160-01-206</v>
          </cell>
          <cell r="B104" t="str">
            <v>Hevra Kadisha Haifa</v>
          </cell>
          <cell r="C104">
            <v>580014777</v>
          </cell>
          <cell r="D104" t="e">
            <v>#REF!</v>
          </cell>
          <cell r="E104" t="str">
            <v>Hevra Kadisha Haifa</v>
          </cell>
          <cell r="F104" t="str">
            <v>חברה קדישא חיפה</v>
          </cell>
          <cell r="G104" t="str">
            <v>III</v>
          </cell>
          <cell r="I104">
            <v>570000</v>
          </cell>
          <cell r="J104">
            <v>7.7951551387673004E-3</v>
          </cell>
          <cell r="K104">
            <v>3349.5284975998393</v>
          </cell>
          <cell r="L104">
            <v>16021.07326883934</v>
          </cell>
          <cell r="M104">
            <v>20</v>
          </cell>
          <cell r="N104">
            <v>49</v>
          </cell>
          <cell r="O104">
            <v>19440</v>
          </cell>
          <cell r="Q104">
            <v>440.64959653507816</v>
          </cell>
          <cell r="T104">
            <v>0</v>
          </cell>
          <cell r="U104" t="str">
            <v>V</v>
          </cell>
          <cell r="V104">
            <v>440.64959653507816</v>
          </cell>
          <cell r="W104">
            <v>19440</v>
          </cell>
          <cell r="X104">
            <v>0</v>
          </cell>
          <cell r="Y104">
            <v>0</v>
          </cell>
          <cell r="Z104">
            <v>323437</v>
          </cell>
          <cell r="AA104">
            <v>0</v>
          </cell>
          <cell r="AB104">
            <v>75589</v>
          </cell>
          <cell r="AC104" t="str">
            <v>Zero investment in 2019</v>
          </cell>
          <cell r="AD104">
            <v>19440</v>
          </cell>
          <cell r="AE104">
            <v>0</v>
          </cell>
          <cell r="AF104">
            <v>19440</v>
          </cell>
          <cell r="AG104">
            <v>440.64959653507816</v>
          </cell>
          <cell r="AI104">
            <v>15457.792640175556</v>
          </cell>
          <cell r="AJ104">
            <v>3982.2073598244442</v>
          </cell>
          <cell r="AP104">
            <v>40.823999999999998</v>
          </cell>
          <cell r="AQ104">
            <v>40.823999999999998</v>
          </cell>
          <cell r="AR104">
            <v>35</v>
          </cell>
        </row>
        <row r="105">
          <cell r="A105" t="str">
            <v>8160-01-207</v>
          </cell>
          <cell r="B105" t="str">
            <v>Assaf Burstein</v>
          </cell>
          <cell r="C105" t="str">
            <v>058837238</v>
          </cell>
          <cell r="D105" t="e">
            <v>#REF!</v>
          </cell>
          <cell r="F105" t="str">
            <v>אסף בורשטיין</v>
          </cell>
          <cell r="G105" t="str">
            <v>III</v>
          </cell>
          <cell r="I105">
            <v>300000</v>
          </cell>
          <cell r="J105">
            <v>4.1027132309301578E-3</v>
          </cell>
          <cell r="K105">
            <v>1762.9097355788626</v>
          </cell>
          <cell r="L105">
            <v>8432.1438257049158</v>
          </cell>
          <cell r="M105">
            <v>10</v>
          </cell>
          <cell r="N105">
            <v>25</v>
          </cell>
          <cell r="O105">
            <v>10230</v>
          </cell>
          <cell r="P105">
            <v>440.72743389471566</v>
          </cell>
          <cell r="Q105">
            <v>231.92084028162006</v>
          </cell>
          <cell r="R105">
            <v>-231.92084028162006</v>
          </cell>
          <cell r="S105">
            <v>208.8065936130956</v>
          </cell>
          <cell r="T105">
            <v>208.8065936130956</v>
          </cell>
          <cell r="U105" t="str">
            <v>X</v>
          </cell>
          <cell r="W105">
            <v>10021</v>
          </cell>
          <cell r="X105">
            <v>0</v>
          </cell>
          <cell r="Y105">
            <v>0</v>
          </cell>
          <cell r="Z105">
            <v>170230</v>
          </cell>
          <cell r="AA105">
            <v>0</v>
          </cell>
          <cell r="AB105">
            <v>39784</v>
          </cell>
          <cell r="AC105" t="str">
            <v>Zero investment in 2019</v>
          </cell>
          <cell r="AD105">
            <v>10230</v>
          </cell>
          <cell r="AE105">
            <v>208.8065936130956</v>
          </cell>
          <cell r="AF105">
            <v>10021</v>
          </cell>
          <cell r="AG105">
            <v>440.72743389471566</v>
          </cell>
          <cell r="AI105">
            <v>8135.6803369345025</v>
          </cell>
          <cell r="AJ105">
            <v>2094.3196630654975</v>
          </cell>
          <cell r="AP105">
            <v>21.0441</v>
          </cell>
          <cell r="AQ105">
            <v>21.0441</v>
          </cell>
          <cell r="AR105">
            <v>35</v>
          </cell>
        </row>
        <row r="106">
          <cell r="A106" t="str">
            <v>8160-01-208</v>
          </cell>
          <cell r="B106" t="str">
            <v>Dan Arazi</v>
          </cell>
          <cell r="C106" t="str">
            <v>08986978</v>
          </cell>
          <cell r="D106" t="e">
            <v>#REF!</v>
          </cell>
          <cell r="F106" t="str">
            <v>דן ארזי</v>
          </cell>
          <cell r="G106" t="str">
            <v>III</v>
          </cell>
          <cell r="I106">
            <v>250000</v>
          </cell>
          <cell r="J106">
            <v>3.4189276924417983E-3</v>
          </cell>
          <cell r="K106">
            <v>1469.0914463157189</v>
          </cell>
          <cell r="L106">
            <v>7026.7865214207632</v>
          </cell>
          <cell r="M106">
            <v>9</v>
          </cell>
          <cell r="N106">
            <v>21</v>
          </cell>
          <cell r="O106">
            <v>8526</v>
          </cell>
          <cell r="P106">
            <v>367.27286157892974</v>
          </cell>
          <cell r="Q106">
            <v>193.26736690135007</v>
          </cell>
          <cell r="R106">
            <v>-193.26736690135007</v>
          </cell>
          <cell r="S106">
            <v>174.00549467757966</v>
          </cell>
          <cell r="T106">
            <v>174.00549467757966</v>
          </cell>
          <cell r="U106" t="str">
            <v>X</v>
          </cell>
          <cell r="W106">
            <v>8352</v>
          </cell>
          <cell r="X106">
            <v>0</v>
          </cell>
          <cell r="Y106">
            <v>0</v>
          </cell>
          <cell r="Z106">
            <v>141858</v>
          </cell>
          <cell r="AA106">
            <v>0</v>
          </cell>
          <cell r="AB106">
            <v>33153</v>
          </cell>
          <cell r="AC106" t="str">
            <v>Zero investment in 2019</v>
          </cell>
          <cell r="AD106">
            <v>8526</v>
          </cell>
          <cell r="AE106">
            <v>174.00549467757966</v>
          </cell>
          <cell r="AF106">
            <v>8352</v>
          </cell>
          <cell r="AG106">
            <v>367.27286157892974</v>
          </cell>
          <cell r="AI106">
            <v>6779.7336141120859</v>
          </cell>
          <cell r="AJ106">
            <v>1746.2663858879141</v>
          </cell>
          <cell r="AP106">
            <v>17.539199999999997</v>
          </cell>
          <cell r="AQ106">
            <v>18</v>
          </cell>
          <cell r="AR106">
            <v>35</v>
          </cell>
        </row>
        <row r="107">
          <cell r="A107" t="str">
            <v>8160-01-209</v>
          </cell>
          <cell r="B107" t="str">
            <v>Daphna Cohen Ben Shaul</v>
          </cell>
          <cell r="C107" t="str">
            <v>054201264</v>
          </cell>
          <cell r="D107" t="e">
            <v>#REF!</v>
          </cell>
          <cell r="F107" t="str">
            <v>דפנה כהן בן שאול</v>
          </cell>
          <cell r="G107" t="str">
            <v>III</v>
          </cell>
          <cell r="I107">
            <v>300000</v>
          </cell>
          <cell r="J107">
            <v>4.1027132309301578E-3</v>
          </cell>
          <cell r="K107">
            <v>1762.9097355788626</v>
          </cell>
          <cell r="L107">
            <v>8432.1438257049158</v>
          </cell>
          <cell r="M107">
            <v>10</v>
          </cell>
          <cell r="N107">
            <v>25</v>
          </cell>
          <cell r="O107">
            <v>10230</v>
          </cell>
          <cell r="P107">
            <v>440.72743389471566</v>
          </cell>
          <cell r="Q107">
            <v>231.92084028162006</v>
          </cell>
          <cell r="R107">
            <v>-231.92084028162006</v>
          </cell>
          <cell r="S107">
            <v>208.8065936130956</v>
          </cell>
          <cell r="T107">
            <v>208.8065936130956</v>
          </cell>
          <cell r="U107" t="str">
            <v>X</v>
          </cell>
          <cell r="W107">
            <v>10021</v>
          </cell>
          <cell r="X107">
            <v>0</v>
          </cell>
          <cell r="Y107">
            <v>0</v>
          </cell>
          <cell r="Z107">
            <v>170230</v>
          </cell>
          <cell r="AA107">
            <v>0</v>
          </cell>
          <cell r="AB107">
            <v>39784</v>
          </cell>
          <cell r="AC107" t="str">
            <v>Zero investment in 2019</v>
          </cell>
          <cell r="AD107">
            <v>10230</v>
          </cell>
          <cell r="AE107">
            <v>208.8065936130956</v>
          </cell>
          <cell r="AF107">
            <v>10021</v>
          </cell>
          <cell r="AG107">
            <v>440.72743389471566</v>
          </cell>
          <cell r="AI107">
            <v>8135.6803369345025</v>
          </cell>
          <cell r="AJ107">
            <v>2094.3196630654975</v>
          </cell>
          <cell r="AP107">
            <v>21.0441</v>
          </cell>
          <cell r="AQ107">
            <v>21.0441</v>
          </cell>
          <cell r="AR107">
            <v>35</v>
          </cell>
        </row>
        <row r="108">
          <cell r="A108" t="str">
            <v>8160-01-210</v>
          </cell>
          <cell r="B108" t="str">
            <v>Eyal Kishon</v>
          </cell>
          <cell r="C108" t="str">
            <v>056197676</v>
          </cell>
          <cell r="D108" t="e">
            <v>#REF!</v>
          </cell>
          <cell r="F108" t="str">
            <v>איל קישון</v>
          </cell>
          <cell r="G108" t="str">
            <v>III</v>
          </cell>
          <cell r="I108">
            <v>500000</v>
          </cell>
          <cell r="J108">
            <v>6.8378553848835967E-3</v>
          </cell>
          <cell r="K108">
            <v>2938.1828926314379</v>
          </cell>
          <cell r="L108">
            <v>14053.573042841526</v>
          </cell>
          <cell r="M108">
            <v>17</v>
          </cell>
          <cell r="N108">
            <v>43</v>
          </cell>
          <cell r="O108">
            <v>17052</v>
          </cell>
          <cell r="P108">
            <v>734.54572315785947</v>
          </cell>
          <cell r="Q108">
            <v>386.53473380270015</v>
          </cell>
          <cell r="R108">
            <v>-386.53473380270015</v>
          </cell>
          <cell r="S108">
            <v>348.01098935515932</v>
          </cell>
          <cell r="T108">
            <v>348.01098935515932</v>
          </cell>
          <cell r="U108" t="str">
            <v>X</v>
          </cell>
          <cell r="W108">
            <v>16704</v>
          </cell>
          <cell r="X108">
            <v>0</v>
          </cell>
          <cell r="Y108">
            <v>0</v>
          </cell>
          <cell r="Z108">
            <v>283717</v>
          </cell>
          <cell r="AA108">
            <v>0</v>
          </cell>
          <cell r="AB108">
            <v>66306</v>
          </cell>
          <cell r="AC108" t="str">
            <v>Zero investment in 2019</v>
          </cell>
          <cell r="AD108">
            <v>17052</v>
          </cell>
          <cell r="AE108">
            <v>348.01098935515932</v>
          </cell>
          <cell r="AF108">
            <v>16704</v>
          </cell>
          <cell r="AG108">
            <v>734.54572315785947</v>
          </cell>
          <cell r="AI108">
            <v>13559.467228224172</v>
          </cell>
          <cell r="AJ108">
            <v>3492.5327717758282</v>
          </cell>
          <cell r="AP108">
            <v>35.078399999999995</v>
          </cell>
          <cell r="AQ108">
            <v>35.078399999999995</v>
          </cell>
          <cell r="AR108">
            <v>35</v>
          </cell>
        </row>
        <row r="109">
          <cell r="A109" t="str">
            <v>8160-01-211</v>
          </cell>
          <cell r="B109" t="str">
            <v>Gideon Schurr</v>
          </cell>
          <cell r="C109" t="str">
            <v>051251288</v>
          </cell>
          <cell r="D109" t="e">
            <v>#REF!</v>
          </cell>
          <cell r="F109" t="str">
            <v>גדעון שור</v>
          </cell>
          <cell r="G109" t="str">
            <v>III</v>
          </cell>
          <cell r="I109">
            <v>250000</v>
          </cell>
          <cell r="J109">
            <v>3.4189276924417983E-3</v>
          </cell>
          <cell r="K109">
            <v>1469.0914463157189</v>
          </cell>
          <cell r="L109">
            <v>7026.7865214207632</v>
          </cell>
          <cell r="M109">
            <v>9</v>
          </cell>
          <cell r="N109">
            <v>21</v>
          </cell>
          <cell r="O109">
            <v>8526</v>
          </cell>
          <cell r="P109">
            <v>367.27286157892974</v>
          </cell>
          <cell r="Q109">
            <v>193.26736690135007</v>
          </cell>
          <cell r="R109">
            <v>-193.26736690135007</v>
          </cell>
          <cell r="S109">
            <v>174.00549467757966</v>
          </cell>
          <cell r="T109">
            <v>174.00549467757966</v>
          </cell>
          <cell r="U109" t="str">
            <v>X</v>
          </cell>
          <cell r="W109">
            <v>8352</v>
          </cell>
          <cell r="X109">
            <v>0</v>
          </cell>
          <cell r="Y109">
            <v>0</v>
          </cell>
          <cell r="Z109">
            <v>141858</v>
          </cell>
          <cell r="AA109">
            <v>0</v>
          </cell>
          <cell r="AB109">
            <v>33150.5</v>
          </cell>
          <cell r="AC109" t="str">
            <v>Zero investment in 2019</v>
          </cell>
          <cell r="AD109">
            <v>8526</v>
          </cell>
          <cell r="AE109">
            <v>174.00549467757966</v>
          </cell>
          <cell r="AF109">
            <v>8352</v>
          </cell>
          <cell r="AG109">
            <v>367.27286157892974</v>
          </cell>
          <cell r="AI109">
            <v>6779.7336141120859</v>
          </cell>
          <cell r="AJ109">
            <v>1746.2663858879141</v>
          </cell>
          <cell r="AP109">
            <v>17.539199999999997</v>
          </cell>
          <cell r="AQ109">
            <v>18</v>
          </cell>
          <cell r="AR109">
            <v>35</v>
          </cell>
        </row>
        <row r="110">
          <cell r="A110" t="str">
            <v>8160-01-212</v>
          </cell>
          <cell r="B110" t="str">
            <v>Cipora Elkis</v>
          </cell>
          <cell r="C110" t="str">
            <v>007318157</v>
          </cell>
          <cell r="D110" t="e">
            <v>#REF!</v>
          </cell>
          <cell r="F110" t="str">
            <v>ציפורה אלקיס</v>
          </cell>
          <cell r="G110" t="str">
            <v>III</v>
          </cell>
          <cell r="H110" t="str">
            <v>Meitav</v>
          </cell>
          <cell r="I110">
            <v>250000</v>
          </cell>
          <cell r="J110">
            <v>3.4189276924417983E-3</v>
          </cell>
          <cell r="K110">
            <v>1469.0914463157189</v>
          </cell>
          <cell r="L110">
            <v>7026.7865214207632</v>
          </cell>
          <cell r="M110">
            <v>9</v>
          </cell>
          <cell r="N110">
            <v>21</v>
          </cell>
          <cell r="O110">
            <v>8526</v>
          </cell>
          <cell r="Q110">
            <v>193.26736690135007</v>
          </cell>
          <cell r="T110">
            <v>0</v>
          </cell>
          <cell r="U110" t="str">
            <v>IRA</v>
          </cell>
          <cell r="V110">
            <v>193.26736690135007</v>
          </cell>
          <cell r="W110">
            <v>8526</v>
          </cell>
          <cell r="X110">
            <v>0</v>
          </cell>
          <cell r="Y110">
            <v>0</v>
          </cell>
          <cell r="Z110">
            <v>141858</v>
          </cell>
          <cell r="AA110">
            <v>0</v>
          </cell>
          <cell r="AB110">
            <v>33153</v>
          </cell>
          <cell r="AC110" t="str">
            <v>Zero investment in 2019</v>
          </cell>
          <cell r="AD110">
            <v>8526</v>
          </cell>
          <cell r="AE110">
            <v>0</v>
          </cell>
          <cell r="AF110">
            <v>8526</v>
          </cell>
          <cell r="AG110">
            <v>193.26736690135007</v>
          </cell>
          <cell r="AI110">
            <v>6779.7336141120859</v>
          </cell>
          <cell r="AJ110">
            <v>1746.2663858879141</v>
          </cell>
          <cell r="AP110">
            <v>17.904599999999999</v>
          </cell>
          <cell r="AQ110">
            <v>18</v>
          </cell>
          <cell r="AR110">
            <v>35</v>
          </cell>
        </row>
        <row r="111">
          <cell r="A111" t="str">
            <v>8160-01-213</v>
          </cell>
          <cell r="B111" t="str">
            <v>Ester Tal</v>
          </cell>
          <cell r="C111" t="str">
            <v>057146813</v>
          </cell>
          <cell r="D111" t="e">
            <v>#REF!</v>
          </cell>
          <cell r="F111" t="str">
            <v>אסתר טל</v>
          </cell>
          <cell r="G111" t="str">
            <v>III</v>
          </cell>
          <cell r="H111" t="str">
            <v>Meitav</v>
          </cell>
          <cell r="I111">
            <v>250000</v>
          </cell>
          <cell r="J111">
            <v>3.4189276924417983E-3</v>
          </cell>
          <cell r="K111">
            <v>1469.0914463157189</v>
          </cell>
          <cell r="L111">
            <v>7026.7865214207632</v>
          </cell>
          <cell r="M111">
            <v>9</v>
          </cell>
          <cell r="N111">
            <v>21</v>
          </cell>
          <cell r="O111">
            <v>8526</v>
          </cell>
          <cell r="Q111">
            <v>193.26736690135007</v>
          </cell>
          <cell r="T111">
            <v>0</v>
          </cell>
          <cell r="U111" t="str">
            <v>IRA</v>
          </cell>
          <cell r="V111">
            <v>193.26736690135007</v>
          </cell>
          <cell r="W111">
            <v>8526</v>
          </cell>
          <cell r="X111">
            <v>0</v>
          </cell>
          <cell r="Y111">
            <v>0</v>
          </cell>
          <cell r="Z111">
            <v>141858</v>
          </cell>
          <cell r="AA111">
            <v>0</v>
          </cell>
          <cell r="AB111">
            <v>33153</v>
          </cell>
          <cell r="AC111" t="str">
            <v>Zero investment in 2019</v>
          </cell>
          <cell r="AD111">
            <v>8526</v>
          </cell>
          <cell r="AE111">
            <v>0</v>
          </cell>
          <cell r="AF111">
            <v>8526</v>
          </cell>
          <cell r="AG111">
            <v>193.26736690135007</v>
          </cell>
          <cell r="AI111">
            <v>6779.7336141120859</v>
          </cell>
          <cell r="AJ111">
            <v>1746.2663858879141</v>
          </cell>
          <cell r="AP111">
            <v>17.904599999999999</v>
          </cell>
          <cell r="AQ111">
            <v>18</v>
          </cell>
          <cell r="AR111">
            <v>35</v>
          </cell>
        </row>
        <row r="112">
          <cell r="A112" t="str">
            <v>8160-01-214</v>
          </cell>
          <cell r="B112" t="str">
            <v>Eyal Yaakov</v>
          </cell>
          <cell r="C112" t="str">
            <v>027136324</v>
          </cell>
          <cell r="D112" t="e">
            <v>#REF!</v>
          </cell>
          <cell r="F112" t="str">
            <v>איל יעקב</v>
          </cell>
          <cell r="G112" t="str">
            <v>III</v>
          </cell>
          <cell r="H112" t="str">
            <v>Meitav</v>
          </cell>
          <cell r="I112">
            <v>220000</v>
          </cell>
          <cell r="J112">
            <v>3.0086563693487826E-3</v>
          </cell>
          <cell r="K112">
            <v>1292.8004727578327</v>
          </cell>
          <cell r="L112">
            <v>6183.5721388502716</v>
          </cell>
          <cell r="M112">
            <v>8</v>
          </cell>
          <cell r="N112">
            <v>19</v>
          </cell>
          <cell r="O112">
            <v>7503</v>
          </cell>
          <cell r="Q112">
            <v>170.07528287318806</v>
          </cell>
          <cell r="T112">
            <v>0</v>
          </cell>
          <cell r="U112" t="str">
            <v>IRA</v>
          </cell>
          <cell r="V112">
            <v>170.07528287318806</v>
          </cell>
          <cell r="W112">
            <v>7503</v>
          </cell>
          <cell r="X112">
            <v>0</v>
          </cell>
          <cell r="Y112">
            <v>0</v>
          </cell>
          <cell r="Z112">
            <v>124835</v>
          </cell>
          <cell r="AA112">
            <v>0</v>
          </cell>
          <cell r="AB112">
            <v>29175</v>
          </cell>
          <cell r="AC112" t="str">
            <v>Zero investment in 2019</v>
          </cell>
          <cell r="AD112">
            <v>7503</v>
          </cell>
          <cell r="AE112">
            <v>0</v>
          </cell>
          <cell r="AF112">
            <v>7503</v>
          </cell>
          <cell r="AG112">
            <v>170.07528287318806</v>
          </cell>
          <cell r="AI112">
            <v>5966.1655804186357</v>
          </cell>
          <cell r="AJ112">
            <v>1536.8344195813643</v>
          </cell>
          <cell r="AP112">
            <v>15.7563</v>
          </cell>
          <cell r="AQ112">
            <v>18</v>
          </cell>
          <cell r="AR112">
            <v>35</v>
          </cell>
        </row>
        <row r="113">
          <cell r="A113" t="str">
            <v>8160-01-215</v>
          </cell>
          <cell r="B113" t="str">
            <v>Guy Caspary</v>
          </cell>
          <cell r="C113" t="str">
            <v>027473156</v>
          </cell>
          <cell r="D113" t="e">
            <v>#REF!</v>
          </cell>
          <cell r="F113" t="str">
            <v>גיא כספרי</v>
          </cell>
          <cell r="G113" t="str">
            <v>III</v>
          </cell>
          <cell r="H113" t="str">
            <v>Meitav</v>
          </cell>
          <cell r="I113">
            <v>279997</v>
          </cell>
          <cell r="J113">
            <v>3.8291579884025049E-3</v>
          </cell>
          <cell r="K113">
            <v>1645.3647907762495</v>
          </cell>
          <cell r="L113">
            <v>7869.9165825529972</v>
          </cell>
          <cell r="M113">
            <v>10</v>
          </cell>
          <cell r="N113">
            <v>24</v>
          </cell>
          <cell r="O113">
            <v>9549</v>
          </cell>
          <cell r="Q113">
            <v>216.45713172110928</v>
          </cell>
          <cell r="T113">
            <v>0</v>
          </cell>
          <cell r="U113" t="str">
            <v>IRA</v>
          </cell>
          <cell r="V113">
            <v>216.45713172110928</v>
          </cell>
          <cell r="W113">
            <v>9549</v>
          </cell>
          <cell r="X113">
            <v>0</v>
          </cell>
          <cell r="Y113">
            <v>0</v>
          </cell>
          <cell r="Z113">
            <v>158880</v>
          </cell>
          <cell r="AA113">
            <v>0</v>
          </cell>
          <cell r="AB113">
            <v>37128.5</v>
          </cell>
          <cell r="AC113" t="str">
            <v>Zero investment in 2019</v>
          </cell>
          <cell r="AD113">
            <v>9549</v>
          </cell>
          <cell r="AE113">
            <v>0</v>
          </cell>
          <cell r="AF113">
            <v>9549</v>
          </cell>
          <cell r="AG113">
            <v>216.45713172110928</v>
          </cell>
          <cell r="AI113">
            <v>7593.220291002167</v>
          </cell>
          <cell r="AJ113">
            <v>1955.779708997833</v>
          </cell>
          <cell r="AP113">
            <v>20.052899999999998</v>
          </cell>
          <cell r="AQ113">
            <v>20.052899999999998</v>
          </cell>
          <cell r="AR113">
            <v>35</v>
          </cell>
        </row>
        <row r="114">
          <cell r="A114" t="str">
            <v>8160-01-216</v>
          </cell>
          <cell r="B114" t="str">
            <v>Shmuel (Muli) Ben Zvi - IRA</v>
          </cell>
          <cell r="C114" t="str">
            <v>056231475</v>
          </cell>
          <cell r="D114" t="e">
            <v>#REF!</v>
          </cell>
          <cell r="F114" t="str">
            <v>שמואל בן צבי</v>
          </cell>
          <cell r="G114" t="str">
            <v>III</v>
          </cell>
          <cell r="H114" t="str">
            <v>Meitav</v>
          </cell>
          <cell r="I114">
            <v>100000</v>
          </cell>
          <cell r="J114">
            <v>1.3675710769767194E-3</v>
          </cell>
          <cell r="K114">
            <v>587.63657852628762</v>
          </cell>
          <cell r="L114">
            <v>2810.7146085683053</v>
          </cell>
          <cell r="M114">
            <v>3</v>
          </cell>
          <cell r="N114">
            <v>8</v>
          </cell>
          <cell r="O114">
            <v>3409</v>
          </cell>
          <cell r="Q114">
            <v>77.306946760540029</v>
          </cell>
          <cell r="T114">
            <v>0</v>
          </cell>
          <cell r="U114" t="str">
            <v>IRA</v>
          </cell>
          <cell r="V114">
            <v>77.306946760540029</v>
          </cell>
          <cell r="W114">
            <v>3409</v>
          </cell>
          <cell r="X114">
            <v>0</v>
          </cell>
          <cell r="Y114">
            <v>0</v>
          </cell>
          <cell r="Z114">
            <v>56740.5</v>
          </cell>
          <cell r="AA114">
            <v>0</v>
          </cell>
          <cell r="AB114">
            <v>13264</v>
          </cell>
          <cell r="AC114" t="str">
            <v>Zero investment in 2019</v>
          </cell>
          <cell r="AD114">
            <v>3409</v>
          </cell>
          <cell r="AE114">
            <v>0</v>
          </cell>
          <cell r="AF114">
            <v>3409</v>
          </cell>
          <cell r="AG114">
            <v>77.306946760540029</v>
          </cell>
          <cell r="AI114">
            <v>2711.8934456448346</v>
          </cell>
          <cell r="AJ114">
            <v>697.10655435516537</v>
          </cell>
          <cell r="AP114">
            <v>7.1588999999999992</v>
          </cell>
          <cell r="AQ114">
            <v>18</v>
          </cell>
          <cell r="AR114">
            <v>35</v>
          </cell>
        </row>
        <row r="115">
          <cell r="A115" t="str">
            <v>8160-01-217</v>
          </cell>
          <cell r="B115" t="str">
            <v>Yehiel Tal</v>
          </cell>
          <cell r="C115" t="str">
            <v>054125224</v>
          </cell>
          <cell r="D115" t="e">
            <v>#REF!</v>
          </cell>
          <cell r="F115" t="str">
            <v>יחיאל טל</v>
          </cell>
          <cell r="G115" t="str">
            <v>III</v>
          </cell>
          <cell r="H115" t="str">
            <v>Meitav</v>
          </cell>
          <cell r="I115">
            <v>250000</v>
          </cell>
          <cell r="J115">
            <v>3.4189276924417983E-3</v>
          </cell>
          <cell r="K115">
            <v>1469.0914463157189</v>
          </cell>
          <cell r="L115">
            <v>7026.7865214207632</v>
          </cell>
          <cell r="M115">
            <v>9</v>
          </cell>
          <cell r="N115">
            <v>21</v>
          </cell>
          <cell r="O115">
            <v>8526</v>
          </cell>
          <cell r="Q115">
            <v>193.26736690135007</v>
          </cell>
          <cell r="T115">
            <v>0</v>
          </cell>
          <cell r="U115" t="str">
            <v>IRA</v>
          </cell>
          <cell r="V115">
            <v>193.26736690135007</v>
          </cell>
          <cell r="W115">
            <v>8526</v>
          </cell>
          <cell r="X115">
            <v>0</v>
          </cell>
          <cell r="Y115">
            <v>0</v>
          </cell>
          <cell r="Z115">
            <v>141858</v>
          </cell>
          <cell r="AA115">
            <v>0</v>
          </cell>
          <cell r="AB115">
            <v>33153</v>
          </cell>
          <cell r="AC115" t="str">
            <v>Zero investment in 2019</v>
          </cell>
          <cell r="AD115">
            <v>8526</v>
          </cell>
          <cell r="AE115">
            <v>0</v>
          </cell>
          <cell r="AF115">
            <v>8526</v>
          </cell>
          <cell r="AG115">
            <v>193.26736690135007</v>
          </cell>
          <cell r="AI115">
            <v>6779.7336141120859</v>
          </cell>
          <cell r="AJ115">
            <v>1746.2663858879141</v>
          </cell>
          <cell r="AP115">
            <v>17.904599999999999</v>
          </cell>
          <cell r="AQ115">
            <v>18</v>
          </cell>
          <cell r="AR115">
            <v>35</v>
          </cell>
        </row>
        <row r="116">
          <cell r="A116" t="str">
            <v>8160-01-218</v>
          </cell>
          <cell r="B116" t="str">
            <v>Dror HaCham</v>
          </cell>
          <cell r="C116" t="str">
            <v>022383210</v>
          </cell>
          <cell r="D116" t="e">
            <v>#REF!</v>
          </cell>
          <cell r="F116" t="str">
            <v>דרורי חכם</v>
          </cell>
          <cell r="G116" t="str">
            <v>III</v>
          </cell>
          <cell r="H116" t="str">
            <v>Phoenix</v>
          </cell>
          <cell r="I116">
            <v>250000</v>
          </cell>
          <cell r="J116">
            <v>3.4189276924417983E-3</v>
          </cell>
          <cell r="K116">
            <v>1469.0914463157189</v>
          </cell>
          <cell r="L116">
            <v>7026.7865214207632</v>
          </cell>
          <cell r="M116">
            <v>9</v>
          </cell>
          <cell r="N116">
            <v>21</v>
          </cell>
          <cell r="O116">
            <v>8526</v>
          </cell>
          <cell r="Q116">
            <v>193.26736690135007</v>
          </cell>
          <cell r="T116">
            <v>0</v>
          </cell>
          <cell r="U116" t="str">
            <v>IRA</v>
          </cell>
          <cell r="V116">
            <v>193.26736690135007</v>
          </cell>
          <cell r="W116">
            <v>8526</v>
          </cell>
          <cell r="X116">
            <v>0</v>
          </cell>
          <cell r="Y116">
            <v>0</v>
          </cell>
          <cell r="Z116">
            <v>141858</v>
          </cell>
          <cell r="AA116">
            <v>0</v>
          </cell>
          <cell r="AB116">
            <v>33153</v>
          </cell>
          <cell r="AC116" t="str">
            <v>Zero investment in 2019</v>
          </cell>
          <cell r="AD116">
            <v>8526</v>
          </cell>
          <cell r="AE116">
            <v>0</v>
          </cell>
          <cell r="AF116">
            <v>8526</v>
          </cell>
          <cell r="AG116">
            <v>193.26736690135007</v>
          </cell>
          <cell r="AI116">
            <v>6779.7336141120859</v>
          </cell>
          <cell r="AJ116">
            <v>1746.2663858879141</v>
          </cell>
          <cell r="AP116">
            <v>17.904599999999999</v>
          </cell>
          <cell r="AQ116">
            <v>18</v>
          </cell>
          <cell r="AR116">
            <v>35</v>
          </cell>
        </row>
        <row r="117">
          <cell r="A117" t="str">
            <v>8160-01-219</v>
          </cell>
          <cell r="B117" t="str">
            <v>Ornit Goren Agmon</v>
          </cell>
          <cell r="C117" t="str">
            <v>057671869</v>
          </cell>
          <cell r="D117" t="e">
            <v>#REF!</v>
          </cell>
          <cell r="F117" t="str">
            <v>אורנית גורן אגמון</v>
          </cell>
          <cell r="G117" t="str">
            <v>III</v>
          </cell>
          <cell r="I117">
            <v>250000</v>
          </cell>
          <cell r="J117">
            <v>3.4189276924417983E-3</v>
          </cell>
          <cell r="K117">
            <v>1469.0914463157189</v>
          </cell>
          <cell r="L117">
            <v>7026.7865214207632</v>
          </cell>
          <cell r="M117">
            <v>9</v>
          </cell>
          <cell r="N117">
            <v>21</v>
          </cell>
          <cell r="O117">
            <v>8526</v>
          </cell>
          <cell r="P117">
            <v>367.27286157892974</v>
          </cell>
          <cell r="Q117">
            <v>193.26736690135007</v>
          </cell>
          <cell r="R117">
            <v>-193.26736690135007</v>
          </cell>
          <cell r="S117">
            <v>174.00549467757966</v>
          </cell>
          <cell r="T117">
            <v>174.00549467757966</v>
          </cell>
          <cell r="U117" t="str">
            <v>X</v>
          </cell>
          <cell r="W117">
            <v>8352</v>
          </cell>
          <cell r="X117">
            <v>0</v>
          </cell>
          <cell r="Y117">
            <v>0</v>
          </cell>
          <cell r="Z117">
            <v>141858</v>
          </cell>
          <cell r="AA117">
            <v>0</v>
          </cell>
          <cell r="AB117">
            <v>33153</v>
          </cell>
          <cell r="AC117" t="str">
            <v>Zero investment in 2019</v>
          </cell>
          <cell r="AD117">
            <v>8526</v>
          </cell>
          <cell r="AE117">
            <v>174.00549467757966</v>
          </cell>
          <cell r="AF117">
            <v>8352</v>
          </cell>
          <cell r="AG117">
            <v>367.27286157892974</v>
          </cell>
          <cell r="AI117">
            <v>6779.7336141120859</v>
          </cell>
          <cell r="AJ117">
            <v>1746.2663858879141</v>
          </cell>
          <cell r="AP117">
            <v>17.539199999999997</v>
          </cell>
          <cell r="AQ117">
            <v>18</v>
          </cell>
          <cell r="AR117">
            <v>35</v>
          </cell>
        </row>
        <row r="118">
          <cell r="A118" t="str">
            <v>8160-01-220</v>
          </cell>
          <cell r="B118" t="str">
            <v>Ron Segre</v>
          </cell>
          <cell r="C118" t="str">
            <v>027239847</v>
          </cell>
          <cell r="D118" t="e">
            <v>#REF!</v>
          </cell>
          <cell r="F118" t="str">
            <v>רון סגרה</v>
          </cell>
          <cell r="G118" t="str">
            <v>III</v>
          </cell>
          <cell r="I118">
            <v>250000</v>
          </cell>
          <cell r="J118">
            <v>3.4189276924417983E-3</v>
          </cell>
          <cell r="K118">
            <v>1469.0914463157189</v>
          </cell>
          <cell r="L118">
            <v>7026.7865214207632</v>
          </cell>
          <cell r="M118">
            <v>9</v>
          </cell>
          <cell r="N118">
            <v>21</v>
          </cell>
          <cell r="O118">
            <v>8526</v>
          </cell>
          <cell r="P118">
            <v>367.27286157892974</v>
          </cell>
          <cell r="Q118">
            <v>193.26736690135007</v>
          </cell>
          <cell r="R118">
            <v>-193.26736690135007</v>
          </cell>
          <cell r="S118">
            <v>174.00549467757966</v>
          </cell>
          <cell r="T118">
            <v>174.00549467757966</v>
          </cell>
          <cell r="U118" t="str">
            <v>X</v>
          </cell>
          <cell r="W118">
            <v>8352</v>
          </cell>
          <cell r="X118">
            <v>0</v>
          </cell>
          <cell r="Y118">
            <v>0</v>
          </cell>
          <cell r="Z118">
            <v>141858</v>
          </cell>
          <cell r="AA118">
            <v>0</v>
          </cell>
          <cell r="AB118">
            <v>33153</v>
          </cell>
          <cell r="AC118" t="str">
            <v>Zero investment in 2019</v>
          </cell>
          <cell r="AD118">
            <v>8526</v>
          </cell>
          <cell r="AE118">
            <v>174.00549467757966</v>
          </cell>
          <cell r="AF118">
            <v>8352</v>
          </cell>
          <cell r="AG118">
            <v>367.27286157892974</v>
          </cell>
          <cell r="AH118" t="str">
            <v>לא מקבלים כסף</v>
          </cell>
          <cell r="AI118">
            <v>6779.7336141120859</v>
          </cell>
          <cell r="AJ118">
            <v>1746.2663858879141</v>
          </cell>
          <cell r="AP118">
            <v>17.539199999999997</v>
          </cell>
          <cell r="AQ118">
            <v>18</v>
          </cell>
          <cell r="AR118">
            <v>35</v>
          </cell>
        </row>
        <row r="119">
          <cell r="A119" t="str">
            <v>8160-01-221</v>
          </cell>
          <cell r="B119" t="str">
            <v>Shmuel (Muli) Ben Zvi</v>
          </cell>
          <cell r="C119" t="str">
            <v>056231475</v>
          </cell>
          <cell r="D119" t="e">
            <v>#REF!</v>
          </cell>
          <cell r="F119" t="str">
            <v>שמואל בן צבי</v>
          </cell>
          <cell r="G119" t="str">
            <v>III</v>
          </cell>
          <cell r="I119">
            <v>150000</v>
          </cell>
          <cell r="J119">
            <v>2.0513566154650789E-3</v>
          </cell>
          <cell r="K119">
            <v>881.45486778943132</v>
          </cell>
          <cell r="L119">
            <v>4216.0719128524579</v>
          </cell>
          <cell r="M119">
            <v>6</v>
          </cell>
          <cell r="N119">
            <v>13</v>
          </cell>
          <cell r="O119">
            <v>5117</v>
          </cell>
          <cell r="P119">
            <v>220.36371694735783</v>
          </cell>
          <cell r="Q119">
            <v>115.96042014081003</v>
          </cell>
          <cell r="R119">
            <v>-115.96042014081003</v>
          </cell>
          <cell r="S119">
            <v>104.4032968065478</v>
          </cell>
          <cell r="T119">
            <v>104.4032968065478</v>
          </cell>
          <cell r="U119" t="str">
            <v>X</v>
          </cell>
          <cell r="W119">
            <v>5013</v>
          </cell>
          <cell r="X119">
            <v>0</v>
          </cell>
          <cell r="Y119">
            <v>0</v>
          </cell>
          <cell r="Z119">
            <v>85115</v>
          </cell>
          <cell r="AA119">
            <v>0</v>
          </cell>
          <cell r="AB119">
            <v>19889.5</v>
          </cell>
          <cell r="AC119" t="str">
            <v>Zero investment in 2019</v>
          </cell>
          <cell r="AD119">
            <v>5117</v>
          </cell>
          <cell r="AE119">
            <v>104.4032968065478</v>
          </cell>
          <cell r="AF119">
            <v>5013</v>
          </cell>
          <cell r="AG119">
            <v>220.36371694735783</v>
          </cell>
          <cell r="AI119">
            <v>4067.8401684672513</v>
          </cell>
          <cell r="AJ119">
            <v>1049.1598315327487</v>
          </cell>
          <cell r="AP119">
            <v>10.527299999999999</v>
          </cell>
          <cell r="AQ119">
            <v>18</v>
          </cell>
          <cell r="AR119">
            <v>35</v>
          </cell>
        </row>
        <row r="120">
          <cell r="A120" t="str">
            <v>8160-01-222</v>
          </cell>
          <cell r="B120" t="str">
            <v>Nihshei Mishpahat Spivak</v>
          </cell>
          <cell r="C120">
            <v>512359852</v>
          </cell>
          <cell r="D120" t="e">
            <v>#REF!</v>
          </cell>
          <cell r="E120" t="str">
            <v>Nihshei Mishpahat Spivak</v>
          </cell>
          <cell r="F120" t="str">
            <v>נכסי משפחת ספיבק בע"מ</v>
          </cell>
          <cell r="G120" t="str">
            <v>III</v>
          </cell>
          <cell r="I120">
            <v>250000</v>
          </cell>
          <cell r="J120">
            <v>3.4189276924417983E-3</v>
          </cell>
          <cell r="K120">
            <v>1469.0914463157189</v>
          </cell>
          <cell r="L120">
            <v>7026.7865214207632</v>
          </cell>
          <cell r="M120">
            <v>9</v>
          </cell>
          <cell r="N120">
            <v>21</v>
          </cell>
          <cell r="O120">
            <v>8526</v>
          </cell>
          <cell r="Q120">
            <v>193.26736690135007</v>
          </cell>
          <cell r="T120">
            <v>0</v>
          </cell>
          <cell r="U120" t="str">
            <v>V</v>
          </cell>
          <cell r="W120">
            <v>8526</v>
          </cell>
          <cell r="X120">
            <v>0</v>
          </cell>
          <cell r="Y120">
            <v>0</v>
          </cell>
          <cell r="Z120">
            <v>141858</v>
          </cell>
          <cell r="AA120">
            <v>0</v>
          </cell>
          <cell r="AB120">
            <v>33153</v>
          </cell>
          <cell r="AC120" t="str">
            <v>Zero investment in 2019</v>
          </cell>
          <cell r="AD120">
            <v>8526</v>
          </cell>
          <cell r="AE120">
            <v>0</v>
          </cell>
          <cell r="AF120">
            <v>8526</v>
          </cell>
          <cell r="AG120">
            <v>193.26736690135007</v>
          </cell>
          <cell r="AI120">
            <v>6779.7336141120859</v>
          </cell>
          <cell r="AJ120">
            <v>1746.2663858879141</v>
          </cell>
          <cell r="AP120">
            <v>17.904599999999999</v>
          </cell>
          <cell r="AQ120">
            <v>18</v>
          </cell>
          <cell r="AR120">
            <v>35</v>
          </cell>
        </row>
        <row r="121">
          <cell r="A121" t="str">
            <v>8160-01-223</v>
          </cell>
          <cell r="B121" t="str">
            <v>Uri Mishol</v>
          </cell>
          <cell r="C121" t="str">
            <v>033452475</v>
          </cell>
          <cell r="D121" t="e">
            <v>#REF!</v>
          </cell>
          <cell r="F121" t="str">
            <v>אורי משעול</v>
          </cell>
          <cell r="G121" t="str">
            <v>III</v>
          </cell>
          <cell r="I121">
            <v>300000</v>
          </cell>
          <cell r="J121">
            <v>4.1027132309301578E-3</v>
          </cell>
          <cell r="K121">
            <v>1762.9097355788626</v>
          </cell>
          <cell r="L121">
            <v>8432.1438257049158</v>
          </cell>
          <cell r="M121">
            <v>10</v>
          </cell>
          <cell r="N121">
            <v>25</v>
          </cell>
          <cell r="O121">
            <v>10230</v>
          </cell>
          <cell r="P121">
            <v>440.72743389471566</v>
          </cell>
          <cell r="Q121">
            <v>231.92084028162006</v>
          </cell>
          <cell r="R121">
            <v>-231.92084028162006</v>
          </cell>
          <cell r="S121">
            <v>208.8065936130956</v>
          </cell>
          <cell r="T121">
            <v>208.8065936130956</v>
          </cell>
          <cell r="U121" t="str">
            <v>X</v>
          </cell>
          <cell r="W121">
            <v>10021</v>
          </cell>
          <cell r="X121">
            <v>0</v>
          </cell>
          <cell r="Y121">
            <v>0</v>
          </cell>
          <cell r="Z121">
            <v>170230</v>
          </cell>
          <cell r="AA121">
            <v>0</v>
          </cell>
          <cell r="AB121">
            <v>39784</v>
          </cell>
          <cell r="AC121" t="str">
            <v>Zero investment in 2019</v>
          </cell>
          <cell r="AD121">
            <v>10230</v>
          </cell>
          <cell r="AE121">
            <v>208.8065936130956</v>
          </cell>
          <cell r="AF121">
            <v>10021</v>
          </cell>
          <cell r="AG121">
            <v>440.72743389471566</v>
          </cell>
          <cell r="AI121">
            <v>8135.6803369345025</v>
          </cell>
          <cell r="AJ121">
            <v>2094.3196630654975</v>
          </cell>
          <cell r="AP121">
            <v>21.0441</v>
          </cell>
          <cell r="AQ121">
            <v>21.0441</v>
          </cell>
          <cell r="AR121">
            <v>35</v>
          </cell>
        </row>
        <row r="122">
          <cell r="A122" t="str">
            <v>8160-01-224</v>
          </cell>
          <cell r="B122" t="str">
            <v>Yochai Tiroche</v>
          </cell>
          <cell r="C122" t="str">
            <v>051033256</v>
          </cell>
          <cell r="D122" t="e">
            <v>#REF!</v>
          </cell>
          <cell r="F122" t="str">
            <v>יוחאי תירוש</v>
          </cell>
          <cell r="G122" t="str">
            <v>III</v>
          </cell>
          <cell r="I122">
            <v>400000</v>
          </cell>
          <cell r="J122">
            <v>5.4702843079068777E-3</v>
          </cell>
          <cell r="K122">
            <v>2350.5463141051505</v>
          </cell>
          <cell r="L122">
            <v>11242.858434273221</v>
          </cell>
          <cell r="M122">
            <v>14</v>
          </cell>
          <cell r="N122">
            <v>35</v>
          </cell>
          <cell r="O122">
            <v>13642</v>
          </cell>
          <cell r="P122">
            <v>587.63657852628762</v>
          </cell>
          <cell r="Q122">
            <v>309.22778704216012</v>
          </cell>
          <cell r="R122">
            <v>-309.22778704216012</v>
          </cell>
          <cell r="S122">
            <v>278.40879148412751</v>
          </cell>
          <cell r="T122">
            <v>278.40879148412751</v>
          </cell>
          <cell r="U122" t="str">
            <v>X</v>
          </cell>
          <cell r="W122">
            <v>13364</v>
          </cell>
          <cell r="X122">
            <v>0</v>
          </cell>
          <cell r="Y122">
            <v>0</v>
          </cell>
          <cell r="Z122">
            <v>226973</v>
          </cell>
          <cell r="AA122">
            <v>0</v>
          </cell>
          <cell r="AB122">
            <v>53045</v>
          </cell>
          <cell r="AC122" t="str">
            <v>Zero investment in 2019</v>
          </cell>
          <cell r="AD122">
            <v>13642</v>
          </cell>
          <cell r="AE122">
            <v>278.40879148412751</v>
          </cell>
          <cell r="AF122">
            <v>13364</v>
          </cell>
          <cell r="AG122">
            <v>587.63657852628762</v>
          </cell>
          <cell r="AI122">
            <v>10847.573782579339</v>
          </cell>
          <cell r="AJ122">
            <v>2794.4262174206615</v>
          </cell>
          <cell r="AP122">
            <v>28.064399999999999</v>
          </cell>
          <cell r="AQ122">
            <v>28.064399999999999</v>
          </cell>
          <cell r="AR122">
            <v>35</v>
          </cell>
        </row>
        <row r="123">
          <cell r="A123" t="str">
            <v>8160-01-225</v>
          </cell>
          <cell r="B123" t="str">
            <v>Aki Ratner</v>
          </cell>
          <cell r="C123" t="str">
            <v>054040977</v>
          </cell>
          <cell r="D123" t="e">
            <v>#REF!</v>
          </cell>
          <cell r="F123" t="str">
            <v>יצחק איזיק רטנר</v>
          </cell>
          <cell r="G123" t="str">
            <v>IV</v>
          </cell>
          <cell r="I123">
            <v>250000</v>
          </cell>
          <cell r="J123">
            <v>3.4189276924417983E-3</v>
          </cell>
          <cell r="K123">
            <v>1469.0914463157189</v>
          </cell>
          <cell r="L123">
            <v>7026.7865214207632</v>
          </cell>
          <cell r="M123">
            <v>9</v>
          </cell>
          <cell r="N123">
            <v>21</v>
          </cell>
          <cell r="O123">
            <v>8526</v>
          </cell>
          <cell r="P123">
            <v>367.27286157892974</v>
          </cell>
          <cell r="Q123">
            <v>193.26736690135007</v>
          </cell>
          <cell r="R123">
            <v>-193.26736690135007</v>
          </cell>
          <cell r="S123">
            <v>174.00549467757966</v>
          </cell>
          <cell r="T123">
            <v>174.00549467757966</v>
          </cell>
          <cell r="U123" t="str">
            <v>X</v>
          </cell>
          <cell r="W123">
            <v>8352</v>
          </cell>
          <cell r="X123">
            <v>0</v>
          </cell>
          <cell r="Y123">
            <v>0</v>
          </cell>
          <cell r="Z123">
            <v>0</v>
          </cell>
          <cell r="AA123">
            <v>141858</v>
          </cell>
          <cell r="AB123">
            <v>33153</v>
          </cell>
          <cell r="AC123" t="str">
            <v>Zero investment in 2019</v>
          </cell>
          <cell r="AD123">
            <v>8526</v>
          </cell>
          <cell r="AE123">
            <v>174.00549467757966</v>
          </cell>
          <cell r="AF123">
            <v>8352</v>
          </cell>
          <cell r="AG123">
            <v>367.27286157892974</v>
          </cell>
          <cell r="AI123">
            <v>6779.7336141120859</v>
          </cell>
          <cell r="AJ123">
            <v>1746.2663858879141</v>
          </cell>
          <cell r="AP123">
            <v>17.539199999999997</v>
          </cell>
          <cell r="AQ123">
            <v>18</v>
          </cell>
          <cell r="AR123">
            <v>35</v>
          </cell>
        </row>
        <row r="124">
          <cell r="A124" t="str">
            <v>8160-01-226</v>
          </cell>
          <cell r="B124" t="str">
            <v>Amos &amp; Gili Weizman</v>
          </cell>
          <cell r="C124" t="str">
            <v>Amos - '008128910
Gili - '053387239</v>
          </cell>
          <cell r="D124" t="e">
            <v>#REF!</v>
          </cell>
          <cell r="F124" t="str">
            <v>עמוס זוסיא ויצמן וגילי ויצמן עפרון</v>
          </cell>
          <cell r="G124" t="str">
            <v>IV</v>
          </cell>
          <cell r="I124">
            <v>250000</v>
          </cell>
          <cell r="J124">
            <v>3.4189276924417983E-3</v>
          </cell>
          <cell r="K124">
            <v>1469.0914463157189</v>
          </cell>
          <cell r="L124">
            <v>7026.7865214207632</v>
          </cell>
          <cell r="M124">
            <v>9</v>
          </cell>
          <cell r="N124">
            <v>21</v>
          </cell>
          <cell r="O124">
            <v>8526</v>
          </cell>
          <cell r="P124">
            <v>367.27286157892974</v>
          </cell>
          <cell r="Q124">
            <v>193.26736690135007</v>
          </cell>
          <cell r="R124">
            <v>-193.26736690135007</v>
          </cell>
          <cell r="S124">
            <v>174.00549467757966</v>
          </cell>
          <cell r="T124">
            <v>174.00549467757966</v>
          </cell>
          <cell r="U124" t="str">
            <v>X</v>
          </cell>
          <cell r="W124">
            <v>8352</v>
          </cell>
          <cell r="X124">
            <v>0</v>
          </cell>
          <cell r="Y124">
            <v>0</v>
          </cell>
          <cell r="Z124">
            <v>0</v>
          </cell>
          <cell r="AA124">
            <v>141855.5</v>
          </cell>
          <cell r="AB124">
            <v>33150.5</v>
          </cell>
          <cell r="AC124" t="str">
            <v>Zero investment in 2019</v>
          </cell>
          <cell r="AD124">
            <v>8526</v>
          </cell>
          <cell r="AE124">
            <v>174.00549467757966</v>
          </cell>
          <cell r="AF124">
            <v>8352</v>
          </cell>
          <cell r="AG124">
            <v>367.27286157892974</v>
          </cell>
          <cell r="AI124">
            <v>6779.7336141120859</v>
          </cell>
          <cell r="AJ124">
            <v>1746.2663858879141</v>
          </cell>
          <cell r="AP124">
            <v>17.539199999999997</v>
          </cell>
          <cell r="AQ124">
            <v>18</v>
          </cell>
          <cell r="AR124">
            <v>35</v>
          </cell>
        </row>
        <row r="125">
          <cell r="A125" t="str">
            <v>8160-01-227</v>
          </cell>
          <cell r="B125" t="str">
            <v>Ben Zion Zilberfarb</v>
          </cell>
          <cell r="C125" t="str">
            <v>030134605</v>
          </cell>
          <cell r="D125" t="e">
            <v>#REF!</v>
          </cell>
          <cell r="F125" t="str">
            <v>בן ציון זילברפארב</v>
          </cell>
          <cell r="G125" t="str">
            <v>IV</v>
          </cell>
          <cell r="I125">
            <v>250000</v>
          </cell>
          <cell r="J125">
            <v>3.4189276924417983E-3</v>
          </cell>
          <cell r="K125">
            <v>1469.0914463157189</v>
          </cell>
          <cell r="L125">
            <v>7026.7865214207632</v>
          </cell>
          <cell r="M125">
            <v>9</v>
          </cell>
          <cell r="N125">
            <v>21</v>
          </cell>
          <cell r="O125">
            <v>8526</v>
          </cell>
          <cell r="P125">
            <v>367.27286157892974</v>
          </cell>
          <cell r="Q125">
            <v>193.26736690135007</v>
          </cell>
          <cell r="R125">
            <v>-193.26736690135007</v>
          </cell>
          <cell r="S125">
            <v>174.00549467757966</v>
          </cell>
          <cell r="T125">
            <v>174.00549467757966</v>
          </cell>
          <cell r="U125" t="str">
            <v>X</v>
          </cell>
          <cell r="W125">
            <v>8352</v>
          </cell>
          <cell r="X125">
            <v>0</v>
          </cell>
          <cell r="Y125">
            <v>0</v>
          </cell>
          <cell r="Z125">
            <v>0</v>
          </cell>
          <cell r="AA125">
            <v>141858</v>
          </cell>
          <cell r="AB125">
            <v>33150.5</v>
          </cell>
          <cell r="AC125" t="str">
            <v>Zero investment in 2019</v>
          </cell>
          <cell r="AD125">
            <v>8526</v>
          </cell>
          <cell r="AE125">
            <v>174.00549467757966</v>
          </cell>
          <cell r="AF125">
            <v>8352</v>
          </cell>
          <cell r="AG125">
            <v>367.27286157892974</v>
          </cell>
          <cell r="AI125">
            <v>6779.7336141120859</v>
          </cell>
          <cell r="AJ125">
            <v>1746.2663858879141</v>
          </cell>
          <cell r="AP125">
            <v>17.539199999999997</v>
          </cell>
          <cell r="AQ125">
            <v>18</v>
          </cell>
          <cell r="AR125">
            <v>35</v>
          </cell>
        </row>
        <row r="126">
          <cell r="A126" t="str">
            <v>8160-01-228</v>
          </cell>
          <cell r="B126" t="str">
            <v>D. Pasternak Managment and Holdings LTD</v>
          </cell>
          <cell r="C126">
            <v>515305746</v>
          </cell>
          <cell r="D126" t="e">
            <v>#REF!</v>
          </cell>
          <cell r="E126" t="str">
            <v>D. Pasternak Managment and Holdings LTD</v>
          </cell>
          <cell r="F126" t="str">
            <v>ד. פסטרנק ניהול ואחזקות בע"מ</v>
          </cell>
          <cell r="G126" t="str">
            <v>IV</v>
          </cell>
          <cell r="I126">
            <v>250000</v>
          </cell>
          <cell r="J126">
            <v>3.4189276924417983E-3</v>
          </cell>
          <cell r="K126">
            <v>1469.0914463157189</v>
          </cell>
          <cell r="L126">
            <v>7026.7865214207632</v>
          </cell>
          <cell r="M126">
            <v>9</v>
          </cell>
          <cell r="N126">
            <v>21</v>
          </cell>
          <cell r="O126">
            <v>8526</v>
          </cell>
          <cell r="Q126">
            <v>193.26736690135007</v>
          </cell>
          <cell r="T126">
            <v>0</v>
          </cell>
          <cell r="U126" t="str">
            <v>V</v>
          </cell>
          <cell r="V126">
            <v>193.26736690135007</v>
          </cell>
          <cell r="W126">
            <v>8526</v>
          </cell>
          <cell r="X126" t="e">
            <v>#N/A</v>
          </cell>
          <cell r="Y126" t="e">
            <v>#N/A</v>
          </cell>
          <cell r="Z126" t="e">
            <v>#N/A</v>
          </cell>
          <cell r="AA126" t="e">
            <v>#N/A</v>
          </cell>
          <cell r="AB126" t="e">
            <v>#N/A</v>
          </cell>
          <cell r="AC126" t="str">
            <v>Zero investment in 2019</v>
          </cell>
          <cell r="AD126">
            <v>8526</v>
          </cell>
          <cell r="AE126">
            <v>0</v>
          </cell>
          <cell r="AF126">
            <v>8526</v>
          </cell>
          <cell r="AG126">
            <v>193.26736690135007</v>
          </cell>
          <cell r="AI126">
            <v>6779.7336141120859</v>
          </cell>
          <cell r="AJ126">
            <v>1746.2663858879141</v>
          </cell>
          <cell r="AP126">
            <v>17.904599999999999</v>
          </cell>
          <cell r="AQ126">
            <v>18</v>
          </cell>
          <cell r="AR126">
            <v>35</v>
          </cell>
        </row>
        <row r="127">
          <cell r="A127" t="str">
            <v>8160-01-229</v>
          </cell>
          <cell r="B127" t="str">
            <v>Doron &amp; Yaffa Shalit</v>
          </cell>
          <cell r="C127" t="str">
            <v>Doron - 053971701
Yaffa - 054237763</v>
          </cell>
          <cell r="D127" t="e">
            <v>#REF!</v>
          </cell>
          <cell r="F127" t="str">
            <v>דורון שליט ויפה שליט</v>
          </cell>
          <cell r="G127" t="str">
            <v>IV</v>
          </cell>
          <cell r="I127">
            <v>250000</v>
          </cell>
          <cell r="J127">
            <v>3.4189276924417983E-3</v>
          </cell>
          <cell r="K127">
            <v>1469.0914463157189</v>
          </cell>
          <cell r="L127">
            <v>7026.7865214207632</v>
          </cell>
          <cell r="M127">
            <v>9</v>
          </cell>
          <cell r="N127">
            <v>21</v>
          </cell>
          <cell r="O127">
            <v>8526</v>
          </cell>
          <cell r="P127">
            <v>367.27286157892974</v>
          </cell>
          <cell r="Q127">
            <v>193.26736690135007</v>
          </cell>
          <cell r="R127">
            <v>-193.26736690135007</v>
          </cell>
          <cell r="S127">
            <v>174.00549467757966</v>
          </cell>
          <cell r="T127">
            <v>174.00549467757966</v>
          </cell>
          <cell r="U127" t="str">
            <v>X</v>
          </cell>
          <cell r="W127">
            <v>8352</v>
          </cell>
          <cell r="X127">
            <v>0</v>
          </cell>
          <cell r="Y127">
            <v>0</v>
          </cell>
          <cell r="Z127">
            <v>0</v>
          </cell>
          <cell r="AA127">
            <v>141858</v>
          </cell>
          <cell r="AB127">
            <v>33153</v>
          </cell>
          <cell r="AC127" t="str">
            <v>Zero investment in 2019</v>
          </cell>
          <cell r="AD127">
            <v>8526</v>
          </cell>
          <cell r="AE127">
            <v>174.00549467757966</v>
          </cell>
          <cell r="AF127">
            <v>8352</v>
          </cell>
          <cell r="AG127">
            <v>367.27286157892974</v>
          </cell>
          <cell r="AI127">
            <v>6779.7336141120859</v>
          </cell>
          <cell r="AJ127">
            <v>1746.2663858879141</v>
          </cell>
          <cell r="AP127">
            <v>17.539199999999997</v>
          </cell>
          <cell r="AQ127">
            <v>18</v>
          </cell>
          <cell r="AR127">
            <v>35</v>
          </cell>
        </row>
        <row r="128">
          <cell r="A128" t="str">
            <v>8160-01-230</v>
          </cell>
          <cell r="B128" t="str">
            <v>Eran Brener</v>
          </cell>
          <cell r="C128" t="str">
            <v>027310887</v>
          </cell>
          <cell r="D128" t="e">
            <v>#REF!</v>
          </cell>
          <cell r="F128" t="str">
            <v>ערן יוחנן ברנר</v>
          </cell>
          <cell r="G128" t="str">
            <v>IV</v>
          </cell>
          <cell r="I128">
            <v>150000</v>
          </cell>
          <cell r="J128">
            <v>2.0513566154650789E-3</v>
          </cell>
          <cell r="K128">
            <v>881.45486778943132</v>
          </cell>
          <cell r="L128">
            <v>4216.0719128524579</v>
          </cell>
          <cell r="M128">
            <v>6</v>
          </cell>
          <cell r="N128">
            <v>13</v>
          </cell>
          <cell r="O128">
            <v>5117</v>
          </cell>
          <cell r="P128">
            <v>220.36371694735783</v>
          </cell>
          <cell r="Q128">
            <v>115.96042014081003</v>
          </cell>
          <cell r="R128">
            <v>-115.96042014081003</v>
          </cell>
          <cell r="S128">
            <v>104.4032968065478</v>
          </cell>
          <cell r="T128">
            <v>104.4032968065478</v>
          </cell>
          <cell r="U128" t="str">
            <v>X</v>
          </cell>
          <cell r="W128">
            <v>5013</v>
          </cell>
          <cell r="X128">
            <v>0</v>
          </cell>
          <cell r="Y128">
            <v>0</v>
          </cell>
          <cell r="Z128">
            <v>0</v>
          </cell>
          <cell r="AA128">
            <v>85115</v>
          </cell>
          <cell r="AB128">
            <v>19892</v>
          </cell>
          <cell r="AC128" t="str">
            <v>Zero investment in 2019</v>
          </cell>
          <cell r="AD128">
            <v>5117</v>
          </cell>
          <cell r="AE128">
            <v>104.4032968065478</v>
          </cell>
          <cell r="AF128">
            <v>5013</v>
          </cell>
          <cell r="AG128">
            <v>220.36371694735783</v>
          </cell>
          <cell r="AI128">
            <v>4067.8401684672513</v>
          </cell>
          <cell r="AJ128">
            <v>1049.1598315327487</v>
          </cell>
          <cell r="AP128">
            <v>10.527299999999999</v>
          </cell>
          <cell r="AQ128">
            <v>18</v>
          </cell>
          <cell r="AR128">
            <v>35</v>
          </cell>
        </row>
        <row r="129">
          <cell r="A129" t="str">
            <v>8160-01-231</v>
          </cell>
          <cell r="B129" t="str">
            <v>Gad Graff</v>
          </cell>
          <cell r="C129" t="str">
            <v>057520074</v>
          </cell>
          <cell r="D129" t="e">
            <v>#REF!</v>
          </cell>
          <cell r="F129" t="str">
            <v>גד גרף</v>
          </cell>
          <cell r="G129" t="str">
            <v>IV</v>
          </cell>
          <cell r="I129">
            <v>200000</v>
          </cell>
          <cell r="J129">
            <v>2.7351421539534388E-3</v>
          </cell>
          <cell r="K129">
            <v>1175.2731570525752</v>
          </cell>
          <cell r="L129">
            <v>5621.4292171366105</v>
          </cell>
          <cell r="M129">
            <v>7</v>
          </cell>
          <cell r="N129">
            <v>17</v>
          </cell>
          <cell r="O129">
            <v>6821</v>
          </cell>
          <cell r="P129">
            <v>293.81828926314381</v>
          </cell>
          <cell r="Q129">
            <v>154.61389352108006</v>
          </cell>
          <cell r="R129">
            <v>-154.61389352108006</v>
          </cell>
          <cell r="S129">
            <v>139.20439574206375</v>
          </cell>
          <cell r="T129">
            <v>139.20439574206375</v>
          </cell>
          <cell r="U129" t="str">
            <v>X</v>
          </cell>
          <cell r="W129">
            <v>6682</v>
          </cell>
          <cell r="X129">
            <v>0</v>
          </cell>
          <cell r="Y129">
            <v>0</v>
          </cell>
          <cell r="Z129">
            <v>0</v>
          </cell>
          <cell r="AA129">
            <v>113487</v>
          </cell>
          <cell r="AB129">
            <v>26522</v>
          </cell>
          <cell r="AC129" t="str">
            <v>Zero investment in 2019</v>
          </cell>
          <cell r="AD129">
            <v>6821</v>
          </cell>
          <cell r="AE129">
            <v>139.20439574206375</v>
          </cell>
          <cell r="AF129">
            <v>6682</v>
          </cell>
          <cell r="AG129">
            <v>293.81828926314381</v>
          </cell>
          <cell r="AI129">
            <v>5423.7868912896693</v>
          </cell>
          <cell r="AJ129">
            <v>1397.2131087103307</v>
          </cell>
          <cell r="AP129">
            <v>14.0322</v>
          </cell>
          <cell r="AQ129">
            <v>18</v>
          </cell>
          <cell r="AR129">
            <v>35</v>
          </cell>
        </row>
        <row r="130">
          <cell r="A130" t="str">
            <v>8160-01-232</v>
          </cell>
          <cell r="B130" t="str">
            <v>Tamar &amp; Shimon Gesundheit</v>
          </cell>
          <cell r="C130" t="str">
            <v>Tamar - 012426821
Shimon - 014762710</v>
          </cell>
          <cell r="D130" t="e">
            <v>#REF!</v>
          </cell>
          <cell r="F130" t="str">
            <v>תמר גזונדהייט ושמעון גזונדהייט</v>
          </cell>
          <cell r="G130" t="str">
            <v>IV</v>
          </cell>
          <cell r="I130">
            <v>1500000</v>
          </cell>
          <cell r="J130">
            <v>2.0513566154650789E-2</v>
          </cell>
          <cell r="K130">
            <v>8814.5486778943123</v>
          </cell>
          <cell r="L130">
            <v>42160.719128524572</v>
          </cell>
          <cell r="M130">
            <v>53</v>
          </cell>
          <cell r="N130">
            <v>129</v>
          </cell>
          <cell r="O130">
            <v>51157</v>
          </cell>
          <cell r="P130">
            <v>2203.6371694735781</v>
          </cell>
          <cell r="Q130">
            <v>1159.6042014081004</v>
          </cell>
          <cell r="R130">
            <v>-1159.6042014081004</v>
          </cell>
          <cell r="S130">
            <v>1044.0329680654777</v>
          </cell>
          <cell r="T130">
            <v>1044.0329680654777</v>
          </cell>
          <cell r="U130" t="str">
            <v>X</v>
          </cell>
          <cell r="W130">
            <v>50113</v>
          </cell>
          <cell r="X130">
            <v>0</v>
          </cell>
          <cell r="Y130">
            <v>0</v>
          </cell>
          <cell r="Z130">
            <v>0</v>
          </cell>
          <cell r="AA130">
            <v>851147.5</v>
          </cell>
          <cell r="AB130">
            <v>198918</v>
          </cell>
          <cell r="AC130" t="str">
            <v>Zero investment in 2019</v>
          </cell>
          <cell r="AD130">
            <v>51157</v>
          </cell>
          <cell r="AE130">
            <v>1044.0329680654777</v>
          </cell>
          <cell r="AF130">
            <v>50113</v>
          </cell>
          <cell r="AG130">
            <v>2203.6371694735781</v>
          </cell>
          <cell r="AI130">
            <v>40678.401684672514</v>
          </cell>
          <cell r="AJ130">
            <v>10478.598315327486</v>
          </cell>
          <cell r="AP130">
            <v>105.23729999999999</v>
          </cell>
          <cell r="AQ130">
            <v>105.23729999999999</v>
          </cell>
          <cell r="AR130">
            <v>35</v>
          </cell>
        </row>
        <row r="131">
          <cell r="A131" t="str">
            <v>8160-01-233</v>
          </cell>
          <cell r="B131" t="str">
            <v>Harlap Holdings LTD</v>
          </cell>
          <cell r="C131">
            <v>513262063</v>
          </cell>
          <cell r="D131" t="e">
            <v>#REF!</v>
          </cell>
          <cell r="E131" t="str">
            <v>Harlap Holdings LTD</v>
          </cell>
          <cell r="F131" t="str">
            <v>חרל"פ אחזקות בע"מ</v>
          </cell>
          <cell r="G131" t="str">
            <v>IV</v>
          </cell>
          <cell r="I131">
            <v>280000</v>
          </cell>
          <cell r="J131">
            <v>3.829199015534814E-3</v>
          </cell>
          <cell r="K131">
            <v>1645.3824198736052</v>
          </cell>
          <cell r="L131">
            <v>7870.0009039912538</v>
          </cell>
          <cell r="M131">
            <v>10</v>
          </cell>
          <cell r="N131">
            <v>24</v>
          </cell>
          <cell r="O131">
            <v>9549</v>
          </cell>
          <cell r="Q131">
            <v>216.45945092951206</v>
          </cell>
          <cell r="T131">
            <v>0</v>
          </cell>
          <cell r="U131" t="str">
            <v>V</v>
          </cell>
          <cell r="V131">
            <v>216.45945092951206</v>
          </cell>
          <cell r="W131">
            <v>9549</v>
          </cell>
          <cell r="X131" t="e">
            <v>#N/A</v>
          </cell>
          <cell r="Y131" t="e">
            <v>#N/A</v>
          </cell>
          <cell r="Z131" t="e">
            <v>#N/A</v>
          </cell>
          <cell r="AA131" t="e">
            <v>#N/A</v>
          </cell>
          <cell r="AB131" t="e">
            <v>#N/A</v>
          </cell>
          <cell r="AC131" t="str">
            <v>Zero investment in 2019</v>
          </cell>
          <cell r="AD131">
            <v>9549</v>
          </cell>
          <cell r="AE131">
            <v>0</v>
          </cell>
          <cell r="AF131">
            <v>9549</v>
          </cell>
          <cell r="AG131">
            <v>216.45945092951206</v>
          </cell>
          <cell r="AI131">
            <v>7593.301647805536</v>
          </cell>
          <cell r="AJ131">
            <v>1955.698352194464</v>
          </cell>
          <cell r="AP131">
            <v>20.052899999999998</v>
          </cell>
          <cell r="AQ131">
            <v>20.052899999999998</v>
          </cell>
          <cell r="AR131">
            <v>35</v>
          </cell>
        </row>
        <row r="132">
          <cell r="A132" t="str">
            <v>8160-01-234</v>
          </cell>
          <cell r="B132" t="str">
            <v>Avraham Fried</v>
          </cell>
          <cell r="C132" t="str">
            <v>056166804</v>
          </cell>
          <cell r="D132" t="e">
            <v>#REF!</v>
          </cell>
          <cell r="F132" t="str">
            <v>אברהם פריד</v>
          </cell>
          <cell r="G132" t="str">
            <v>IV</v>
          </cell>
          <cell r="H132" t="str">
            <v>Meitav</v>
          </cell>
          <cell r="I132">
            <v>1000000</v>
          </cell>
          <cell r="J132">
            <v>1.3675710769767193E-2</v>
          </cell>
          <cell r="K132">
            <v>5876.3657852628758</v>
          </cell>
          <cell r="L132">
            <v>28107.146085683053</v>
          </cell>
          <cell r="M132">
            <v>35</v>
          </cell>
          <cell r="N132">
            <v>86</v>
          </cell>
          <cell r="O132">
            <v>34105</v>
          </cell>
          <cell r="Q132">
            <v>773.06946760540029</v>
          </cell>
          <cell r="T132">
            <v>0</v>
          </cell>
          <cell r="U132" t="str">
            <v>IRA</v>
          </cell>
          <cell r="V132">
            <v>773.06946760540029</v>
          </cell>
          <cell r="W132">
            <v>34105</v>
          </cell>
          <cell r="X132">
            <v>0</v>
          </cell>
          <cell r="Y132">
            <v>0</v>
          </cell>
          <cell r="Z132">
            <v>0</v>
          </cell>
          <cell r="AA132">
            <v>567433</v>
          </cell>
          <cell r="AB132">
            <v>132612</v>
          </cell>
          <cell r="AC132" t="str">
            <v>Zero investment in 2019</v>
          </cell>
          <cell r="AD132">
            <v>34105</v>
          </cell>
          <cell r="AE132">
            <v>0</v>
          </cell>
          <cell r="AF132">
            <v>34105</v>
          </cell>
          <cell r="AG132">
            <v>773.06946760540029</v>
          </cell>
          <cell r="AI132">
            <v>27118.934456448344</v>
          </cell>
          <cell r="AJ132">
            <v>6986.0655435516564</v>
          </cell>
          <cell r="AP132">
            <v>71.620499999999993</v>
          </cell>
          <cell r="AQ132">
            <v>71.620499999999993</v>
          </cell>
          <cell r="AR132">
            <v>35</v>
          </cell>
        </row>
        <row r="133">
          <cell r="A133" t="str">
            <v>8160-01-235</v>
          </cell>
          <cell r="B133" t="str">
            <v>Meir Benyamin Hershkovitz</v>
          </cell>
          <cell r="C133" t="str">
            <v>030319610</v>
          </cell>
          <cell r="D133" t="e">
            <v>#REF!</v>
          </cell>
          <cell r="F133" t="str">
            <v>מאיר בנימין הרשקוביץ</v>
          </cell>
          <cell r="G133" t="str">
            <v>IV</v>
          </cell>
          <cell r="H133" t="str">
            <v>Meitav</v>
          </cell>
          <cell r="I133">
            <v>500000</v>
          </cell>
          <cell r="J133">
            <v>6.8378553848835967E-3</v>
          </cell>
          <cell r="K133">
            <v>2938.1828926314379</v>
          </cell>
          <cell r="L133">
            <v>14053.573042841526</v>
          </cell>
          <cell r="M133">
            <v>17</v>
          </cell>
          <cell r="N133">
            <v>43</v>
          </cell>
          <cell r="O133">
            <v>17052</v>
          </cell>
          <cell r="Q133">
            <v>386.53473380270015</v>
          </cell>
          <cell r="T133">
            <v>0</v>
          </cell>
          <cell r="U133" t="str">
            <v>IRA</v>
          </cell>
          <cell r="V133">
            <v>386.53473380270015</v>
          </cell>
          <cell r="W133">
            <v>17052</v>
          </cell>
          <cell r="X133">
            <v>0</v>
          </cell>
          <cell r="Y133">
            <v>0</v>
          </cell>
          <cell r="Z133">
            <v>0</v>
          </cell>
          <cell r="AA133">
            <v>283717</v>
          </cell>
          <cell r="AB133">
            <v>66283</v>
          </cell>
          <cell r="AC133" t="str">
            <v>Zero investment in 2019</v>
          </cell>
          <cell r="AD133">
            <v>17052</v>
          </cell>
          <cell r="AE133">
            <v>0</v>
          </cell>
          <cell r="AF133">
            <v>17052</v>
          </cell>
          <cell r="AG133">
            <v>386.53473380270015</v>
          </cell>
          <cell r="AI133">
            <v>13559.467228224172</v>
          </cell>
          <cell r="AJ133">
            <v>3492.5327717758282</v>
          </cell>
          <cell r="AP133">
            <v>35.809199999999997</v>
          </cell>
          <cell r="AQ133">
            <v>35.809199999999997</v>
          </cell>
          <cell r="AR133">
            <v>35</v>
          </cell>
        </row>
        <row r="134">
          <cell r="A134" t="str">
            <v>8160-01-236</v>
          </cell>
          <cell r="B134" t="str">
            <v>Avraham Zivony</v>
          </cell>
          <cell r="C134" t="str">
            <v>051598373</v>
          </cell>
          <cell r="D134" t="e">
            <v>#REF!</v>
          </cell>
          <cell r="F134" t="str">
            <v>אברהם צבעוני</v>
          </cell>
          <cell r="G134" t="str">
            <v>IV</v>
          </cell>
          <cell r="H134" t="str">
            <v>Meitav</v>
          </cell>
          <cell r="I134">
            <v>250000</v>
          </cell>
          <cell r="J134">
            <v>3.4189276924417983E-3</v>
          </cell>
          <cell r="K134">
            <v>1469.0914463157189</v>
          </cell>
          <cell r="L134">
            <v>7026.7865214207632</v>
          </cell>
          <cell r="M134">
            <v>9</v>
          </cell>
          <cell r="N134">
            <v>21</v>
          </cell>
          <cell r="O134">
            <v>8526</v>
          </cell>
          <cell r="Q134">
            <v>193.26736690135007</v>
          </cell>
          <cell r="T134">
            <v>0</v>
          </cell>
          <cell r="U134" t="str">
            <v>IRA</v>
          </cell>
          <cell r="V134">
            <v>193.26736690135007</v>
          </cell>
          <cell r="W134">
            <v>8526</v>
          </cell>
          <cell r="X134">
            <v>0</v>
          </cell>
          <cell r="Y134">
            <v>0</v>
          </cell>
          <cell r="Z134">
            <v>0</v>
          </cell>
          <cell r="AA134">
            <v>141858</v>
          </cell>
          <cell r="AB134">
            <v>33153</v>
          </cell>
          <cell r="AC134" t="str">
            <v>Zero investment in 2019</v>
          </cell>
          <cell r="AD134">
            <v>8526</v>
          </cell>
          <cell r="AE134">
            <v>0</v>
          </cell>
          <cell r="AF134">
            <v>8526</v>
          </cell>
          <cell r="AG134">
            <v>193.26736690135007</v>
          </cell>
          <cell r="AI134">
            <v>6779.7336141120859</v>
          </cell>
          <cell r="AJ134">
            <v>1746.2663858879141</v>
          </cell>
          <cell r="AP134">
            <v>17.904599999999999</v>
          </cell>
          <cell r="AQ134">
            <v>18</v>
          </cell>
          <cell r="AR134">
            <v>35</v>
          </cell>
        </row>
        <row r="135">
          <cell r="A135" t="str">
            <v>8160-01-237</v>
          </cell>
          <cell r="B135" t="str">
            <v>Limor Ariel Yakobi</v>
          </cell>
          <cell r="C135" t="str">
            <v>054934567</v>
          </cell>
          <cell r="D135" t="e">
            <v>#REF!</v>
          </cell>
          <cell r="F135" t="str">
            <v>לימור אריאל יעקבי</v>
          </cell>
          <cell r="G135" t="str">
            <v>IV</v>
          </cell>
          <cell r="H135" t="str">
            <v>Meitav</v>
          </cell>
          <cell r="I135">
            <v>300000</v>
          </cell>
          <cell r="J135">
            <v>4.1027132309301578E-3</v>
          </cell>
          <cell r="K135">
            <v>1762.9097355788626</v>
          </cell>
          <cell r="L135">
            <v>8432.1438257049158</v>
          </cell>
          <cell r="M135">
            <v>10</v>
          </cell>
          <cell r="N135">
            <v>25</v>
          </cell>
          <cell r="O135">
            <v>10230</v>
          </cell>
          <cell r="Q135">
            <v>231.92084028162006</v>
          </cell>
          <cell r="T135">
            <v>0</v>
          </cell>
          <cell r="U135" t="str">
            <v>IRA</v>
          </cell>
          <cell r="V135">
            <v>231.92084028162006</v>
          </cell>
          <cell r="W135">
            <v>10230</v>
          </cell>
          <cell r="X135">
            <v>0</v>
          </cell>
          <cell r="Y135">
            <v>0</v>
          </cell>
          <cell r="Z135">
            <v>0</v>
          </cell>
          <cell r="AA135">
            <v>170230</v>
          </cell>
          <cell r="AB135">
            <v>39784</v>
          </cell>
          <cell r="AC135" t="str">
            <v>Zero investment in 2019</v>
          </cell>
          <cell r="AD135">
            <v>10230</v>
          </cell>
          <cell r="AE135">
            <v>0</v>
          </cell>
          <cell r="AF135">
            <v>10230</v>
          </cell>
          <cell r="AG135">
            <v>231.92084028162006</v>
          </cell>
          <cell r="AI135">
            <v>8135.6803369345025</v>
          </cell>
          <cell r="AJ135">
            <v>2094.3196630654975</v>
          </cell>
          <cell r="AP135">
            <v>21.482999999999997</v>
          </cell>
          <cell r="AQ135">
            <v>21.482999999999997</v>
          </cell>
          <cell r="AR135">
            <v>35</v>
          </cell>
        </row>
        <row r="136">
          <cell r="A136" t="str">
            <v>8160-01-238</v>
          </cell>
          <cell r="B136" t="str">
            <v>Gila Klinger</v>
          </cell>
          <cell r="C136" t="str">
            <v>022692370</v>
          </cell>
          <cell r="D136" t="e">
            <v>#REF!</v>
          </cell>
          <cell r="F136" t="str">
            <v>גילה קלינגר</v>
          </cell>
          <cell r="G136" t="str">
            <v>IV</v>
          </cell>
          <cell r="H136" t="str">
            <v>Meitav</v>
          </cell>
          <cell r="I136">
            <v>200000</v>
          </cell>
          <cell r="J136">
            <v>2.7351421539534388E-3</v>
          </cell>
          <cell r="K136">
            <v>1175.2731570525752</v>
          </cell>
          <cell r="L136">
            <v>5621.4292171366105</v>
          </cell>
          <cell r="M136">
            <v>7</v>
          </cell>
          <cell r="N136">
            <v>17</v>
          </cell>
          <cell r="O136">
            <v>6821</v>
          </cell>
          <cell r="Q136">
            <v>154.61389352108006</v>
          </cell>
          <cell r="T136">
            <v>0</v>
          </cell>
          <cell r="U136" t="str">
            <v>IRA</v>
          </cell>
          <cell r="V136">
            <v>154.61389352108006</v>
          </cell>
          <cell r="W136">
            <v>6821</v>
          </cell>
          <cell r="X136">
            <v>0</v>
          </cell>
          <cell r="Y136">
            <v>0</v>
          </cell>
          <cell r="Z136">
            <v>0</v>
          </cell>
          <cell r="AA136">
            <v>113487</v>
          </cell>
          <cell r="AB136">
            <v>26522</v>
          </cell>
          <cell r="AC136" t="str">
            <v>Zero investment in 2019</v>
          </cell>
          <cell r="AD136">
            <v>6821</v>
          </cell>
          <cell r="AE136">
            <v>0</v>
          </cell>
          <cell r="AF136">
            <v>6821</v>
          </cell>
          <cell r="AG136">
            <v>154.61389352108006</v>
          </cell>
          <cell r="AI136">
            <v>5423.7868912896693</v>
          </cell>
          <cell r="AJ136">
            <v>1397.2131087103307</v>
          </cell>
          <cell r="AP136">
            <v>14.3241</v>
          </cell>
          <cell r="AQ136">
            <v>18</v>
          </cell>
          <cell r="AR136">
            <v>35</v>
          </cell>
        </row>
        <row r="137">
          <cell r="A137" t="str">
            <v>8160-01-239</v>
          </cell>
          <cell r="B137" t="str">
            <v>Nachshon Gal</v>
          </cell>
          <cell r="C137" t="str">
            <v>054502901</v>
          </cell>
          <cell r="D137" t="e">
            <v>#REF!</v>
          </cell>
          <cell r="F137" t="str">
            <v>נחשון גל</v>
          </cell>
          <cell r="G137" t="str">
            <v>IV</v>
          </cell>
          <cell r="H137" t="str">
            <v>Meitav</v>
          </cell>
          <cell r="I137">
            <v>250000</v>
          </cell>
          <cell r="J137">
            <v>3.4189276924417983E-3</v>
          </cell>
          <cell r="K137">
            <v>1469.0914463157189</v>
          </cell>
          <cell r="L137">
            <v>7026.7865214207632</v>
          </cell>
          <cell r="M137">
            <v>9</v>
          </cell>
          <cell r="N137">
            <v>21</v>
          </cell>
          <cell r="O137">
            <v>8526</v>
          </cell>
          <cell r="Q137">
            <v>193.26736690135007</v>
          </cell>
          <cell r="T137">
            <v>0</v>
          </cell>
          <cell r="U137" t="str">
            <v>IRA</v>
          </cell>
          <cell r="V137">
            <v>193.26736690135007</v>
          </cell>
          <cell r="W137">
            <v>8526</v>
          </cell>
          <cell r="X137">
            <v>0</v>
          </cell>
          <cell r="Y137">
            <v>0</v>
          </cell>
          <cell r="Z137">
            <v>0</v>
          </cell>
          <cell r="AA137">
            <v>141858</v>
          </cell>
          <cell r="AB137">
            <v>33153</v>
          </cell>
          <cell r="AC137" t="str">
            <v>Zero investment in 2019</v>
          </cell>
          <cell r="AD137">
            <v>8526</v>
          </cell>
          <cell r="AE137">
            <v>0</v>
          </cell>
          <cell r="AF137">
            <v>8526</v>
          </cell>
          <cell r="AG137">
            <v>193.26736690135007</v>
          </cell>
          <cell r="AI137">
            <v>6779.7336141120859</v>
          </cell>
          <cell r="AJ137">
            <v>1746.2663858879141</v>
          </cell>
          <cell r="AP137">
            <v>17.904599999999999</v>
          </cell>
          <cell r="AQ137">
            <v>18</v>
          </cell>
          <cell r="AR137">
            <v>35</v>
          </cell>
        </row>
        <row r="138">
          <cell r="A138" t="str">
            <v>8160-01-240</v>
          </cell>
          <cell r="B138" t="str">
            <v>Reuven Nir</v>
          </cell>
          <cell r="C138" t="str">
            <v>050499839</v>
          </cell>
          <cell r="D138" t="e">
            <v>#REF!</v>
          </cell>
          <cell r="F138" t="str">
            <v>ראובן ניר</v>
          </cell>
          <cell r="G138" t="str">
            <v>IV</v>
          </cell>
          <cell r="H138" t="str">
            <v>Meitav</v>
          </cell>
          <cell r="I138">
            <v>400000</v>
          </cell>
          <cell r="J138">
            <v>5.4702843079068777E-3</v>
          </cell>
          <cell r="K138">
            <v>2350.5463141051505</v>
          </cell>
          <cell r="L138">
            <v>11242.858434273221</v>
          </cell>
          <cell r="M138">
            <v>14</v>
          </cell>
          <cell r="N138">
            <v>35</v>
          </cell>
          <cell r="O138">
            <v>13642</v>
          </cell>
          <cell r="Q138">
            <v>309.22778704216012</v>
          </cell>
          <cell r="T138">
            <v>0</v>
          </cell>
          <cell r="U138" t="str">
            <v>IRA</v>
          </cell>
          <cell r="V138">
            <v>309.22778704216012</v>
          </cell>
          <cell r="W138">
            <v>13642</v>
          </cell>
          <cell r="X138">
            <v>0</v>
          </cell>
          <cell r="Y138">
            <v>0</v>
          </cell>
          <cell r="Z138">
            <v>0</v>
          </cell>
          <cell r="AA138">
            <v>226973</v>
          </cell>
          <cell r="AB138">
            <v>53045</v>
          </cell>
          <cell r="AC138" t="str">
            <v>Zero investment in 2019</v>
          </cell>
          <cell r="AD138">
            <v>13642</v>
          </cell>
          <cell r="AE138">
            <v>0</v>
          </cell>
          <cell r="AF138">
            <v>13642</v>
          </cell>
          <cell r="AG138">
            <v>309.22778704216012</v>
          </cell>
          <cell r="AI138">
            <v>10847.573782579339</v>
          </cell>
          <cell r="AJ138">
            <v>2794.4262174206615</v>
          </cell>
          <cell r="AP138">
            <v>28.648199999999999</v>
          </cell>
          <cell r="AQ138">
            <v>28.648199999999999</v>
          </cell>
          <cell r="AR138">
            <v>35</v>
          </cell>
        </row>
        <row r="139">
          <cell r="A139" t="str">
            <v>8160-01-241</v>
          </cell>
          <cell r="B139" t="str">
            <v>Shevach Zeev Tentzer</v>
          </cell>
          <cell r="C139" t="str">
            <v>053665899</v>
          </cell>
          <cell r="D139" t="e">
            <v>#REF!</v>
          </cell>
          <cell r="F139" t="str">
            <v>שבח זאב טנצר</v>
          </cell>
          <cell r="G139" t="str">
            <v>IV</v>
          </cell>
          <cell r="H139" t="str">
            <v>Meitav</v>
          </cell>
          <cell r="I139">
            <v>250000</v>
          </cell>
          <cell r="J139">
            <v>3.4189276924417983E-3</v>
          </cell>
          <cell r="K139">
            <v>1469.0914463157189</v>
          </cell>
          <cell r="L139">
            <v>7026.7865214207632</v>
          </cell>
          <cell r="M139">
            <v>9</v>
          </cell>
          <cell r="N139">
            <v>21</v>
          </cell>
          <cell r="O139">
            <v>8526</v>
          </cell>
          <cell r="Q139">
            <v>193.26736690135007</v>
          </cell>
          <cell r="T139">
            <v>0</v>
          </cell>
          <cell r="U139" t="str">
            <v>IRA</v>
          </cell>
          <cell r="V139">
            <v>193.26736690135007</v>
          </cell>
          <cell r="W139">
            <v>8526</v>
          </cell>
          <cell r="X139">
            <v>0</v>
          </cell>
          <cell r="Y139">
            <v>0</v>
          </cell>
          <cell r="Z139">
            <v>0</v>
          </cell>
          <cell r="AA139">
            <v>141858</v>
          </cell>
          <cell r="AB139">
            <v>33153</v>
          </cell>
          <cell r="AC139" t="str">
            <v>Zero investment in 2019</v>
          </cell>
          <cell r="AD139">
            <v>8526</v>
          </cell>
          <cell r="AE139">
            <v>0</v>
          </cell>
          <cell r="AF139">
            <v>8526</v>
          </cell>
          <cell r="AG139">
            <v>193.26736690135007</v>
          </cell>
          <cell r="AI139">
            <v>6779.7336141120859</v>
          </cell>
          <cell r="AJ139">
            <v>1746.2663858879141</v>
          </cell>
          <cell r="AP139">
            <v>17.904599999999999</v>
          </cell>
          <cell r="AQ139">
            <v>18</v>
          </cell>
          <cell r="AR139">
            <v>35</v>
          </cell>
        </row>
        <row r="140">
          <cell r="A140" t="str">
            <v>8160-01-242</v>
          </cell>
          <cell r="B140" t="str">
            <v>Yona Fogel</v>
          </cell>
          <cell r="C140" t="str">
            <v>052102001</v>
          </cell>
          <cell r="D140" t="e">
            <v>#REF!</v>
          </cell>
          <cell r="F140" t="str">
            <v>יונה פוגל</v>
          </cell>
          <cell r="G140" t="str">
            <v>IV</v>
          </cell>
          <cell r="H140" t="str">
            <v>Meitav</v>
          </cell>
          <cell r="I140">
            <v>175011</v>
          </cell>
          <cell r="J140">
            <v>2.3933998175277266E-3</v>
          </cell>
          <cell r="K140">
            <v>1028.4286524446413</v>
          </cell>
          <cell r="L140">
            <v>4919.0597436014768</v>
          </cell>
          <cell r="M140">
            <v>9</v>
          </cell>
          <cell r="N140">
            <v>15</v>
          </cell>
          <cell r="O140">
            <v>5971</v>
          </cell>
          <cell r="Q140">
            <v>135.29566059508872</v>
          </cell>
          <cell r="T140">
            <v>0</v>
          </cell>
          <cell r="U140" t="str">
            <v>IRA</v>
          </cell>
          <cell r="V140">
            <v>135.29566059508872</v>
          </cell>
          <cell r="W140">
            <v>5971</v>
          </cell>
          <cell r="X140">
            <v>0</v>
          </cell>
          <cell r="Y140">
            <v>0</v>
          </cell>
          <cell r="Z140">
            <v>0</v>
          </cell>
          <cell r="AA140">
            <v>141858</v>
          </cell>
          <cell r="AB140">
            <v>33153</v>
          </cell>
          <cell r="AC140" t="str">
            <v>Zero investment in 2019</v>
          </cell>
          <cell r="AD140">
            <v>5971</v>
          </cell>
          <cell r="AE140">
            <v>0</v>
          </cell>
          <cell r="AF140">
            <v>5971</v>
          </cell>
          <cell r="AG140">
            <v>135.29566059508872</v>
          </cell>
          <cell r="AI140">
            <v>4746.1118381574815</v>
          </cell>
          <cell r="AJ140">
            <v>1224.8881618425185</v>
          </cell>
          <cell r="AP140">
            <v>12.539099999999999</v>
          </cell>
          <cell r="AQ140">
            <v>18</v>
          </cell>
          <cell r="AR140">
            <v>35</v>
          </cell>
        </row>
        <row r="141">
          <cell r="A141" t="str">
            <v>8160-01-243</v>
          </cell>
          <cell r="B141" t="str">
            <v>Monica Iancu</v>
          </cell>
          <cell r="C141" t="str">
            <v>016641623</v>
          </cell>
          <cell r="D141" t="e">
            <v>#REF!</v>
          </cell>
          <cell r="F141" t="str">
            <v>מוניקה ינקו</v>
          </cell>
          <cell r="G141" t="str">
            <v>IV</v>
          </cell>
          <cell r="H141" t="str">
            <v>Meitav</v>
          </cell>
          <cell r="I141">
            <v>300000</v>
          </cell>
          <cell r="J141">
            <v>4.1027132309301578E-3</v>
          </cell>
          <cell r="K141">
            <v>1762.9097355788626</v>
          </cell>
          <cell r="L141">
            <v>8432.1438257049158</v>
          </cell>
          <cell r="M141">
            <v>10</v>
          </cell>
          <cell r="N141">
            <v>25</v>
          </cell>
          <cell r="O141">
            <v>10230</v>
          </cell>
          <cell r="Q141">
            <v>231.92084028162006</v>
          </cell>
          <cell r="T141">
            <v>0</v>
          </cell>
          <cell r="U141" t="str">
            <v>IRA</v>
          </cell>
          <cell r="V141">
            <v>231.92084028162006</v>
          </cell>
          <cell r="W141">
            <v>10230</v>
          </cell>
          <cell r="X141">
            <v>0</v>
          </cell>
          <cell r="Y141">
            <v>0</v>
          </cell>
          <cell r="Z141">
            <v>0</v>
          </cell>
          <cell r="AA141">
            <v>170230</v>
          </cell>
          <cell r="AB141">
            <v>39784</v>
          </cell>
          <cell r="AC141" t="str">
            <v>Zero investment in 2019</v>
          </cell>
          <cell r="AD141">
            <v>10230</v>
          </cell>
          <cell r="AE141">
            <v>0</v>
          </cell>
          <cell r="AF141">
            <v>10230</v>
          </cell>
          <cell r="AG141">
            <v>231.92084028162006</v>
          </cell>
          <cell r="AI141">
            <v>8135.6803369345025</v>
          </cell>
          <cell r="AJ141">
            <v>2094.3196630654975</v>
          </cell>
          <cell r="AP141">
            <v>21.482999999999997</v>
          </cell>
          <cell r="AQ141">
            <v>21.482999999999997</v>
          </cell>
          <cell r="AR141">
            <v>35</v>
          </cell>
        </row>
        <row r="142">
          <cell r="A142" t="str">
            <v>8160-01-244</v>
          </cell>
          <cell r="B142" t="str">
            <v>Oron Stern</v>
          </cell>
          <cell r="C142" t="str">
            <v>054336698</v>
          </cell>
          <cell r="D142" t="e">
            <v>#REF!</v>
          </cell>
          <cell r="F142" t="str">
            <v>אורון משה שטר</v>
          </cell>
          <cell r="G142" t="str">
            <v>IV</v>
          </cell>
          <cell r="H142" t="str">
            <v>Meitav</v>
          </cell>
          <cell r="I142">
            <v>250000</v>
          </cell>
          <cell r="J142">
            <v>3.4189276924417983E-3</v>
          </cell>
          <cell r="K142">
            <v>1469.0914463157189</v>
          </cell>
          <cell r="L142">
            <v>7026.7865214207632</v>
          </cell>
          <cell r="M142">
            <v>9</v>
          </cell>
          <cell r="N142">
            <v>21</v>
          </cell>
          <cell r="O142">
            <v>8526</v>
          </cell>
          <cell r="Q142">
            <v>193.26736690135007</v>
          </cell>
          <cell r="T142">
            <v>0</v>
          </cell>
          <cell r="U142" t="str">
            <v>IRA</v>
          </cell>
          <cell r="V142">
            <v>193.26736690135007</v>
          </cell>
          <cell r="W142">
            <v>8526</v>
          </cell>
          <cell r="X142">
            <v>0</v>
          </cell>
          <cell r="Y142">
            <v>0</v>
          </cell>
          <cell r="Z142">
            <v>0</v>
          </cell>
          <cell r="AA142">
            <v>141858</v>
          </cell>
          <cell r="AB142">
            <v>33153</v>
          </cell>
          <cell r="AC142" t="str">
            <v>Zero investment in 2019</v>
          </cell>
          <cell r="AD142">
            <v>8526</v>
          </cell>
          <cell r="AE142">
            <v>0</v>
          </cell>
          <cell r="AF142">
            <v>8526</v>
          </cell>
          <cell r="AG142">
            <v>193.26736690135007</v>
          </cell>
          <cell r="AI142">
            <v>6779.7336141120859</v>
          </cell>
          <cell r="AJ142">
            <v>1746.2663858879141</v>
          </cell>
          <cell r="AP142">
            <v>17.904599999999999</v>
          </cell>
          <cell r="AQ142">
            <v>18</v>
          </cell>
          <cell r="AR142">
            <v>35</v>
          </cell>
        </row>
        <row r="143">
          <cell r="A143" t="str">
            <v>8160-01-245</v>
          </cell>
          <cell r="B143" t="str">
            <v>Itay Shalom Brener</v>
          </cell>
          <cell r="C143" t="str">
            <v>025232448</v>
          </cell>
          <cell r="D143" t="e">
            <v>#REF!</v>
          </cell>
          <cell r="F143" t="str">
            <v>איתי שלום ברנר</v>
          </cell>
          <cell r="G143" t="str">
            <v>IV</v>
          </cell>
          <cell r="I143">
            <v>150000</v>
          </cell>
          <cell r="J143">
            <v>2.0513566154650789E-3</v>
          </cell>
          <cell r="K143">
            <v>881.45486778943132</v>
          </cell>
          <cell r="L143">
            <v>4216.0719128524579</v>
          </cell>
          <cell r="M143">
            <v>6</v>
          </cell>
          <cell r="N143">
            <v>13</v>
          </cell>
          <cell r="O143">
            <v>5117</v>
          </cell>
          <cell r="P143">
            <v>220.36371694735783</v>
          </cell>
          <cell r="Q143">
            <v>115.96042014081003</v>
          </cell>
          <cell r="R143">
            <v>-115.96042014081003</v>
          </cell>
          <cell r="S143">
            <v>104.4032968065478</v>
          </cell>
          <cell r="T143">
            <v>104.4032968065478</v>
          </cell>
          <cell r="U143" t="str">
            <v>X</v>
          </cell>
          <cell r="W143">
            <v>5013</v>
          </cell>
          <cell r="X143">
            <v>0</v>
          </cell>
          <cell r="Y143">
            <v>0</v>
          </cell>
          <cell r="Z143">
            <v>0</v>
          </cell>
          <cell r="AA143">
            <v>85115</v>
          </cell>
          <cell r="AB143">
            <v>19885</v>
          </cell>
          <cell r="AC143" t="str">
            <v>Zero investment in 2019</v>
          </cell>
          <cell r="AD143">
            <v>5117</v>
          </cell>
          <cell r="AE143">
            <v>104.4032968065478</v>
          </cell>
          <cell r="AF143">
            <v>5013</v>
          </cell>
          <cell r="AG143">
            <v>220.36371694735783</v>
          </cell>
          <cell r="AI143">
            <v>4067.8401684672513</v>
          </cell>
          <cell r="AJ143">
            <v>1049.1598315327487</v>
          </cell>
          <cell r="AP143">
            <v>10.527299999999999</v>
          </cell>
          <cell r="AQ143">
            <v>18</v>
          </cell>
          <cell r="AR143">
            <v>35</v>
          </cell>
        </row>
        <row r="144">
          <cell r="A144" t="str">
            <v>8160-01-246</v>
          </cell>
          <cell r="B144" t="str">
            <v>Kibbutz Ein Hashofet</v>
          </cell>
          <cell r="C144">
            <v>570001511</v>
          </cell>
          <cell r="D144" t="e">
            <v>#REF!</v>
          </cell>
          <cell r="E144" t="str">
            <v>Kibbutz Ein Hashofet</v>
          </cell>
          <cell r="F144" t="str">
            <v>קיבוץ עין השופט</v>
          </cell>
          <cell r="G144" t="str">
            <v>IV</v>
          </cell>
          <cell r="I144">
            <v>500000</v>
          </cell>
          <cell r="J144">
            <v>6.8378553848835967E-3</v>
          </cell>
          <cell r="K144">
            <v>2938.1828926314379</v>
          </cell>
          <cell r="L144">
            <v>14053.573042841526</v>
          </cell>
          <cell r="M144">
            <v>17</v>
          </cell>
          <cell r="N144">
            <v>43</v>
          </cell>
          <cell r="O144">
            <v>17052</v>
          </cell>
          <cell r="Q144">
            <v>386.53473380270015</v>
          </cell>
          <cell r="T144">
            <v>0</v>
          </cell>
          <cell r="U144" t="str">
            <v>V</v>
          </cell>
          <cell r="V144">
            <v>386.53473380270015</v>
          </cell>
          <cell r="W144">
            <v>17052</v>
          </cell>
          <cell r="X144" t="e">
            <v>#N/A</v>
          </cell>
          <cell r="Y144" t="e">
            <v>#N/A</v>
          </cell>
          <cell r="Z144" t="e">
            <v>#N/A</v>
          </cell>
          <cell r="AA144" t="e">
            <v>#N/A</v>
          </cell>
          <cell r="AB144" t="e">
            <v>#N/A</v>
          </cell>
          <cell r="AC144" t="str">
            <v>Zero investment in 2019</v>
          </cell>
          <cell r="AD144">
            <v>17052</v>
          </cell>
          <cell r="AE144">
            <v>0</v>
          </cell>
          <cell r="AF144">
            <v>17052</v>
          </cell>
          <cell r="AG144">
            <v>386.53473380270015</v>
          </cell>
          <cell r="AI144">
            <v>13559.467228224172</v>
          </cell>
          <cell r="AJ144">
            <v>3492.5327717758282</v>
          </cell>
          <cell r="AP144">
            <v>35.809199999999997</v>
          </cell>
          <cell r="AQ144">
            <v>35.809199999999997</v>
          </cell>
          <cell r="AR144">
            <v>35</v>
          </cell>
        </row>
        <row r="145">
          <cell r="A145" t="str">
            <v>8160-01-247</v>
          </cell>
          <cell r="B145" t="str">
            <v>Kibbutz Givat Oz</v>
          </cell>
          <cell r="C145">
            <v>570008565</v>
          </cell>
          <cell r="D145" t="e">
            <v>#REF!</v>
          </cell>
          <cell r="E145" t="str">
            <v>Kibbutz Givat Oz</v>
          </cell>
          <cell r="F145" t="str">
            <v>קיבוץ גבעת עז</v>
          </cell>
          <cell r="G145" t="str">
            <v>IV</v>
          </cell>
          <cell r="I145">
            <v>580000</v>
          </cell>
          <cell r="J145">
            <v>7.9319122464649727E-3</v>
          </cell>
          <cell r="K145">
            <v>3408.2921554524683</v>
          </cell>
          <cell r="L145">
            <v>16302.144729696171</v>
          </cell>
          <cell r="M145">
            <v>21</v>
          </cell>
          <cell r="N145">
            <v>50</v>
          </cell>
          <cell r="O145">
            <v>19781</v>
          </cell>
          <cell r="Q145">
            <v>448.3802912111322</v>
          </cell>
          <cell r="T145">
            <v>0</v>
          </cell>
          <cell r="U145" t="str">
            <v>V</v>
          </cell>
          <cell r="V145">
            <v>448.3802912111322</v>
          </cell>
          <cell r="W145">
            <v>19781</v>
          </cell>
          <cell r="X145">
            <v>0</v>
          </cell>
          <cell r="Y145">
            <v>0</v>
          </cell>
          <cell r="Z145">
            <v>0</v>
          </cell>
          <cell r="AA145">
            <v>329108.5</v>
          </cell>
          <cell r="AB145">
            <v>76912.5</v>
          </cell>
          <cell r="AC145" t="str">
            <v>Zero investment in 2019</v>
          </cell>
          <cell r="AD145">
            <v>19781</v>
          </cell>
          <cell r="AE145">
            <v>0</v>
          </cell>
          <cell r="AF145">
            <v>19781</v>
          </cell>
          <cell r="AG145">
            <v>448.3802912111322</v>
          </cell>
          <cell r="AI145">
            <v>15728.981984740041</v>
          </cell>
          <cell r="AJ145">
            <v>4052.0180152599587</v>
          </cell>
          <cell r="AP145">
            <v>41.540099999999995</v>
          </cell>
          <cell r="AQ145">
            <v>41.540099999999995</v>
          </cell>
          <cell r="AR145">
            <v>35</v>
          </cell>
        </row>
        <row r="146">
          <cell r="A146" t="str">
            <v>8160-01-248</v>
          </cell>
          <cell r="B146" t="str">
            <v>Mordechai Katz</v>
          </cell>
          <cell r="C146">
            <v>4598538</v>
          </cell>
          <cell r="D146" t="e">
            <v>#REF!</v>
          </cell>
          <cell r="F146" t="str">
            <v>מרדכי כץ</v>
          </cell>
          <cell r="G146" t="str">
            <v>IV</v>
          </cell>
          <cell r="I146">
            <v>230000</v>
          </cell>
          <cell r="J146">
            <v>3.1454134770464545E-3</v>
          </cell>
          <cell r="K146">
            <v>1351.5641306104615</v>
          </cell>
          <cell r="L146">
            <v>6464.6435997071021</v>
          </cell>
          <cell r="M146">
            <v>8</v>
          </cell>
          <cell r="N146">
            <v>20</v>
          </cell>
          <cell r="O146">
            <v>7844</v>
          </cell>
          <cell r="P146">
            <v>337.89103265261537</v>
          </cell>
          <cell r="Q146">
            <v>177.80597754924207</v>
          </cell>
          <cell r="R146">
            <v>-177.80597754924207</v>
          </cell>
          <cell r="S146">
            <v>160.08505510337329</v>
          </cell>
          <cell r="T146">
            <v>160.08505510337329</v>
          </cell>
          <cell r="U146" t="str">
            <v>X</v>
          </cell>
          <cell r="W146">
            <v>7684</v>
          </cell>
          <cell r="X146">
            <v>0</v>
          </cell>
          <cell r="Y146">
            <v>0</v>
          </cell>
          <cell r="Z146">
            <v>0</v>
          </cell>
          <cell r="AA146">
            <v>130510</v>
          </cell>
          <cell r="AB146">
            <v>30501</v>
          </cell>
          <cell r="AC146" t="str">
            <v>Zero investment in 2019</v>
          </cell>
          <cell r="AD146">
            <v>7844</v>
          </cell>
          <cell r="AE146">
            <v>160.08505510337329</v>
          </cell>
          <cell r="AF146">
            <v>7684</v>
          </cell>
          <cell r="AG146">
            <v>337.89103265261537</v>
          </cell>
          <cell r="AI146">
            <v>6237.3549249831194</v>
          </cell>
          <cell r="AJ146">
            <v>1606.6450750168806</v>
          </cell>
          <cell r="AP146">
            <v>16.136399999999998</v>
          </cell>
          <cell r="AQ146">
            <v>18</v>
          </cell>
          <cell r="AR146">
            <v>35</v>
          </cell>
        </row>
        <row r="147">
          <cell r="A147" t="str">
            <v>8160-01-249</v>
          </cell>
          <cell r="B147" t="str">
            <v xml:space="preserve">Narita Company for Commerce and Investments Ltd
</v>
          </cell>
          <cell r="C147">
            <v>511927485</v>
          </cell>
          <cell r="D147" t="e">
            <v>#REF!</v>
          </cell>
          <cell r="E147" t="str">
            <v xml:space="preserve">Narita Company for Commerce and Investments Ltd
</v>
          </cell>
          <cell r="F147" t="str">
            <v>נריטה חברה למסחר והשקעות בע"מ</v>
          </cell>
          <cell r="G147" t="str">
            <v>IV</v>
          </cell>
          <cell r="I147">
            <v>500000</v>
          </cell>
          <cell r="J147">
            <v>6.8378553848835967E-3</v>
          </cell>
          <cell r="K147">
            <v>2938.1828926314379</v>
          </cell>
          <cell r="L147">
            <v>14053.573042841526</v>
          </cell>
          <cell r="M147">
            <v>17</v>
          </cell>
          <cell r="N147">
            <v>43</v>
          </cell>
          <cell r="O147">
            <v>17052</v>
          </cell>
          <cell r="Q147">
            <v>386.53473380270015</v>
          </cell>
          <cell r="T147">
            <v>0</v>
          </cell>
          <cell r="U147" t="str">
            <v>V</v>
          </cell>
          <cell r="V147">
            <v>386.53473380270015</v>
          </cell>
          <cell r="W147">
            <v>17052</v>
          </cell>
          <cell r="X147" t="e">
            <v>#N/A</v>
          </cell>
          <cell r="Y147" t="e">
            <v>#N/A</v>
          </cell>
          <cell r="Z147" t="e">
            <v>#N/A</v>
          </cell>
          <cell r="AA147" t="e">
            <v>#N/A</v>
          </cell>
          <cell r="AB147" t="e">
            <v>#N/A</v>
          </cell>
          <cell r="AC147" t="str">
            <v>Zero investment in 2019</v>
          </cell>
          <cell r="AD147">
            <v>17052</v>
          </cell>
          <cell r="AE147">
            <v>0</v>
          </cell>
          <cell r="AF147">
            <v>17052</v>
          </cell>
          <cell r="AG147">
            <v>386.53473380270015</v>
          </cell>
          <cell r="AI147">
            <v>13559.467228224172</v>
          </cell>
          <cell r="AJ147">
            <v>3492.5327717758282</v>
          </cell>
          <cell r="AP147">
            <v>35.809199999999997</v>
          </cell>
          <cell r="AQ147">
            <v>35.809199999999997</v>
          </cell>
          <cell r="AR147">
            <v>35</v>
          </cell>
        </row>
        <row r="148">
          <cell r="A148" t="str">
            <v>8160-01-250</v>
          </cell>
          <cell r="B148" t="str">
            <v>Ran &amp; Anat Rothschild</v>
          </cell>
          <cell r="C148" t="str">
            <v>Anat - 034069815
Ran - 032330474</v>
          </cell>
          <cell r="D148" t="e">
            <v>#REF!</v>
          </cell>
          <cell r="F148" t="str">
            <v>רן רוטשילד וענת סולומון רוטשילד</v>
          </cell>
          <cell r="G148" t="str">
            <v>IV</v>
          </cell>
          <cell r="I148">
            <v>250000</v>
          </cell>
          <cell r="J148">
            <v>3.4189276924417983E-3</v>
          </cell>
          <cell r="K148">
            <v>1469.0914463157189</v>
          </cell>
          <cell r="L148">
            <v>7026.7865214207632</v>
          </cell>
          <cell r="M148">
            <v>9</v>
          </cell>
          <cell r="N148">
            <v>21</v>
          </cell>
          <cell r="O148">
            <v>8526</v>
          </cell>
          <cell r="P148">
            <v>367.27286157892974</v>
          </cell>
          <cell r="Q148">
            <v>193.26736690135007</v>
          </cell>
          <cell r="R148">
            <v>-193.26736690135007</v>
          </cell>
          <cell r="S148">
            <v>174.00549467757966</v>
          </cell>
          <cell r="T148">
            <v>174.00549467757966</v>
          </cell>
          <cell r="U148" t="str">
            <v>X</v>
          </cell>
          <cell r="W148">
            <v>8352</v>
          </cell>
          <cell r="X148">
            <v>0</v>
          </cell>
          <cell r="Y148">
            <v>0</v>
          </cell>
          <cell r="Z148">
            <v>0</v>
          </cell>
          <cell r="AA148">
            <v>141858</v>
          </cell>
          <cell r="AB148">
            <v>33153</v>
          </cell>
          <cell r="AC148" t="str">
            <v>Zero investment in 2019</v>
          </cell>
          <cell r="AD148">
            <v>8526</v>
          </cell>
          <cell r="AE148">
            <v>174.00549467757966</v>
          </cell>
          <cell r="AF148">
            <v>8352</v>
          </cell>
          <cell r="AG148">
            <v>367.27286157892974</v>
          </cell>
          <cell r="AI148">
            <v>6779.7336141120859</v>
          </cell>
          <cell r="AJ148">
            <v>1746.2663858879141</v>
          </cell>
          <cell r="AP148">
            <v>17.539199999999997</v>
          </cell>
          <cell r="AQ148">
            <v>18</v>
          </cell>
          <cell r="AR148">
            <v>35</v>
          </cell>
        </row>
        <row r="149">
          <cell r="A149" t="str">
            <v>8160-01-251</v>
          </cell>
          <cell r="B149" t="str">
            <v>Tomer Kariv</v>
          </cell>
          <cell r="C149">
            <v>56778194</v>
          </cell>
          <cell r="D149" t="e">
            <v>#REF!</v>
          </cell>
          <cell r="F149" t="str">
            <v>תומר קריב</v>
          </cell>
          <cell r="G149" t="str">
            <v>IV</v>
          </cell>
          <cell r="I149">
            <v>250000</v>
          </cell>
          <cell r="J149">
            <v>3.4189276924417983E-3</v>
          </cell>
          <cell r="K149">
            <v>1469.0914463157189</v>
          </cell>
          <cell r="L149">
            <v>7026.7865214207632</v>
          </cell>
          <cell r="M149">
            <v>9</v>
          </cell>
          <cell r="N149">
            <v>21</v>
          </cell>
          <cell r="O149">
            <v>8526</v>
          </cell>
          <cell r="P149">
            <v>367.27286157892974</v>
          </cell>
          <cell r="Q149">
            <v>193.26736690135007</v>
          </cell>
          <cell r="R149">
            <v>-193.26736690135007</v>
          </cell>
          <cell r="S149">
            <v>174.00549467757966</v>
          </cell>
          <cell r="T149">
            <v>174.00549467757966</v>
          </cell>
          <cell r="U149" t="str">
            <v>X</v>
          </cell>
          <cell r="W149">
            <v>8352</v>
          </cell>
          <cell r="X149">
            <v>0</v>
          </cell>
          <cell r="Y149">
            <v>0</v>
          </cell>
          <cell r="Z149">
            <v>0</v>
          </cell>
          <cell r="AA149">
            <v>141858</v>
          </cell>
          <cell r="AB149">
            <v>33153</v>
          </cell>
          <cell r="AC149" t="str">
            <v>Zero investment in 2019</v>
          </cell>
          <cell r="AD149">
            <v>8526</v>
          </cell>
          <cell r="AE149">
            <v>174.00549467757966</v>
          </cell>
          <cell r="AF149">
            <v>8352</v>
          </cell>
          <cell r="AG149">
            <v>367.27286157892974</v>
          </cell>
          <cell r="AI149">
            <v>6779.7336141120859</v>
          </cell>
          <cell r="AJ149">
            <v>1746.2663858879141</v>
          </cell>
          <cell r="AP149">
            <v>17.539199999999997</v>
          </cell>
          <cell r="AQ149">
            <v>18</v>
          </cell>
          <cell r="AR149">
            <v>35</v>
          </cell>
        </row>
        <row r="150">
          <cell r="A150" t="str">
            <v>8160-01-252</v>
          </cell>
          <cell r="B150" t="str">
            <v>Y Brener Technologies LTD</v>
          </cell>
          <cell r="C150">
            <v>513026492</v>
          </cell>
          <cell r="D150" t="e">
            <v>#REF!</v>
          </cell>
          <cell r="E150" t="str">
            <v>Y Brener Technologies LTD</v>
          </cell>
          <cell r="F150" t="str">
            <v>י. ברנר טכנולוגיות בע"מ</v>
          </cell>
          <cell r="G150" t="str">
            <v>IV</v>
          </cell>
          <cell r="I150">
            <v>290000</v>
          </cell>
          <cell r="J150">
            <v>3.9659561232324864E-3</v>
          </cell>
          <cell r="K150">
            <v>1704.1460777262341</v>
          </cell>
          <cell r="L150">
            <v>8151.0723648480853</v>
          </cell>
          <cell r="M150">
            <v>10</v>
          </cell>
          <cell r="N150">
            <v>25</v>
          </cell>
          <cell r="O150">
            <v>9890</v>
          </cell>
          <cell r="Q150">
            <v>224.1901456055661</v>
          </cell>
          <cell r="T150">
            <v>0</v>
          </cell>
          <cell r="U150" t="str">
            <v>V</v>
          </cell>
          <cell r="V150">
            <v>224.1901456055661</v>
          </cell>
          <cell r="W150">
            <v>9890</v>
          </cell>
          <cell r="X150" t="e">
            <v>#N/A</v>
          </cell>
          <cell r="Y150" t="e">
            <v>#N/A</v>
          </cell>
          <cell r="Z150" t="e">
            <v>#N/A</v>
          </cell>
          <cell r="AA150" t="e">
            <v>#N/A</v>
          </cell>
          <cell r="AB150" t="e">
            <v>#N/A</v>
          </cell>
          <cell r="AC150" t="str">
            <v>Zero investment in 2019</v>
          </cell>
          <cell r="AD150">
            <v>9890</v>
          </cell>
          <cell r="AE150">
            <v>0</v>
          </cell>
          <cell r="AF150">
            <v>9890</v>
          </cell>
          <cell r="AG150">
            <v>224.1901456055661</v>
          </cell>
          <cell r="AI150">
            <v>7864.4909923700206</v>
          </cell>
          <cell r="AJ150">
            <v>2025.5090076299794</v>
          </cell>
          <cell r="AP150">
            <v>20.768999999999998</v>
          </cell>
          <cell r="AQ150">
            <v>20.768999999999998</v>
          </cell>
          <cell r="AR150">
            <v>35</v>
          </cell>
        </row>
        <row r="151">
          <cell r="A151" t="str">
            <v>8160-01-253</v>
          </cell>
          <cell r="B151" t="str">
            <v>Yuval Fuchs</v>
          </cell>
          <cell r="G151" t="e">
            <v>#N/A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 t="e">
            <v>#N/A</v>
          </cell>
          <cell r="V151">
            <v>0</v>
          </cell>
          <cell r="W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I151">
            <v>0</v>
          </cell>
          <cell r="AJ151">
            <v>0</v>
          </cell>
        </row>
        <row r="152">
          <cell r="A152" t="str">
            <v>8160-01-254</v>
          </cell>
          <cell r="B152" t="str">
            <v>Yaacov Zitser</v>
          </cell>
          <cell r="C152" t="str">
            <v>051224236</v>
          </cell>
          <cell r="D152" t="e">
            <v>#REF!</v>
          </cell>
          <cell r="F152" t="str">
            <v>יעקב זיצר</v>
          </cell>
          <cell r="G152" t="str">
            <v>I</v>
          </cell>
          <cell r="H152" t="str">
            <v>Psagot</v>
          </cell>
          <cell r="I152">
            <v>250000</v>
          </cell>
          <cell r="J152">
            <v>3.4189276924417983E-3</v>
          </cell>
          <cell r="K152">
            <v>1469.0914463157189</v>
          </cell>
          <cell r="L152">
            <v>7026.7865214207632</v>
          </cell>
          <cell r="M152">
            <v>9</v>
          </cell>
          <cell r="N152">
            <v>21</v>
          </cell>
          <cell r="O152">
            <v>8526</v>
          </cell>
          <cell r="Q152">
            <v>193.26736690135007</v>
          </cell>
          <cell r="T152">
            <v>0</v>
          </cell>
          <cell r="U152" t="str">
            <v>IRA</v>
          </cell>
          <cell r="V152">
            <v>193.26736690135007</v>
          </cell>
          <cell r="W152">
            <v>8526</v>
          </cell>
          <cell r="X152">
            <v>83333.332999999999</v>
          </cell>
          <cell r="Y152">
            <v>47900</v>
          </cell>
          <cell r="Z152">
            <v>10625</v>
          </cell>
          <cell r="AA152">
            <v>0</v>
          </cell>
          <cell r="AB152">
            <v>33153</v>
          </cell>
          <cell r="AC152" t="e">
            <v>#REF!</v>
          </cell>
          <cell r="AD152">
            <v>8526</v>
          </cell>
          <cell r="AE152">
            <v>0</v>
          </cell>
          <cell r="AF152">
            <v>8526</v>
          </cell>
          <cell r="AG152">
            <v>193.26736690135007</v>
          </cell>
          <cell r="AI152">
            <v>6779.7336141120859</v>
          </cell>
          <cell r="AJ152">
            <v>1746.2663858879141</v>
          </cell>
          <cell r="AP152">
            <v>17.904599999999999</v>
          </cell>
          <cell r="AQ152">
            <v>18</v>
          </cell>
          <cell r="AR152">
            <v>35</v>
          </cell>
        </row>
        <row r="153">
          <cell r="A153" t="str">
            <v>8160-01-255</v>
          </cell>
          <cell r="B153" t="str">
            <v>A.N.T - 10 LTD</v>
          </cell>
          <cell r="C153">
            <v>512903311</v>
          </cell>
          <cell r="D153" t="e">
            <v>#REF!</v>
          </cell>
          <cell r="E153" t="str">
            <v>A.N.T - 10 LTD</v>
          </cell>
          <cell r="F153" t="str">
            <v>א.נ.ט - 10 בע"מ</v>
          </cell>
          <cell r="G153" t="str">
            <v>V</v>
          </cell>
          <cell r="I153">
            <v>300000</v>
          </cell>
          <cell r="J153">
            <v>4.1027132309301578E-3</v>
          </cell>
          <cell r="K153">
            <v>1762.9097355788626</v>
          </cell>
          <cell r="L153">
            <v>8432.1438257049158</v>
          </cell>
          <cell r="M153">
            <v>10</v>
          </cell>
          <cell r="N153">
            <v>25</v>
          </cell>
          <cell r="O153">
            <v>10230</v>
          </cell>
          <cell r="Q153">
            <v>231.92084028162006</v>
          </cell>
          <cell r="T153">
            <v>0</v>
          </cell>
          <cell r="U153" t="str">
            <v>V</v>
          </cell>
          <cell r="V153">
            <v>231.92084028162006</v>
          </cell>
          <cell r="W153">
            <v>10230</v>
          </cell>
          <cell r="X153" t="e">
            <v>#N/A</v>
          </cell>
          <cell r="Y153" t="e">
            <v>#N/A</v>
          </cell>
          <cell r="Z153" t="e">
            <v>#N/A</v>
          </cell>
          <cell r="AA153" t="e">
            <v>#N/A</v>
          </cell>
          <cell r="AB153" t="e">
            <v>#N/A</v>
          </cell>
          <cell r="AC153" t="str">
            <v>Zero investment in 2019</v>
          </cell>
          <cell r="AD153">
            <v>10230</v>
          </cell>
          <cell r="AE153">
            <v>0</v>
          </cell>
          <cell r="AF153">
            <v>10230</v>
          </cell>
          <cell r="AG153">
            <v>231.92084028162006</v>
          </cell>
          <cell r="AI153">
            <v>8135.6803369345025</v>
          </cell>
          <cell r="AJ153">
            <v>2094.3196630654975</v>
          </cell>
          <cell r="AP153">
            <v>21.482999999999997</v>
          </cell>
          <cell r="AQ153">
            <v>21.482999999999997</v>
          </cell>
          <cell r="AR153">
            <v>35</v>
          </cell>
        </row>
        <row r="154">
          <cell r="A154" t="str">
            <v>8160-01-257</v>
          </cell>
          <cell r="B154" t="str">
            <v>Arieh &amp; Varda Saban</v>
          </cell>
          <cell r="C154" t="str">
            <v>Arieh 064902083     Varda 050403963</v>
          </cell>
          <cell r="D154" t="e">
            <v>#REF!</v>
          </cell>
          <cell r="F154" t="str">
            <v>אריה סבן וורדה סבן</v>
          </cell>
          <cell r="G154" t="str">
            <v>V</v>
          </cell>
          <cell r="I154">
            <v>500000</v>
          </cell>
          <cell r="J154">
            <v>6.8378553848835967E-3</v>
          </cell>
          <cell r="K154">
            <v>2938.1828926314379</v>
          </cell>
          <cell r="L154">
            <v>14053.573042841526</v>
          </cell>
          <cell r="M154">
            <v>17</v>
          </cell>
          <cell r="N154">
            <v>43</v>
          </cell>
          <cell r="O154">
            <v>17052</v>
          </cell>
          <cell r="P154">
            <v>734.54572315785947</v>
          </cell>
          <cell r="Q154">
            <v>386.53473380270015</v>
          </cell>
          <cell r="R154">
            <v>-386.53473380270015</v>
          </cell>
          <cell r="S154">
            <v>348.01098935515932</v>
          </cell>
          <cell r="T154">
            <v>348.01098935515932</v>
          </cell>
          <cell r="U154" t="str">
            <v>X</v>
          </cell>
          <cell r="W154">
            <v>16704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350023</v>
          </cell>
          <cell r="AC154" t="str">
            <v>Zero investment in 2019</v>
          </cell>
          <cell r="AD154">
            <v>17052</v>
          </cell>
          <cell r="AE154">
            <v>348.01098935515932</v>
          </cell>
          <cell r="AF154">
            <v>16704</v>
          </cell>
          <cell r="AG154">
            <v>734.54572315785947</v>
          </cell>
          <cell r="AI154">
            <v>13559.467228224172</v>
          </cell>
          <cell r="AJ154">
            <v>3492.5327717758282</v>
          </cell>
          <cell r="AP154">
            <v>35.078399999999995</v>
          </cell>
          <cell r="AQ154">
            <v>35.078399999999995</v>
          </cell>
          <cell r="AR154">
            <v>35</v>
          </cell>
        </row>
        <row r="155">
          <cell r="A155" t="str">
            <v>8160-01-258</v>
          </cell>
          <cell r="B155" t="str">
            <v>Atlas Lending Fund L.P</v>
          </cell>
          <cell r="C155" t="str">
            <v>OG-90357</v>
          </cell>
          <cell r="D155" t="e">
            <v>#REF!</v>
          </cell>
          <cell r="E155" t="str">
            <v>Atlas Lending Fund L.P</v>
          </cell>
          <cell r="G155" t="str">
            <v>V</v>
          </cell>
          <cell r="I155">
            <v>500000</v>
          </cell>
          <cell r="J155">
            <v>6.8378553848835967E-3</v>
          </cell>
          <cell r="K155">
            <v>2938.1828926314379</v>
          </cell>
          <cell r="L155">
            <v>14053.573042841526</v>
          </cell>
          <cell r="M155">
            <v>17</v>
          </cell>
          <cell r="N155">
            <v>43</v>
          </cell>
          <cell r="O155">
            <v>17052</v>
          </cell>
          <cell r="Q155">
            <v>386.53473380270015</v>
          </cell>
          <cell r="T155">
            <v>0</v>
          </cell>
          <cell r="U155" t="str">
            <v>V</v>
          </cell>
          <cell r="W155">
            <v>17052</v>
          </cell>
          <cell r="X155" t="e">
            <v>#N/A</v>
          </cell>
          <cell r="Y155" t="e">
            <v>#N/A</v>
          </cell>
          <cell r="Z155" t="e">
            <v>#N/A</v>
          </cell>
          <cell r="AA155" t="e">
            <v>#N/A</v>
          </cell>
          <cell r="AB155" t="e">
            <v>#N/A</v>
          </cell>
          <cell r="AC155" t="str">
            <v>Zero investment in 2019</v>
          </cell>
          <cell r="AD155">
            <v>17052</v>
          </cell>
          <cell r="AE155">
            <v>0</v>
          </cell>
          <cell r="AF155">
            <v>17052</v>
          </cell>
          <cell r="AG155">
            <v>386.53473380270015</v>
          </cell>
          <cell r="AI155">
            <v>13559.467228224172</v>
          </cell>
          <cell r="AJ155">
            <v>3492.5327717758282</v>
          </cell>
          <cell r="AP155">
            <v>35.809199999999997</v>
          </cell>
          <cell r="AQ155">
            <v>35.809199999999997</v>
          </cell>
          <cell r="AR155">
            <v>35</v>
          </cell>
        </row>
        <row r="156">
          <cell r="A156" t="str">
            <v>8160-01-259</v>
          </cell>
          <cell r="B156" t="str">
            <v>Bibars Natcho</v>
          </cell>
          <cell r="C156">
            <v>301281531</v>
          </cell>
          <cell r="D156">
            <v>301281531</v>
          </cell>
          <cell r="F156" t="str">
            <v>נאתכו ביברס</v>
          </cell>
          <cell r="G156" t="str">
            <v>V</v>
          </cell>
          <cell r="I156">
            <v>500000</v>
          </cell>
          <cell r="J156">
            <v>6.8378553848835967E-3</v>
          </cell>
          <cell r="K156">
            <v>2938.1828926314379</v>
          </cell>
          <cell r="L156">
            <v>14053.573042841526</v>
          </cell>
          <cell r="M156">
            <v>17</v>
          </cell>
          <cell r="N156">
            <v>43</v>
          </cell>
          <cell r="O156">
            <v>17052</v>
          </cell>
          <cell r="P156">
            <v>734.54572315785947</v>
          </cell>
          <cell r="Q156">
            <v>386.53473380270015</v>
          </cell>
          <cell r="R156">
            <v>-386.53473380270015</v>
          </cell>
          <cell r="S156">
            <v>348.01098935515932</v>
          </cell>
          <cell r="T156">
            <v>348.01098935515932</v>
          </cell>
          <cell r="U156" t="str">
            <v>X</v>
          </cell>
          <cell r="W156">
            <v>16704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350023</v>
          </cell>
          <cell r="AC156" t="str">
            <v>Zero investment in 2019</v>
          </cell>
          <cell r="AD156">
            <v>17052</v>
          </cell>
          <cell r="AE156">
            <v>348.01098935515932</v>
          </cell>
          <cell r="AF156">
            <v>16704</v>
          </cell>
          <cell r="AG156">
            <v>734.54572315785947</v>
          </cell>
          <cell r="AI156">
            <v>13559.467228224172</v>
          </cell>
          <cell r="AJ156">
            <v>3492.5327717758282</v>
          </cell>
          <cell r="AP156">
            <v>35.078399999999995</v>
          </cell>
          <cell r="AQ156">
            <v>35.078399999999995</v>
          </cell>
          <cell r="AR156">
            <v>35</v>
          </cell>
        </row>
        <row r="157">
          <cell r="A157" t="str">
            <v>8160-01-260</v>
          </cell>
          <cell r="B157" t="str">
            <v>Haim Livne</v>
          </cell>
          <cell r="C157" t="str">
            <v>064561459</v>
          </cell>
          <cell r="D157" t="e">
            <v>#REF!</v>
          </cell>
          <cell r="F157" t="str">
            <v>חיים לבנה</v>
          </cell>
          <cell r="G157" t="str">
            <v>V</v>
          </cell>
          <cell r="I157">
            <v>250000</v>
          </cell>
          <cell r="J157">
            <v>3.4189276924417983E-3</v>
          </cell>
          <cell r="K157">
            <v>1469.0914463157189</v>
          </cell>
          <cell r="L157">
            <v>7026.7865214207632</v>
          </cell>
          <cell r="M157">
            <v>9</v>
          </cell>
          <cell r="N157">
            <v>21</v>
          </cell>
          <cell r="O157">
            <v>8526</v>
          </cell>
          <cell r="P157">
            <v>367.27286157892974</v>
          </cell>
          <cell r="Q157">
            <v>193.26736690135007</v>
          </cell>
          <cell r="R157">
            <v>-193.26736690135007</v>
          </cell>
          <cell r="S157">
            <v>174.00549467757966</v>
          </cell>
          <cell r="T157">
            <v>174.00549467757966</v>
          </cell>
          <cell r="U157" t="str">
            <v>X</v>
          </cell>
          <cell r="W157">
            <v>8352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175011</v>
          </cell>
          <cell r="AC157" t="str">
            <v>Zero investment in 2019</v>
          </cell>
          <cell r="AD157">
            <v>8526</v>
          </cell>
          <cell r="AE157">
            <v>174.00549467757966</v>
          </cell>
          <cell r="AF157">
            <v>8352</v>
          </cell>
          <cell r="AG157">
            <v>367.27286157892974</v>
          </cell>
          <cell r="AI157">
            <v>6779.7336141120859</v>
          </cell>
          <cell r="AJ157">
            <v>1746.2663858879141</v>
          </cell>
          <cell r="AP157">
            <v>17.539199999999997</v>
          </cell>
          <cell r="AQ157">
            <v>18</v>
          </cell>
          <cell r="AR157">
            <v>35</v>
          </cell>
        </row>
        <row r="158">
          <cell r="A158" t="str">
            <v>8160-01-261</v>
          </cell>
          <cell r="B158" t="str">
            <v>Ifat Zahava Fish</v>
          </cell>
          <cell r="C158" t="str">
            <v>024507048</v>
          </cell>
          <cell r="D158" t="e">
            <v>#REF!</v>
          </cell>
          <cell r="F158" t="str">
            <v>יפעת זהבה פיש</v>
          </cell>
          <cell r="G158" t="str">
            <v>V</v>
          </cell>
          <cell r="I158">
            <v>300000</v>
          </cell>
          <cell r="J158">
            <v>4.1027132309301578E-3</v>
          </cell>
          <cell r="K158">
            <v>1762.9097355788626</v>
          </cell>
          <cell r="L158">
            <v>8432.1438257049158</v>
          </cell>
          <cell r="M158">
            <v>10</v>
          </cell>
          <cell r="N158">
            <v>25</v>
          </cell>
          <cell r="O158">
            <v>10230</v>
          </cell>
          <cell r="P158">
            <v>440.72743389471566</v>
          </cell>
          <cell r="Q158">
            <v>231.92084028162006</v>
          </cell>
          <cell r="R158">
            <v>-231.92084028162006</v>
          </cell>
          <cell r="S158">
            <v>208.8065936130956</v>
          </cell>
          <cell r="T158">
            <v>208.8065936130956</v>
          </cell>
          <cell r="U158" t="str">
            <v>X</v>
          </cell>
          <cell r="W158">
            <v>10021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210014</v>
          </cell>
          <cell r="AC158" t="str">
            <v>Zero investment in 2019</v>
          </cell>
          <cell r="AD158">
            <v>10230</v>
          </cell>
          <cell r="AE158">
            <v>208.8065936130956</v>
          </cell>
          <cell r="AF158">
            <v>10021</v>
          </cell>
          <cell r="AG158">
            <v>440.72743389471566</v>
          </cell>
          <cell r="AI158">
            <v>8135.6803369345025</v>
          </cell>
          <cell r="AJ158">
            <v>2094.3196630654975</v>
          </cell>
          <cell r="AP158">
            <v>21.0441</v>
          </cell>
          <cell r="AQ158">
            <v>21.0441</v>
          </cell>
          <cell r="AR158">
            <v>35</v>
          </cell>
        </row>
        <row r="159">
          <cell r="A159" t="str">
            <v>8160-01-262</v>
          </cell>
          <cell r="B159" t="str">
            <v>Meron Man</v>
          </cell>
          <cell r="C159" t="str">
            <v>050699727</v>
          </cell>
          <cell r="D159" t="e">
            <v>#REF!</v>
          </cell>
          <cell r="F159" t="str">
            <v>מירון מן</v>
          </cell>
          <cell r="G159" t="str">
            <v>V</v>
          </cell>
          <cell r="H159" t="str">
            <v>Phoenix</v>
          </cell>
          <cell r="I159">
            <v>700000</v>
          </cell>
          <cell r="J159">
            <v>9.5729975388370355E-3</v>
          </cell>
          <cell r="K159">
            <v>4113.4560496840131</v>
          </cell>
          <cell r="L159">
            <v>19675.002259978137</v>
          </cell>
          <cell r="M159">
            <v>25</v>
          </cell>
          <cell r="N159">
            <v>60</v>
          </cell>
          <cell r="O159">
            <v>23873</v>
          </cell>
          <cell r="Q159">
            <v>541.14862732378015</v>
          </cell>
          <cell r="T159">
            <v>0</v>
          </cell>
          <cell r="U159" t="str">
            <v>IRA</v>
          </cell>
          <cell r="V159">
            <v>541.14862732378015</v>
          </cell>
          <cell r="W159">
            <v>23873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350023</v>
          </cell>
          <cell r="AC159" t="str">
            <v>Zero investment in 2019</v>
          </cell>
          <cell r="AD159">
            <v>23873</v>
          </cell>
          <cell r="AE159">
            <v>0</v>
          </cell>
          <cell r="AF159">
            <v>23873</v>
          </cell>
          <cell r="AG159">
            <v>541.14862732378015</v>
          </cell>
          <cell r="AI159">
            <v>18983.25411951384</v>
          </cell>
          <cell r="AJ159">
            <v>4889.7458804861599</v>
          </cell>
          <cell r="AP159">
            <v>50.133299999999998</v>
          </cell>
          <cell r="AQ159">
            <v>50.133299999999998</v>
          </cell>
          <cell r="AR159">
            <v>35</v>
          </cell>
        </row>
        <row r="160">
          <cell r="A160" t="str">
            <v>8160-01-263</v>
          </cell>
          <cell r="B160" t="str">
            <v>Dan Schmorak</v>
          </cell>
          <cell r="C160" t="str">
            <v>006785984</v>
          </cell>
          <cell r="D160" t="e">
            <v>#REF!</v>
          </cell>
          <cell r="F160" t="str">
            <v>דן שמורק</v>
          </cell>
          <cell r="G160" t="str">
            <v>V</v>
          </cell>
          <cell r="H160" t="str">
            <v>Meitav</v>
          </cell>
          <cell r="I160">
            <v>250000</v>
          </cell>
          <cell r="J160">
            <v>3.4189276924417983E-3</v>
          </cell>
          <cell r="K160">
            <v>1469.0914463157189</v>
          </cell>
          <cell r="L160">
            <v>7026.7865214207632</v>
          </cell>
          <cell r="M160">
            <v>9</v>
          </cell>
          <cell r="N160">
            <v>21</v>
          </cell>
          <cell r="O160">
            <v>8526</v>
          </cell>
          <cell r="Q160">
            <v>193.26736690135007</v>
          </cell>
          <cell r="T160">
            <v>0</v>
          </cell>
          <cell r="U160" t="str">
            <v>IRA</v>
          </cell>
          <cell r="V160">
            <v>193.26736690135007</v>
          </cell>
          <cell r="W160">
            <v>8526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175011</v>
          </cell>
          <cell r="AC160" t="str">
            <v>Zero investment in 2019</v>
          </cell>
          <cell r="AD160">
            <v>8526</v>
          </cell>
          <cell r="AE160">
            <v>0</v>
          </cell>
          <cell r="AF160">
            <v>8526</v>
          </cell>
          <cell r="AG160">
            <v>193.26736690135007</v>
          </cell>
          <cell r="AI160">
            <v>6779.7336141120859</v>
          </cell>
          <cell r="AJ160">
            <v>1746.2663858879141</v>
          </cell>
          <cell r="AP160">
            <v>17.904599999999999</v>
          </cell>
          <cell r="AQ160">
            <v>18</v>
          </cell>
          <cell r="AR160">
            <v>35</v>
          </cell>
        </row>
        <row r="161">
          <cell r="A161" t="str">
            <v>8160-01-264</v>
          </cell>
          <cell r="B161" t="str">
            <v>Eyal Amitai</v>
          </cell>
          <cell r="C161" t="str">
            <v>012159844</v>
          </cell>
          <cell r="D161" t="e">
            <v>#REF!</v>
          </cell>
          <cell r="F161" t="str">
            <v>איל אמיתי</v>
          </cell>
          <cell r="G161" t="str">
            <v>V</v>
          </cell>
          <cell r="H161" t="str">
            <v>Meitav</v>
          </cell>
          <cell r="I161">
            <v>250000</v>
          </cell>
          <cell r="J161">
            <v>3.4189276924417983E-3</v>
          </cell>
          <cell r="K161">
            <v>1469.0914463157189</v>
          </cell>
          <cell r="L161">
            <v>7026.7865214207632</v>
          </cell>
          <cell r="M161">
            <v>9</v>
          </cell>
          <cell r="N161">
            <v>21</v>
          </cell>
          <cell r="O161">
            <v>8526</v>
          </cell>
          <cell r="Q161">
            <v>193.26736690135007</v>
          </cell>
          <cell r="T161">
            <v>0</v>
          </cell>
          <cell r="U161" t="str">
            <v>IRA</v>
          </cell>
          <cell r="V161">
            <v>193.26736690135007</v>
          </cell>
          <cell r="W161">
            <v>8526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175008.5</v>
          </cell>
          <cell r="AC161" t="str">
            <v>Zero investment in 2019</v>
          </cell>
          <cell r="AD161">
            <v>8526</v>
          </cell>
          <cell r="AE161">
            <v>0</v>
          </cell>
          <cell r="AF161">
            <v>8526</v>
          </cell>
          <cell r="AG161">
            <v>193.26736690135007</v>
          </cell>
          <cell r="AI161">
            <v>6779.7336141120859</v>
          </cell>
          <cell r="AJ161">
            <v>1746.2663858879141</v>
          </cell>
          <cell r="AP161">
            <v>17.904599999999999</v>
          </cell>
          <cell r="AQ161">
            <v>18</v>
          </cell>
          <cell r="AR161">
            <v>35</v>
          </cell>
        </row>
        <row r="162">
          <cell r="A162" t="str">
            <v>8160-01-265</v>
          </cell>
          <cell r="B162" t="str">
            <v>Gil Vardi</v>
          </cell>
          <cell r="C162" t="str">
            <v>001424928</v>
          </cell>
          <cell r="D162" t="e">
            <v>#REF!</v>
          </cell>
          <cell r="F162" t="str">
            <v>גיל ורדי</v>
          </cell>
          <cell r="G162" t="str">
            <v>V</v>
          </cell>
          <cell r="H162" t="str">
            <v>Meitav</v>
          </cell>
          <cell r="I162">
            <v>300000</v>
          </cell>
          <cell r="J162">
            <v>4.1027132309301578E-3</v>
          </cell>
          <cell r="K162">
            <v>1762.9097355788626</v>
          </cell>
          <cell r="L162">
            <v>8432.1438257049158</v>
          </cell>
          <cell r="M162">
            <v>10</v>
          </cell>
          <cell r="N162">
            <v>25</v>
          </cell>
          <cell r="O162">
            <v>10230</v>
          </cell>
          <cell r="Q162">
            <v>231.92084028162006</v>
          </cell>
          <cell r="T162">
            <v>0</v>
          </cell>
          <cell r="U162" t="str">
            <v>IRA</v>
          </cell>
          <cell r="V162">
            <v>231.92084028162006</v>
          </cell>
          <cell r="W162">
            <v>10230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210014</v>
          </cell>
          <cell r="AC162" t="str">
            <v>Zero investment in 2019</v>
          </cell>
          <cell r="AD162">
            <v>10230</v>
          </cell>
          <cell r="AE162">
            <v>0</v>
          </cell>
          <cell r="AF162">
            <v>10230</v>
          </cell>
          <cell r="AG162">
            <v>231.92084028162006</v>
          </cell>
          <cell r="AI162">
            <v>8135.6803369345025</v>
          </cell>
          <cell r="AJ162">
            <v>2094.3196630654975</v>
          </cell>
          <cell r="AP162">
            <v>21.482999999999997</v>
          </cell>
          <cell r="AQ162">
            <v>21.482999999999997</v>
          </cell>
          <cell r="AR162">
            <v>35</v>
          </cell>
        </row>
        <row r="163">
          <cell r="A163" t="str">
            <v>8160-01-266</v>
          </cell>
          <cell r="B163" t="str">
            <v>Haim Shiniger</v>
          </cell>
          <cell r="C163" t="str">
            <v>043451640</v>
          </cell>
          <cell r="D163" t="e">
            <v>#REF!</v>
          </cell>
          <cell r="F163" t="str">
            <v>חיים שיניגר</v>
          </cell>
          <cell r="G163" t="str">
            <v>V</v>
          </cell>
          <cell r="H163" t="str">
            <v>Meitav</v>
          </cell>
          <cell r="I163">
            <v>250000</v>
          </cell>
          <cell r="J163">
            <v>3.4189276924417983E-3</v>
          </cell>
          <cell r="K163">
            <v>1469.0914463157189</v>
          </cell>
          <cell r="L163">
            <v>7026.7865214207632</v>
          </cell>
          <cell r="M163">
            <v>9</v>
          </cell>
          <cell r="N163">
            <v>21</v>
          </cell>
          <cell r="O163">
            <v>8526</v>
          </cell>
          <cell r="Q163">
            <v>193.26736690135007</v>
          </cell>
          <cell r="T163">
            <v>0</v>
          </cell>
          <cell r="U163" t="str">
            <v>IRA</v>
          </cell>
          <cell r="V163">
            <v>193.26736690135007</v>
          </cell>
          <cell r="W163">
            <v>8526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175011</v>
          </cell>
          <cell r="AC163" t="str">
            <v>Zero investment in 2019</v>
          </cell>
          <cell r="AD163">
            <v>8526</v>
          </cell>
          <cell r="AE163">
            <v>0</v>
          </cell>
          <cell r="AF163">
            <v>8526</v>
          </cell>
          <cell r="AG163">
            <v>193.26736690135007</v>
          </cell>
          <cell r="AI163">
            <v>6779.7336141120859</v>
          </cell>
          <cell r="AJ163">
            <v>1746.2663858879141</v>
          </cell>
          <cell r="AK163">
            <v>0.79521463757916955</v>
          </cell>
          <cell r="AP163">
            <v>17.904599999999999</v>
          </cell>
          <cell r="AQ163">
            <v>18</v>
          </cell>
          <cell r="AR163">
            <v>35</v>
          </cell>
        </row>
        <row r="164">
          <cell r="A164" t="str">
            <v>8160-01-267</v>
          </cell>
          <cell r="B164" t="str">
            <v>Dov Stempler</v>
          </cell>
          <cell r="C164" t="str">
            <v>050267475</v>
          </cell>
          <cell r="D164" t="e">
            <v>#REF!</v>
          </cell>
          <cell r="F164" t="str">
            <v>דב סטמפלר</v>
          </cell>
          <cell r="G164" t="str">
            <v>V</v>
          </cell>
          <cell r="H164" t="str">
            <v>Meitav</v>
          </cell>
          <cell r="I164">
            <v>250000</v>
          </cell>
          <cell r="J164">
            <v>3.4189276924417983E-3</v>
          </cell>
          <cell r="K164">
            <v>1469.0914463157189</v>
          </cell>
          <cell r="L164">
            <v>7026.7865214207632</v>
          </cell>
          <cell r="M164">
            <v>9</v>
          </cell>
          <cell r="N164">
            <v>21</v>
          </cell>
          <cell r="O164">
            <v>8526</v>
          </cell>
          <cell r="Q164">
            <v>193.26736690135007</v>
          </cell>
          <cell r="T164">
            <v>0</v>
          </cell>
          <cell r="U164" t="str">
            <v>IRA</v>
          </cell>
          <cell r="V164">
            <v>193.26736690135007</v>
          </cell>
          <cell r="W164">
            <v>8526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175011</v>
          </cell>
          <cell r="AC164" t="str">
            <v>Zero investment in 2019</v>
          </cell>
          <cell r="AD164">
            <v>8526</v>
          </cell>
          <cell r="AE164">
            <v>0</v>
          </cell>
          <cell r="AF164">
            <v>8526</v>
          </cell>
          <cell r="AG164">
            <v>193.26736690135007</v>
          </cell>
          <cell r="AI164">
            <v>6779.7336141120859</v>
          </cell>
          <cell r="AJ164">
            <v>1746.2663858879141</v>
          </cell>
          <cell r="AK164">
            <v>0.7951833936326631</v>
          </cell>
          <cell r="AP164">
            <v>17.904599999999999</v>
          </cell>
          <cell r="AQ164">
            <v>18</v>
          </cell>
          <cell r="AR164">
            <v>35</v>
          </cell>
        </row>
        <row r="165">
          <cell r="A165" t="str">
            <v>8160-01-269</v>
          </cell>
          <cell r="B165" t="str">
            <v>Rafael Yosef and Gila Aravot</v>
          </cell>
          <cell r="C165" t="str">
            <v>Rafael 052294170  Gila 054197835</v>
          </cell>
          <cell r="D165" t="e">
            <v>#REF!</v>
          </cell>
          <cell r="F165" t="str">
            <v>רפאל יוסף ערבות וגילה ערבות</v>
          </cell>
          <cell r="G165" t="str">
            <v>V</v>
          </cell>
          <cell r="I165">
            <v>150000</v>
          </cell>
          <cell r="J165">
            <v>2.0513566154650789E-3</v>
          </cell>
          <cell r="K165">
            <v>881.45486778943132</v>
          </cell>
          <cell r="L165">
            <v>4216.0719128524579</v>
          </cell>
          <cell r="M165">
            <v>6</v>
          </cell>
          <cell r="N165">
            <v>13</v>
          </cell>
          <cell r="O165">
            <v>5117</v>
          </cell>
          <cell r="P165">
            <v>220.36371694735783</v>
          </cell>
          <cell r="Q165">
            <v>115.96042014081003</v>
          </cell>
          <cell r="R165">
            <v>-115.96042014081003</v>
          </cell>
          <cell r="S165">
            <v>104.4032968065478</v>
          </cell>
          <cell r="T165">
            <v>104.4032968065478</v>
          </cell>
          <cell r="U165" t="str">
            <v>X</v>
          </cell>
          <cell r="W165">
            <v>5013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150000</v>
          </cell>
          <cell r="AC165" t="str">
            <v>Zero investment in 2019</v>
          </cell>
          <cell r="AD165">
            <v>5117</v>
          </cell>
          <cell r="AE165">
            <v>104.4032968065478</v>
          </cell>
          <cell r="AF165">
            <v>5013</v>
          </cell>
          <cell r="AG165">
            <v>220.36371694735783</v>
          </cell>
          <cell r="AI165">
            <v>4067.8401684672513</v>
          </cell>
          <cell r="AJ165">
            <v>1049.1598315327487</v>
          </cell>
          <cell r="AK165">
            <v>0.79496583319664871</v>
          </cell>
          <cell r="AP165">
            <v>10.527299999999999</v>
          </cell>
          <cell r="AQ165">
            <v>18</v>
          </cell>
          <cell r="AR165">
            <v>35</v>
          </cell>
        </row>
        <row r="166">
          <cell r="A166" t="str">
            <v>8160-01-271</v>
          </cell>
          <cell r="B166" t="str">
            <v>Sergio Edelsztein</v>
          </cell>
          <cell r="C166" t="str">
            <v>013834031</v>
          </cell>
          <cell r="D166" t="e">
            <v>#REF!</v>
          </cell>
          <cell r="F166" t="str">
            <v>סרג'יו אדלשטיין</v>
          </cell>
          <cell r="G166" t="str">
            <v>V</v>
          </cell>
          <cell r="I166">
            <v>250000</v>
          </cell>
          <cell r="J166">
            <v>3.4189276924417983E-3</v>
          </cell>
          <cell r="K166">
            <v>1469.0914463157189</v>
          </cell>
          <cell r="L166">
            <v>7026.7865214207632</v>
          </cell>
          <cell r="M166">
            <v>9</v>
          </cell>
          <cell r="N166">
            <v>21</v>
          </cell>
          <cell r="O166">
            <v>8526</v>
          </cell>
          <cell r="P166">
            <v>367.27286157892974</v>
          </cell>
          <cell r="Q166">
            <v>193.26736690135007</v>
          </cell>
          <cell r="R166">
            <v>-193.26736690135007</v>
          </cell>
          <cell r="S166">
            <v>174.00549467757966</v>
          </cell>
          <cell r="T166">
            <v>174.00549467757966</v>
          </cell>
          <cell r="U166" t="str">
            <v>X</v>
          </cell>
          <cell r="W166">
            <v>8352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175011</v>
          </cell>
          <cell r="AC166" t="str">
            <v>Zero investment in 2019</v>
          </cell>
          <cell r="AD166">
            <v>8526</v>
          </cell>
          <cell r="AE166">
            <v>174.00549467757966</v>
          </cell>
          <cell r="AF166">
            <v>8352</v>
          </cell>
          <cell r="AG166">
            <v>367.27286157892974</v>
          </cell>
          <cell r="AI166">
            <v>6779.7336141120859</v>
          </cell>
          <cell r="AJ166">
            <v>1746.2663858879141</v>
          </cell>
          <cell r="AK166">
            <v>0.7951833936326631</v>
          </cell>
          <cell r="AP166">
            <v>17.539199999999997</v>
          </cell>
          <cell r="AQ166">
            <v>18</v>
          </cell>
          <cell r="AR166">
            <v>35</v>
          </cell>
        </row>
        <row r="167">
          <cell r="A167" t="str">
            <v>8160-01-273</v>
          </cell>
          <cell r="B167" t="str">
            <v>Silvia &amp; Ehud Portiansky</v>
          </cell>
          <cell r="C167" t="str">
            <v>Silvia 017378886   Ehud 015133382</v>
          </cell>
          <cell r="D167" t="e">
            <v>#REF!</v>
          </cell>
          <cell r="F167" t="str">
            <v>סילביה הלנה פורטיאנסקי ואהוד פורטיאנסקי</v>
          </cell>
          <cell r="G167" t="str">
            <v>V</v>
          </cell>
          <cell r="I167">
            <v>250000</v>
          </cell>
          <cell r="J167">
            <v>3.4189276924417983E-3</v>
          </cell>
          <cell r="K167">
            <v>1469.0914463157189</v>
          </cell>
          <cell r="L167">
            <v>7026.7865214207632</v>
          </cell>
          <cell r="M167">
            <v>9</v>
          </cell>
          <cell r="N167">
            <v>21</v>
          </cell>
          <cell r="O167">
            <v>8526</v>
          </cell>
          <cell r="P167">
            <v>367.27286157892974</v>
          </cell>
          <cell r="Q167">
            <v>193.26736690135007</v>
          </cell>
          <cell r="R167">
            <v>-193.26736690135007</v>
          </cell>
          <cell r="S167">
            <v>174.00549467757966</v>
          </cell>
          <cell r="T167">
            <v>174.00549467757966</v>
          </cell>
          <cell r="U167" t="str">
            <v>X</v>
          </cell>
          <cell r="W167">
            <v>8352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175011</v>
          </cell>
          <cell r="AC167" t="str">
            <v>Zero investment in 2019</v>
          </cell>
          <cell r="AD167">
            <v>8526</v>
          </cell>
          <cell r="AE167">
            <v>174.00549467757966</v>
          </cell>
          <cell r="AF167">
            <v>8352</v>
          </cell>
          <cell r="AG167">
            <v>367.27286157892974</v>
          </cell>
          <cell r="AI167">
            <v>6779.7336141120859</v>
          </cell>
          <cell r="AJ167">
            <v>1746.2663858879141</v>
          </cell>
          <cell r="AK167">
            <v>0.7951833936326631</v>
          </cell>
          <cell r="AP167">
            <v>17.539199999999997</v>
          </cell>
          <cell r="AQ167">
            <v>18</v>
          </cell>
          <cell r="AR167">
            <v>35</v>
          </cell>
        </row>
        <row r="168">
          <cell r="A168" t="str">
            <v>8160-01-275</v>
          </cell>
          <cell r="B168" t="str">
            <v>Yishai Levanoni</v>
          </cell>
          <cell r="C168" t="str">
            <v>023634496</v>
          </cell>
          <cell r="D168" t="e">
            <v>#REF!</v>
          </cell>
          <cell r="F168" t="str">
            <v>ישי לבנוני</v>
          </cell>
          <cell r="G168" t="str">
            <v>V</v>
          </cell>
          <cell r="I168">
            <v>120000</v>
          </cell>
          <cell r="J168">
            <v>1.6410852923720632E-3</v>
          </cell>
          <cell r="K168">
            <v>705.1638942315451</v>
          </cell>
          <cell r="L168">
            <v>3372.8575302819663</v>
          </cell>
          <cell r="M168">
            <v>4.2400000000002365</v>
          </cell>
          <cell r="N168">
            <v>11</v>
          </cell>
          <cell r="O168">
            <v>4093</v>
          </cell>
          <cell r="P168">
            <v>176.29097355788628</v>
          </cell>
          <cell r="Q168">
            <v>92.768336112648029</v>
          </cell>
          <cell r="R168">
            <v>-92.768336112648029</v>
          </cell>
          <cell r="S168">
            <v>83.522637445238246</v>
          </cell>
          <cell r="T168">
            <v>83.522637445238246</v>
          </cell>
          <cell r="U168" t="str">
            <v>X</v>
          </cell>
          <cell r="W168">
            <v>4009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84002.5</v>
          </cell>
          <cell r="AC168" t="str">
            <v>Zero investment in 2019</v>
          </cell>
          <cell r="AD168">
            <v>4093</v>
          </cell>
          <cell r="AE168">
            <v>83.522637445238246</v>
          </cell>
          <cell r="AF168">
            <v>4009</v>
          </cell>
          <cell r="AG168">
            <v>176.29097355788628</v>
          </cell>
          <cell r="AI168">
            <v>3254.2721347738016</v>
          </cell>
          <cell r="AJ168">
            <v>838.72786522619845</v>
          </cell>
          <cell r="AK168">
            <v>0.79508236862296644</v>
          </cell>
          <cell r="AP168">
            <v>8.4188999999999989</v>
          </cell>
          <cell r="AQ168">
            <v>18</v>
          </cell>
          <cell r="AR168">
            <v>35</v>
          </cell>
        </row>
        <row r="169">
          <cell r="A169" t="str">
            <v>8160-01-276</v>
          </cell>
          <cell r="B169" t="str">
            <v>Viatcheslav Brecht</v>
          </cell>
          <cell r="C169">
            <v>309826329</v>
          </cell>
          <cell r="D169" t="e">
            <v>#REF!</v>
          </cell>
          <cell r="G169" t="str">
            <v>V</v>
          </cell>
          <cell r="I169">
            <v>500000</v>
          </cell>
          <cell r="J169">
            <v>6.8378553848835967E-3</v>
          </cell>
          <cell r="K169">
            <v>2938.1828926314379</v>
          </cell>
          <cell r="L169">
            <v>14053.573042841526</v>
          </cell>
          <cell r="M169">
            <v>17</v>
          </cell>
          <cell r="N169">
            <v>43</v>
          </cell>
          <cell r="O169">
            <v>17052</v>
          </cell>
          <cell r="P169">
            <v>734.54572315785947</v>
          </cell>
          <cell r="Q169">
            <v>386.53473380270015</v>
          </cell>
          <cell r="R169">
            <v>-386.53473380270015</v>
          </cell>
          <cell r="S169">
            <v>348.01098935515932</v>
          </cell>
          <cell r="T169">
            <v>348.01098935515932</v>
          </cell>
          <cell r="U169" t="str">
            <v>X</v>
          </cell>
          <cell r="W169">
            <v>16704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350023</v>
          </cell>
          <cell r="AC169" t="str">
            <v>Zero investment in 2019</v>
          </cell>
          <cell r="AD169">
            <v>17052</v>
          </cell>
          <cell r="AE169">
            <v>348.01098935515932</v>
          </cell>
          <cell r="AF169">
            <v>16704</v>
          </cell>
          <cell r="AG169">
            <v>734.54572315785947</v>
          </cell>
          <cell r="AI169">
            <v>13559.467228224172</v>
          </cell>
          <cell r="AJ169">
            <v>3492.5327717758282</v>
          </cell>
          <cell r="AK169">
            <v>0.7951833936326631</v>
          </cell>
          <cell r="AP169">
            <v>35.078399999999995</v>
          </cell>
          <cell r="AQ169">
            <v>35.078399999999995</v>
          </cell>
          <cell r="AR169">
            <v>35</v>
          </cell>
        </row>
        <row r="170">
          <cell r="A170" t="str">
            <v>8160-01-278</v>
          </cell>
          <cell r="B170" t="str">
            <v>Ori Etkovitz</v>
          </cell>
          <cell r="C170" t="str">
            <v>024817801</v>
          </cell>
          <cell r="D170" t="e">
            <v>#REF!</v>
          </cell>
          <cell r="F170" t="str">
            <v>אורי אטקוביץ</v>
          </cell>
          <cell r="G170" t="str">
            <v>V</v>
          </cell>
          <cell r="I170">
            <v>120000</v>
          </cell>
          <cell r="J170">
            <v>1.6410852923720632E-3</v>
          </cell>
          <cell r="K170">
            <v>705.1638942315451</v>
          </cell>
          <cell r="L170">
            <v>3372.8575302819663</v>
          </cell>
          <cell r="M170">
            <v>4</v>
          </cell>
          <cell r="N170">
            <v>11</v>
          </cell>
          <cell r="O170">
            <v>4093</v>
          </cell>
          <cell r="P170">
            <v>176.29097355788628</v>
          </cell>
          <cell r="Q170">
            <v>92.768336112648029</v>
          </cell>
          <cell r="R170">
            <v>-92.768336112648029</v>
          </cell>
          <cell r="S170">
            <v>83.522637445238246</v>
          </cell>
          <cell r="T170">
            <v>83.522637445238246</v>
          </cell>
          <cell r="U170" t="str">
            <v>X</v>
          </cell>
          <cell r="W170">
            <v>4009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84002.5</v>
          </cell>
          <cell r="AC170" t="str">
            <v>Zero investment in 2019</v>
          </cell>
          <cell r="AD170">
            <v>4093</v>
          </cell>
          <cell r="AE170">
            <v>83.522637445238246</v>
          </cell>
          <cell r="AF170">
            <v>4009</v>
          </cell>
          <cell r="AG170">
            <v>176.29097355788628</v>
          </cell>
          <cell r="AI170">
            <v>3254.2721347738016</v>
          </cell>
          <cell r="AJ170">
            <v>838.72786522619845</v>
          </cell>
          <cell r="AK170">
            <v>0.79508236862296644</v>
          </cell>
          <cell r="AP170">
            <v>8.4188999999999989</v>
          </cell>
          <cell r="AQ170">
            <v>18</v>
          </cell>
          <cell r="AR170">
            <v>35</v>
          </cell>
        </row>
        <row r="171">
          <cell r="A171" t="str">
            <v>8160-01-279</v>
          </cell>
          <cell r="B171" t="str">
            <v>Jacob Ofnagel</v>
          </cell>
          <cell r="C171" t="str">
            <v>054604533</v>
          </cell>
          <cell r="D171" t="e">
            <v>#REF!</v>
          </cell>
          <cell r="F171" t="str">
            <v>יעקב אופנגל</v>
          </cell>
          <cell r="G171" t="str">
            <v>V</v>
          </cell>
          <cell r="I171">
            <v>250000</v>
          </cell>
          <cell r="J171">
            <v>3.4189276924417983E-3</v>
          </cell>
          <cell r="K171">
            <v>1469.0914463157189</v>
          </cell>
          <cell r="L171">
            <v>7026.7865214207632</v>
          </cell>
          <cell r="M171">
            <v>9</v>
          </cell>
          <cell r="N171">
            <v>21</v>
          </cell>
          <cell r="O171">
            <v>8526</v>
          </cell>
          <cell r="P171">
            <v>367.27286157892974</v>
          </cell>
          <cell r="Q171">
            <v>193.26736690135007</v>
          </cell>
          <cell r="R171">
            <v>-193.26736690135007</v>
          </cell>
          <cell r="S171">
            <v>174.00549467757966</v>
          </cell>
          <cell r="T171">
            <v>174.00549467757966</v>
          </cell>
          <cell r="U171" t="str">
            <v>X</v>
          </cell>
          <cell r="W171">
            <v>8352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175011</v>
          </cell>
          <cell r="AC171" t="str">
            <v>Zero investment in 2019</v>
          </cell>
          <cell r="AD171">
            <v>8526</v>
          </cell>
          <cell r="AE171">
            <v>174.00549467757966</v>
          </cell>
          <cell r="AF171">
            <v>8352</v>
          </cell>
          <cell r="AG171">
            <v>367.27286157892974</v>
          </cell>
          <cell r="AI171">
            <v>6779.7336141120859</v>
          </cell>
          <cell r="AJ171">
            <v>1746.2663858879141</v>
          </cell>
          <cell r="AK171">
            <v>0.7951833936326631</v>
          </cell>
          <cell r="AP171">
            <v>17.539199999999997</v>
          </cell>
          <cell r="AQ171">
            <v>18</v>
          </cell>
          <cell r="AR171">
            <v>35</v>
          </cell>
        </row>
        <row r="172">
          <cell r="A172" t="str">
            <v>8160-01-280</v>
          </cell>
          <cell r="B172" t="str">
            <v>Itzchak Rosenberg</v>
          </cell>
          <cell r="C172" t="str">
            <v>005288253</v>
          </cell>
          <cell r="D172" t="e">
            <v>#REF!</v>
          </cell>
          <cell r="F172" t="str">
            <v>יצחק רוזנברג</v>
          </cell>
          <cell r="G172" t="str">
            <v>V</v>
          </cell>
          <cell r="H172" t="str">
            <v>Meitav</v>
          </cell>
          <cell r="I172">
            <v>600000</v>
          </cell>
          <cell r="J172">
            <v>8.2054264618603157E-3</v>
          </cell>
          <cell r="K172">
            <v>3525.8194711577253</v>
          </cell>
          <cell r="L172">
            <v>16864.287651409832</v>
          </cell>
          <cell r="M172">
            <v>22</v>
          </cell>
          <cell r="N172">
            <v>52</v>
          </cell>
          <cell r="O172">
            <v>20464</v>
          </cell>
          <cell r="Q172">
            <v>463.84168056324012</v>
          </cell>
          <cell r="T172">
            <v>0</v>
          </cell>
          <cell r="U172" t="str">
            <v>IRA</v>
          </cell>
          <cell r="V172">
            <v>463.84168056324012</v>
          </cell>
          <cell r="W172">
            <v>20464</v>
          </cell>
          <cell r="X172" t="e">
            <v>#N/A</v>
          </cell>
          <cell r="Y172" t="e">
            <v>#N/A</v>
          </cell>
          <cell r="Z172" t="e">
            <v>#N/A</v>
          </cell>
          <cell r="AA172" t="e">
            <v>#N/A</v>
          </cell>
          <cell r="AB172" t="e">
            <v>#N/A</v>
          </cell>
          <cell r="AC172" t="str">
            <v>Zero investment in 2019</v>
          </cell>
          <cell r="AD172">
            <v>20464</v>
          </cell>
          <cell r="AE172">
            <v>0</v>
          </cell>
          <cell r="AF172">
            <v>20464</v>
          </cell>
          <cell r="AG172">
            <v>463.84168056324012</v>
          </cell>
          <cell r="AI172">
            <v>16271.360673869005</v>
          </cell>
          <cell r="AJ172">
            <v>4192.639326130995</v>
          </cell>
          <cell r="AK172">
            <v>0.79512122135794594</v>
          </cell>
          <cell r="AP172">
            <v>42.974399999999996</v>
          </cell>
          <cell r="AQ172">
            <v>42.974399999999996</v>
          </cell>
          <cell r="AR172">
            <v>35</v>
          </cell>
        </row>
        <row r="173">
          <cell r="A173" t="str">
            <v>8160-01-281</v>
          </cell>
          <cell r="B173" t="str">
            <v>Liat Atlas</v>
          </cell>
          <cell r="C173" t="str">
            <v>024506933</v>
          </cell>
          <cell r="D173" t="e">
            <v>#REF!</v>
          </cell>
          <cell r="F173" t="str">
            <v>חיה ליאת אטלס</v>
          </cell>
          <cell r="G173" t="str">
            <v>VI</v>
          </cell>
          <cell r="I173">
            <v>250000</v>
          </cell>
          <cell r="J173">
            <v>3.4189276924417983E-3</v>
          </cell>
          <cell r="K173">
            <v>1469.0914463157189</v>
          </cell>
          <cell r="L173">
            <v>7026.7865214207632</v>
          </cell>
          <cell r="M173">
            <v>9</v>
          </cell>
          <cell r="N173">
            <v>21</v>
          </cell>
          <cell r="O173">
            <v>8526</v>
          </cell>
          <cell r="P173">
            <v>367.27286157892974</v>
          </cell>
          <cell r="Q173">
            <v>193.26736690135007</v>
          </cell>
          <cell r="R173">
            <v>-193.26736690135007</v>
          </cell>
          <cell r="S173">
            <v>174.00549467757966</v>
          </cell>
          <cell r="T173">
            <v>174.00549467757966</v>
          </cell>
          <cell r="U173" t="str">
            <v>X</v>
          </cell>
          <cell r="W173">
            <v>8352</v>
          </cell>
          <cell r="AC173" t="str">
            <v>Zero investment in 2019</v>
          </cell>
          <cell r="AD173">
            <v>8526</v>
          </cell>
          <cell r="AE173">
            <v>174.00549467757966</v>
          </cell>
          <cell r="AF173">
            <v>8352</v>
          </cell>
          <cell r="AG173">
            <v>367.27286157892974</v>
          </cell>
          <cell r="AI173">
            <v>6779.7336141120859</v>
          </cell>
          <cell r="AJ173">
            <v>1746.2663858879141</v>
          </cell>
          <cell r="AK173">
            <v>0.7951833936326631</v>
          </cell>
          <cell r="AP173">
            <v>17.539199999999997</v>
          </cell>
          <cell r="AQ173">
            <v>18</v>
          </cell>
          <cell r="AR173">
            <v>35</v>
          </cell>
        </row>
        <row r="174">
          <cell r="A174" t="str">
            <v>8160-01-282</v>
          </cell>
          <cell r="B174" t="str">
            <v>Ron Gabor</v>
          </cell>
          <cell r="C174" t="str">
            <v>029641537</v>
          </cell>
          <cell r="D174" t="e">
            <v>#REF!</v>
          </cell>
          <cell r="F174" t="str">
            <v>רון גבור</v>
          </cell>
          <cell r="G174" t="str">
            <v>VI</v>
          </cell>
          <cell r="I174">
            <v>150000</v>
          </cell>
          <cell r="J174">
            <v>2.0513566154650789E-3</v>
          </cell>
          <cell r="K174">
            <v>881.45486778943132</v>
          </cell>
          <cell r="L174">
            <v>4216.0719128524579</v>
          </cell>
          <cell r="M174">
            <v>6</v>
          </cell>
          <cell r="N174">
            <v>13</v>
          </cell>
          <cell r="O174">
            <v>5117</v>
          </cell>
          <cell r="P174">
            <v>220.36371694735783</v>
          </cell>
          <cell r="Q174">
            <v>115.96042014081003</v>
          </cell>
          <cell r="R174">
            <v>-115.96042014081003</v>
          </cell>
          <cell r="S174">
            <v>104.4032968065478</v>
          </cell>
          <cell r="T174">
            <v>104.4032968065478</v>
          </cell>
          <cell r="U174" t="str">
            <v>X</v>
          </cell>
          <cell r="W174">
            <v>5013</v>
          </cell>
          <cell r="AC174" t="str">
            <v>Zero investment in 2019</v>
          </cell>
          <cell r="AD174">
            <v>5117</v>
          </cell>
          <cell r="AE174">
            <v>104.4032968065478</v>
          </cell>
          <cell r="AF174">
            <v>5013</v>
          </cell>
          <cell r="AG174">
            <v>220.36371694735783</v>
          </cell>
          <cell r="AI174">
            <v>4067.8401684672513</v>
          </cell>
          <cell r="AJ174">
            <v>1049.1598315327487</v>
          </cell>
          <cell r="AK174">
            <v>0.79496583319664871</v>
          </cell>
          <cell r="AP174">
            <v>10.527299999999999</v>
          </cell>
          <cell r="AQ174">
            <v>18</v>
          </cell>
          <cell r="AR174">
            <v>35</v>
          </cell>
        </row>
        <row r="175">
          <cell r="A175" t="str">
            <v>8160-01-283</v>
          </cell>
          <cell r="B175" t="str">
            <v>Yair Liel</v>
          </cell>
          <cell r="C175" t="str">
            <v>030380372</v>
          </cell>
          <cell r="D175" t="e">
            <v>#REF!</v>
          </cell>
          <cell r="F175" t="str">
            <v>יאיר אברהם ליאל</v>
          </cell>
          <cell r="G175" t="str">
            <v>VI</v>
          </cell>
          <cell r="I175">
            <v>200000</v>
          </cell>
          <cell r="J175">
            <v>2.7351421539534388E-3</v>
          </cell>
          <cell r="K175">
            <v>1175.2731570525752</v>
          </cell>
          <cell r="L175">
            <v>5621.4292171366105</v>
          </cell>
          <cell r="M175">
            <v>7</v>
          </cell>
          <cell r="N175">
            <v>17</v>
          </cell>
          <cell r="O175">
            <v>6821</v>
          </cell>
          <cell r="P175">
            <v>293.81828926314381</v>
          </cell>
          <cell r="Q175">
            <v>154.61389352108006</v>
          </cell>
          <cell r="R175">
            <v>-154.61389352108006</v>
          </cell>
          <cell r="S175">
            <v>139.20439574206375</v>
          </cell>
          <cell r="T175">
            <v>139.20439574206375</v>
          </cell>
          <cell r="U175" t="str">
            <v>X</v>
          </cell>
          <cell r="W175">
            <v>6682</v>
          </cell>
          <cell r="AC175" t="str">
            <v>Zero investment in 2019</v>
          </cell>
          <cell r="AD175">
            <v>6821</v>
          </cell>
          <cell r="AE175">
            <v>139.20439574206375</v>
          </cell>
          <cell r="AF175">
            <v>6682</v>
          </cell>
          <cell r="AG175">
            <v>293.81828926314381</v>
          </cell>
          <cell r="AI175">
            <v>5423.7868912896693</v>
          </cell>
          <cell r="AJ175">
            <v>1397.2131087103307</v>
          </cell>
          <cell r="AK175">
            <v>0.7951600778902902</v>
          </cell>
          <cell r="AP175">
            <v>14.0322</v>
          </cell>
          <cell r="AQ175">
            <v>18</v>
          </cell>
          <cell r="AR175">
            <v>35</v>
          </cell>
        </row>
        <row r="176">
          <cell r="A176" t="str">
            <v>8160-01-284</v>
          </cell>
          <cell r="B176" t="str">
            <v xml:space="preserve">AMI - Government Employees Provident Fund Management Company Ltd
</v>
          </cell>
          <cell r="C176">
            <v>520042581</v>
          </cell>
          <cell r="D176" t="e">
            <v>#REF!</v>
          </cell>
          <cell r="E176" t="str">
            <v xml:space="preserve">AMI - Government Employees Provident Fund Management Company Ltd
</v>
          </cell>
          <cell r="F176" t="str">
            <v>עמ"י - חברה לניהול קופת גמל מפעלית בע"מ</v>
          </cell>
          <cell r="G176" t="str">
            <v>VI</v>
          </cell>
          <cell r="I176">
            <v>1380000</v>
          </cell>
          <cell r="J176">
            <v>1.8872480862278728E-2</v>
          </cell>
          <cell r="K176">
            <v>8109.3847836627683</v>
          </cell>
          <cell r="L176">
            <v>38787.861598242613</v>
          </cell>
          <cell r="M176">
            <v>48</v>
          </cell>
          <cell r="N176">
            <v>118</v>
          </cell>
          <cell r="O176">
            <v>47063</v>
          </cell>
          <cell r="Q176">
            <v>1066.8358652954525</v>
          </cell>
          <cell r="T176">
            <v>0</v>
          </cell>
          <cell r="U176" t="str">
            <v>V</v>
          </cell>
          <cell r="V176">
            <v>1066.8358652954525</v>
          </cell>
          <cell r="W176">
            <v>47063</v>
          </cell>
          <cell r="AC176" t="str">
            <v>Zero investment in 2019</v>
          </cell>
          <cell r="AD176">
            <v>47063</v>
          </cell>
          <cell r="AE176">
            <v>0</v>
          </cell>
          <cell r="AF176">
            <v>47063</v>
          </cell>
          <cell r="AG176">
            <v>1066.8358652954525</v>
          </cell>
          <cell r="AI176">
            <v>37424.129549898717</v>
          </cell>
          <cell r="AJ176">
            <v>9638.8704501012835</v>
          </cell>
          <cell r="AK176">
            <v>0.79519217962940558</v>
          </cell>
          <cell r="AP176">
            <v>98.832299999999989</v>
          </cell>
          <cell r="AQ176">
            <v>98.832299999999989</v>
          </cell>
          <cell r="AR176">
            <v>35</v>
          </cell>
        </row>
        <row r="177">
          <cell r="A177" t="str">
            <v>8160-01-285</v>
          </cell>
          <cell r="B177" t="str">
            <v>Machar - Hevra Lenihul Kupot Gamal Ltd - obo Kupat Gemel Machar</v>
          </cell>
          <cell r="C177">
            <v>500601588</v>
          </cell>
          <cell r="D177" t="e">
            <v>#REF!</v>
          </cell>
          <cell r="E177" t="str">
            <v>Machar - Hevra Lenihul Kupot Gamal Ltd - obo Kupat Gemel Machar</v>
          </cell>
          <cell r="F177" t="str">
            <v>מחר - חברה לניהול קופות גמל בע"מ</v>
          </cell>
          <cell r="G177" t="str">
            <v>VI</v>
          </cell>
          <cell r="I177">
            <v>1000000</v>
          </cell>
          <cell r="J177">
            <v>1.3675710769767193E-2</v>
          </cell>
          <cell r="K177">
            <v>5876.3657852628758</v>
          </cell>
          <cell r="L177">
            <v>28107.146085683053</v>
          </cell>
          <cell r="M177">
            <v>35</v>
          </cell>
          <cell r="N177">
            <v>86</v>
          </cell>
          <cell r="O177">
            <v>34105</v>
          </cell>
          <cell r="Q177">
            <v>773.06946760540029</v>
          </cell>
          <cell r="T177">
            <v>0</v>
          </cell>
          <cell r="U177" t="str">
            <v>V</v>
          </cell>
          <cell r="V177">
            <v>773.06946760540029</v>
          </cell>
          <cell r="W177">
            <v>34105</v>
          </cell>
          <cell r="AC177" t="str">
            <v>Zero investment in 2019</v>
          </cell>
          <cell r="AD177">
            <v>34105</v>
          </cell>
          <cell r="AE177">
            <v>0</v>
          </cell>
          <cell r="AF177">
            <v>34105</v>
          </cell>
          <cell r="AG177">
            <v>773.06946760540029</v>
          </cell>
          <cell r="AI177">
            <v>27118.934456448344</v>
          </cell>
          <cell r="AJ177">
            <v>6986.0655435516564</v>
          </cell>
          <cell r="AK177">
            <v>0.79516007789029008</v>
          </cell>
          <cell r="AP177">
            <v>71.620499999999993</v>
          </cell>
          <cell r="AQ177">
            <v>71.620499999999993</v>
          </cell>
          <cell r="AR177">
            <v>35</v>
          </cell>
        </row>
        <row r="178">
          <cell r="A178" t="str">
            <v>8160-01-286</v>
          </cell>
          <cell r="B178" t="str">
            <v xml:space="preserve">I Argento Funds in Israel LP
</v>
          </cell>
          <cell r="C178">
            <v>550244180</v>
          </cell>
          <cell r="D178" t="e">
            <v>#REF!</v>
          </cell>
          <cell r="E178" t="str">
            <v xml:space="preserve">I Argento Funds in Israel LP
</v>
          </cell>
          <cell r="F178" t="str">
            <v>קרן איגרא ארגנטו מנייתית, שותפות מוגבלת</v>
          </cell>
          <cell r="G178" t="str">
            <v>VI</v>
          </cell>
          <cell r="I178">
            <v>1500000</v>
          </cell>
          <cell r="J178">
            <v>2.0513566154650789E-2</v>
          </cell>
          <cell r="K178">
            <v>8814.5486778943123</v>
          </cell>
          <cell r="L178">
            <v>42160.719128524572</v>
          </cell>
          <cell r="M178">
            <v>53</v>
          </cell>
          <cell r="N178">
            <v>129</v>
          </cell>
          <cell r="O178">
            <v>51157</v>
          </cell>
          <cell r="Q178">
            <v>1159.6042014081004</v>
          </cell>
          <cell r="T178">
            <v>0</v>
          </cell>
          <cell r="U178" t="str">
            <v>V</v>
          </cell>
          <cell r="W178">
            <v>51157</v>
          </cell>
          <cell r="AC178" t="str">
            <v>Zero investment in 2019</v>
          </cell>
          <cell r="AD178">
            <v>51157</v>
          </cell>
          <cell r="AE178">
            <v>0</v>
          </cell>
          <cell r="AF178">
            <v>51157</v>
          </cell>
          <cell r="AG178">
            <v>1159.6042014081004</v>
          </cell>
          <cell r="AI178">
            <v>40678.401684672514</v>
          </cell>
          <cell r="AJ178">
            <v>10478.598315327486</v>
          </cell>
          <cell r="AK178">
            <v>0.79516784965249165</v>
          </cell>
          <cell r="AP178">
            <v>107.4297</v>
          </cell>
          <cell r="AQ178">
            <v>107.4297</v>
          </cell>
          <cell r="AR178">
            <v>35</v>
          </cell>
        </row>
        <row r="179">
          <cell r="A179" t="str">
            <v>8160-01-287</v>
          </cell>
          <cell r="B179" t="str">
            <v xml:space="preserve">Kela - Social Workers Study Fund Management Company Ltd
</v>
          </cell>
          <cell r="C179">
            <v>520030941</v>
          </cell>
          <cell r="D179" t="e">
            <v>#REF!</v>
          </cell>
          <cell r="E179" t="str">
            <v xml:space="preserve">Kela - Social Workers Study Fund Management Company Ltd
</v>
          </cell>
          <cell r="F179" t="str">
            <v>ק.ל.ע חברה לניהול קרן השתלמות לעובדים סוציאלים בע"מ</v>
          </cell>
          <cell r="G179" t="str">
            <v>VI</v>
          </cell>
          <cell r="I179">
            <v>560000</v>
          </cell>
          <cell r="J179">
            <v>7.6583980310696281E-3</v>
          </cell>
          <cell r="K179">
            <v>3290.7648397472103</v>
          </cell>
          <cell r="L179">
            <v>15740.001807982508</v>
          </cell>
          <cell r="M179">
            <v>20</v>
          </cell>
          <cell r="N179">
            <v>49</v>
          </cell>
          <cell r="O179">
            <v>19100</v>
          </cell>
          <cell r="Q179">
            <v>432.91890185902412</v>
          </cell>
          <cell r="T179">
            <v>0</v>
          </cell>
          <cell r="U179" t="str">
            <v>V</v>
          </cell>
          <cell r="V179">
            <v>432.91890185902412</v>
          </cell>
          <cell r="W179">
            <v>19100</v>
          </cell>
          <cell r="AC179" t="str">
            <v>Zero investment in 2019</v>
          </cell>
          <cell r="AD179">
            <v>19100</v>
          </cell>
          <cell r="AE179">
            <v>0</v>
          </cell>
          <cell r="AF179">
            <v>19100</v>
          </cell>
          <cell r="AG179">
            <v>432.91890185902412</v>
          </cell>
          <cell r="AI179">
            <v>15186.603295611072</v>
          </cell>
          <cell r="AJ179">
            <v>3913.3967043889279</v>
          </cell>
          <cell r="AK179">
            <v>0.79511012018906135</v>
          </cell>
          <cell r="AP179">
            <v>40.11</v>
          </cell>
          <cell r="AQ179">
            <v>40.11</v>
          </cell>
          <cell r="AR179">
            <v>35</v>
          </cell>
        </row>
        <row r="180">
          <cell r="A180" t="str">
            <v>8160-01-288</v>
          </cell>
          <cell r="B180" t="str">
            <v>Michael Lutzky - IRA</v>
          </cell>
          <cell r="C180" t="str">
            <v>017518861</v>
          </cell>
          <cell r="D180" t="e">
            <v>#REF!</v>
          </cell>
          <cell r="F180" t="str">
            <v>מיכאל לוצקי</v>
          </cell>
          <cell r="G180" t="str">
            <v>VI</v>
          </cell>
          <cell r="H180" t="str">
            <v>Meitav</v>
          </cell>
          <cell r="I180">
            <v>200000</v>
          </cell>
          <cell r="J180">
            <v>2.7351421539534388E-3</v>
          </cell>
          <cell r="K180">
            <v>1175.2731570525752</v>
          </cell>
          <cell r="L180">
            <v>5621.4292171366105</v>
          </cell>
          <cell r="M180">
            <v>7</v>
          </cell>
          <cell r="N180">
            <v>17</v>
          </cell>
          <cell r="O180">
            <v>6821</v>
          </cell>
          <cell r="Q180">
            <v>154.61389352108006</v>
          </cell>
          <cell r="T180">
            <v>0</v>
          </cell>
          <cell r="U180" t="str">
            <v>IRA</v>
          </cell>
          <cell r="V180">
            <v>154.61389352108006</v>
          </cell>
          <cell r="W180">
            <v>6821</v>
          </cell>
          <cell r="AC180" t="str">
            <v>Zero investment in 2019</v>
          </cell>
          <cell r="AD180">
            <v>6821</v>
          </cell>
          <cell r="AE180">
            <v>0</v>
          </cell>
          <cell r="AF180">
            <v>6821</v>
          </cell>
          <cell r="AG180">
            <v>154.61389352108006</v>
          </cell>
          <cell r="AI180">
            <v>5423.7868912896693</v>
          </cell>
          <cell r="AJ180">
            <v>1397.2131087103307</v>
          </cell>
          <cell r="AK180">
            <v>0.7951600778902902</v>
          </cell>
          <cell r="AP180">
            <v>14.3241</v>
          </cell>
          <cell r="AQ180">
            <v>18</v>
          </cell>
          <cell r="AR180">
            <v>35</v>
          </cell>
        </row>
        <row r="181">
          <cell r="A181" t="str">
            <v>8160-01-289</v>
          </cell>
          <cell r="B181" t="str">
            <v>Avner Shaham</v>
          </cell>
          <cell r="C181" t="str">
            <v>051669745</v>
          </cell>
          <cell r="D181" t="e">
            <v>#REF!</v>
          </cell>
          <cell r="F181" t="str">
            <v>אבנר שחם</v>
          </cell>
          <cell r="G181" t="str">
            <v>I</v>
          </cell>
          <cell r="H181" t="str">
            <v>Meitav</v>
          </cell>
          <cell r="I181">
            <v>300000</v>
          </cell>
          <cell r="J181">
            <v>4.1027132309301578E-3</v>
          </cell>
          <cell r="K181">
            <v>1762.9097355788626</v>
          </cell>
          <cell r="L181">
            <v>8432.1438257049158</v>
          </cell>
          <cell r="M181">
            <v>10</v>
          </cell>
          <cell r="N181">
            <v>25</v>
          </cell>
          <cell r="O181">
            <v>10230</v>
          </cell>
          <cell r="Q181">
            <v>231.92084028162006</v>
          </cell>
          <cell r="T181">
            <v>0</v>
          </cell>
          <cell r="U181" t="str">
            <v>IRA</v>
          </cell>
          <cell r="V181">
            <v>231.92084028162006</v>
          </cell>
          <cell r="W181">
            <v>10230</v>
          </cell>
          <cell r="X181">
            <v>83333.332999999999</v>
          </cell>
          <cell r="Y181">
            <v>47900.25</v>
          </cell>
          <cell r="Z181">
            <v>10625</v>
          </cell>
          <cell r="AA181">
            <v>0</v>
          </cell>
          <cell r="AB181">
            <v>33153</v>
          </cell>
          <cell r="AC181" t="e">
            <v>#REF!</v>
          </cell>
          <cell r="AD181">
            <v>10230</v>
          </cell>
          <cell r="AE181">
            <v>0</v>
          </cell>
          <cell r="AF181">
            <v>10230</v>
          </cell>
          <cell r="AG181">
            <v>231.92084028162006</v>
          </cell>
          <cell r="AI181">
            <v>8135.6803369345025</v>
          </cell>
          <cell r="AJ181">
            <v>2094.3196630654975</v>
          </cell>
          <cell r="AK181">
            <v>0.79527667027707749</v>
          </cell>
          <cell r="AP181">
            <v>21.482999999999997</v>
          </cell>
          <cell r="AQ181">
            <v>21.482999999999997</v>
          </cell>
          <cell r="AR181">
            <v>35</v>
          </cell>
        </row>
        <row r="182">
          <cell r="A182" t="str">
            <v>8160-01-290</v>
          </cell>
          <cell r="B182" t="str">
            <v>Tomer Shacham</v>
          </cell>
          <cell r="C182" t="str">
            <v>Tomer: 039070487
Avner: 051669745</v>
          </cell>
          <cell r="D182" t="e">
            <v>#REF!</v>
          </cell>
          <cell r="F182" t="str">
            <v>תומר שחם</v>
          </cell>
          <cell r="G182" t="str">
            <v>VI</v>
          </cell>
          <cell r="I182">
            <v>75000</v>
          </cell>
          <cell r="J182">
            <v>1.0256783077325395E-3</v>
          </cell>
          <cell r="K182">
            <v>440.72743389471566</v>
          </cell>
          <cell r="L182">
            <v>2108.0359564262289</v>
          </cell>
          <cell r="M182">
            <v>2</v>
          </cell>
          <cell r="N182">
            <v>7</v>
          </cell>
          <cell r="O182">
            <v>2558</v>
          </cell>
          <cell r="P182">
            <v>110.18185847367891</v>
          </cell>
          <cell r="Q182">
            <v>57.980210070405015</v>
          </cell>
          <cell r="R182">
            <v>-57.980210070405015</v>
          </cell>
          <cell r="S182">
            <v>52.2016484032739</v>
          </cell>
          <cell r="T182">
            <v>52.2016484032739</v>
          </cell>
          <cell r="U182" t="str">
            <v>X</v>
          </cell>
          <cell r="W182">
            <v>2506</v>
          </cell>
          <cell r="AC182" t="str">
            <v>Zero investment in 2019</v>
          </cell>
          <cell r="AD182">
            <v>2558</v>
          </cell>
          <cell r="AE182">
            <v>52.2016484032739</v>
          </cell>
          <cell r="AF182">
            <v>2506</v>
          </cell>
          <cell r="AG182">
            <v>110.18185847367891</v>
          </cell>
          <cell r="AI182">
            <v>2033.9200842336256</v>
          </cell>
          <cell r="AJ182">
            <v>524.07991576637437</v>
          </cell>
          <cell r="AK182">
            <v>0.79512122135794594</v>
          </cell>
          <cell r="AP182">
            <v>5.2625999999999999</v>
          </cell>
          <cell r="AQ182">
            <v>18</v>
          </cell>
          <cell r="AR182">
            <v>35</v>
          </cell>
        </row>
        <row r="183">
          <cell r="A183" t="e">
            <v>#N/A</v>
          </cell>
          <cell r="I183">
            <v>73122342</v>
          </cell>
          <cell r="J183">
            <v>1</v>
          </cell>
          <cell r="K183">
            <v>429693.62866709009</v>
          </cell>
          <cell r="L183">
            <v>2055260.3487212816</v>
          </cell>
          <cell r="M183">
            <v>0</v>
          </cell>
          <cell r="N183">
            <v>-39</v>
          </cell>
          <cell r="O183">
            <v>2484915</v>
          </cell>
          <cell r="P183">
            <v>39746.269080071834</v>
          </cell>
          <cell r="Q183">
            <v>56528.650000000045</v>
          </cell>
          <cell r="R183">
            <v>-20915.394446064081</v>
          </cell>
          <cell r="S183">
            <v>18830.874634007669</v>
          </cell>
          <cell r="T183">
            <v>18830.874634007669</v>
          </cell>
          <cell r="U183" t="e">
            <v>#N/A</v>
          </cell>
          <cell r="V183">
            <v>30781.5713814021</v>
          </cell>
          <cell r="W183">
            <v>2466080</v>
          </cell>
          <cell r="X183" t="e">
            <v>#N/A</v>
          </cell>
          <cell r="Y183" t="e">
            <v>#N/A</v>
          </cell>
          <cell r="Z183" t="e">
            <v>#N/A</v>
          </cell>
          <cell r="AA183" t="e">
            <v>#N/A</v>
          </cell>
          <cell r="AB183" t="e">
            <v>#N/A</v>
          </cell>
          <cell r="AD183">
            <v>2484915</v>
          </cell>
          <cell r="AE183">
            <v>18830.874634007669</v>
          </cell>
          <cell r="AF183">
            <v>2466080</v>
          </cell>
          <cell r="AG183">
            <v>75359.524634007685</v>
          </cell>
          <cell r="AI183">
            <v>1983000.0000000002</v>
          </cell>
          <cell r="AJ183">
            <v>501908.00000000064</v>
          </cell>
          <cell r="AP183">
            <v>5178.768</v>
          </cell>
          <cell r="AQ183">
            <v>5052.5156000000034</v>
          </cell>
          <cell r="AR183">
            <v>6265</v>
          </cell>
          <cell r="AS183">
            <v>1212.4843999999966</v>
          </cell>
        </row>
        <row r="184">
          <cell r="R184">
            <v>-22538.034172533822</v>
          </cell>
          <cell r="Y184" t="str">
            <v>Not Collected amount</v>
          </cell>
          <cell r="Z184" t="e">
            <v>#N/A</v>
          </cell>
          <cell r="AA184" t="e">
            <v>#N/A</v>
          </cell>
          <cell r="AB184" t="e">
            <v>#N/A</v>
          </cell>
          <cell r="AD184">
            <v>-38.977388367988169</v>
          </cell>
          <cell r="AF184">
            <v>4.1253659925423563</v>
          </cell>
        </row>
        <row r="185">
          <cell r="A185" t="str">
            <v>8160-01-253</v>
          </cell>
          <cell r="B185" t="str">
            <v>Yuval Fuchs</v>
          </cell>
          <cell r="G185" t="e">
            <v>#N/A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 t="str">
            <v>ע"פ תקנות'</v>
          </cell>
          <cell r="V185">
            <v>0</v>
          </cell>
          <cell r="W185" t="e">
            <v>#REF!</v>
          </cell>
        </row>
        <row r="186">
          <cell r="O186">
            <v>2484915</v>
          </cell>
        </row>
        <row r="187">
          <cell r="I187">
            <v>67807342</v>
          </cell>
          <cell r="O187">
            <v>3.4311032771744709E-3</v>
          </cell>
          <cell r="W187">
            <v>2276929</v>
          </cell>
        </row>
        <row r="188">
          <cell r="I188">
            <v>350000</v>
          </cell>
          <cell r="O188">
            <v>3.4311032771744709E-3</v>
          </cell>
        </row>
        <row r="189">
          <cell r="I189">
            <v>5.1616829339808067E-3</v>
          </cell>
          <cell r="O189">
            <v>181268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831F-EAAA-4B81-8B95-349FDEE06363}">
  <dimension ref="A5:U54"/>
  <sheetViews>
    <sheetView showGridLines="0" tabSelected="1" zoomScale="80" zoomScaleNormal="80" workbookViewId="0">
      <selection activeCell="H26" sqref="H26"/>
    </sheetView>
  </sheetViews>
  <sheetFormatPr defaultRowHeight="14.5" x14ac:dyDescent="0.35"/>
  <cols>
    <col min="1" max="1" width="12.26953125" customWidth="1"/>
    <col min="2" max="2" width="19.90625" bestFit="1" customWidth="1"/>
    <col min="3" max="3" width="21.36328125" bestFit="1" customWidth="1"/>
    <col min="4" max="4" width="15.81640625" customWidth="1"/>
    <col min="5" max="5" width="10.1796875" customWidth="1"/>
    <col min="6" max="6" width="17" customWidth="1"/>
    <col min="7" max="7" width="9.6328125" customWidth="1"/>
    <col min="8" max="8" width="16.90625" bestFit="1" customWidth="1"/>
    <col min="9" max="9" width="20.1796875" bestFit="1" customWidth="1"/>
    <col min="10" max="10" width="14.81640625" bestFit="1" customWidth="1"/>
    <col min="11" max="11" width="12.6328125" bestFit="1" customWidth="1"/>
    <col min="12" max="12" width="10.08984375" bestFit="1" customWidth="1"/>
    <col min="13" max="13" width="11.36328125" bestFit="1" customWidth="1"/>
    <col min="14" max="14" width="13.08984375" bestFit="1" customWidth="1"/>
  </cols>
  <sheetData>
    <row r="5" spans="1:7" x14ac:dyDescent="0.35">
      <c r="A5" t="s">
        <v>0</v>
      </c>
      <c r="B5" t="s">
        <v>1</v>
      </c>
      <c r="C5" t="s">
        <v>2</v>
      </c>
    </row>
    <row r="6" spans="1:7" x14ac:dyDescent="0.35">
      <c r="A6" t="s">
        <v>11</v>
      </c>
      <c r="B6" t="str">
        <f>VLOOKUP(A6,[1]Distribution!$1:$1048576,2,FALSE)</f>
        <v>Tamar Marash</v>
      </c>
      <c r="C6" s="21">
        <f>VLOOKUP(A6,[1]Distribution!$1:$1048576,9,FALSE)</f>
        <v>400000</v>
      </c>
    </row>
    <row r="7" spans="1:7" x14ac:dyDescent="0.35">
      <c r="C7" s="21"/>
    </row>
    <row r="8" spans="1:7" x14ac:dyDescent="0.35">
      <c r="A8" s="31"/>
      <c r="B8" s="32"/>
      <c r="C8" s="25" t="s">
        <v>3</v>
      </c>
      <c r="D8" s="25" t="s">
        <v>12</v>
      </c>
      <c r="E8" s="25" t="s">
        <v>13</v>
      </c>
      <c r="F8" s="25" t="s">
        <v>8</v>
      </c>
      <c r="G8" s="25" t="s">
        <v>14</v>
      </c>
    </row>
    <row r="9" spans="1:7" x14ac:dyDescent="0.35">
      <c r="A9" s="26" t="s">
        <v>5</v>
      </c>
      <c r="B9" s="26"/>
      <c r="C9" s="1">
        <f>D9+F9</f>
        <v>11566.237527274523</v>
      </c>
      <c r="D9" s="1">
        <f>VLOOKUP(A6,[2]Distribution!$1:$1048576,13,FALSE)+VLOOKUP(A6,[2]Distribution!$1:$1048576,14,FALSE)</f>
        <v>9216.6245860382769</v>
      </c>
      <c r="E9" s="33">
        <f>D9/C9</f>
        <v>0.79685589754701236</v>
      </c>
      <c r="F9" s="1">
        <f>VLOOKUP(A6,[2]Distribution!$1:$1048576,15,FALSE)</f>
        <v>2349.6129412362466</v>
      </c>
      <c r="G9" s="33">
        <f>F9/C9</f>
        <v>0.20314410245298767</v>
      </c>
    </row>
    <row r="10" spans="1:7" x14ac:dyDescent="0.35">
      <c r="A10" s="26" t="s">
        <v>4</v>
      </c>
      <c r="B10" s="26"/>
      <c r="C10" s="1">
        <f>ROUNDUP(D10+F10,0)</f>
        <v>28007</v>
      </c>
      <c r="D10" s="1">
        <f>VLOOKUP(A6,[3]Distribution!$1:$1048576,15,FALSE)</f>
        <v>10232.919552720266</v>
      </c>
      <c r="E10" s="33">
        <f t="shared" ref="E10:E12" si="0">D10/C10</f>
        <v>0.36537007007963246</v>
      </c>
      <c r="F10" s="1">
        <f>VLOOKUP(A6,[3]Distribution!$1:$1048576,18,FALSE)</f>
        <v>17773.731855326907</v>
      </c>
      <c r="G10" s="33">
        <f t="shared" ref="G10:G12" si="1">F10/C10</f>
        <v>0.63461748331941681</v>
      </c>
    </row>
    <row r="11" spans="1:7" x14ac:dyDescent="0.35">
      <c r="A11" s="29" t="s">
        <v>6</v>
      </c>
      <c r="B11" s="29"/>
      <c r="C11" s="1">
        <f>D11+F11</f>
        <v>13642</v>
      </c>
      <c r="D11" s="1">
        <f>VLOOKUP(A6,[4]Distribution!$1:$1048576,35,FALSE)</f>
        <v>10847.573782579339</v>
      </c>
      <c r="E11" s="33">
        <f t="shared" si="0"/>
        <v>0.7951600778902902</v>
      </c>
      <c r="F11" s="1">
        <f>VLOOKUP(A6,[4]Distribution!$1:$1048576,36,FALSE)</f>
        <v>2794.4262174206615</v>
      </c>
      <c r="G11" s="33">
        <f t="shared" si="1"/>
        <v>0.20483992210970983</v>
      </c>
    </row>
    <row r="12" spans="1:7" x14ac:dyDescent="0.35">
      <c r="A12" s="26" t="s">
        <v>7</v>
      </c>
      <c r="B12" s="26"/>
      <c r="C12" s="1">
        <f>D12+F12</f>
        <v>82054.264620000002</v>
      </c>
      <c r="D12" s="1">
        <f>VLOOKUP(A6,[1]Distribution!$1:$1048576,43,FALSE)</f>
        <v>31355.66965</v>
      </c>
      <c r="E12" s="33">
        <f t="shared" si="0"/>
        <v>0.38213333329121485</v>
      </c>
      <c r="F12" s="1">
        <f>VLOOKUP(A6,[1]Distribution!$1:$1048576,44,FALSE)</f>
        <v>50698.594969999998</v>
      </c>
      <c r="G12" s="33">
        <f t="shared" si="1"/>
        <v>0.61786666670878509</v>
      </c>
    </row>
    <row r="13" spans="1:7" ht="15" thickBot="1" x14ac:dyDescent="0.4">
      <c r="A13" s="30" t="s">
        <v>9</v>
      </c>
      <c r="B13" s="30"/>
      <c r="C13" s="24">
        <f>SUM(C9:C12)</f>
        <v>135269.50214727453</v>
      </c>
      <c r="D13" s="24">
        <f t="shared" ref="D13:F13" si="2">SUM(D9:D12)</f>
        <v>61652.787571337889</v>
      </c>
      <c r="E13" s="34">
        <f>D13/C13</f>
        <v>0.4557774412758131</v>
      </c>
      <c r="F13" s="28">
        <f t="shared" si="2"/>
        <v>73616.365983983822</v>
      </c>
      <c r="G13" s="35">
        <f>F13/C13</f>
        <v>0.54421998170610608</v>
      </c>
    </row>
    <row r="14" spans="1:7" ht="15" thickTop="1" x14ac:dyDescent="0.35">
      <c r="C14" s="22"/>
      <c r="D14" s="22"/>
      <c r="E14" s="22"/>
      <c r="F14" s="22"/>
    </row>
    <row r="17" spans="1:21" x14ac:dyDescent="0.35">
      <c r="A17" s="23" t="s">
        <v>10</v>
      </c>
      <c r="B17" s="23"/>
      <c r="C17" s="23"/>
      <c r="D17" s="23"/>
      <c r="E17" s="23"/>
      <c r="F17" s="27">
        <f>C6-F13</f>
        <v>326383.63401601615</v>
      </c>
    </row>
    <row r="18" spans="1:21" x14ac:dyDescent="0.35">
      <c r="A18" s="2"/>
      <c r="B18" s="3"/>
      <c r="C18" s="2"/>
      <c r="D18" s="2"/>
      <c r="E18" s="2"/>
      <c r="F18" s="2"/>
      <c r="G18" s="2"/>
      <c r="H18" s="4"/>
      <c r="I18" s="4"/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35">
      <c r="A19" s="2"/>
      <c r="B19" s="3"/>
      <c r="C19" s="2"/>
      <c r="D19" s="2"/>
      <c r="E19" s="2"/>
      <c r="F19" s="2"/>
      <c r="G19" s="2"/>
      <c r="H19" s="4"/>
      <c r="I19" s="4"/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5">
      <c r="A20" s="2"/>
      <c r="B20" s="3"/>
      <c r="C20" s="2"/>
      <c r="D20" s="2"/>
      <c r="E20" s="2"/>
      <c r="F20" s="2"/>
      <c r="G20" s="2"/>
      <c r="H20" s="6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5">
      <c r="A21" s="2"/>
      <c r="B21" s="7"/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5">
      <c r="A22" s="2"/>
      <c r="B22" s="7"/>
      <c r="C22" s="9"/>
      <c r="D22" s="2"/>
      <c r="E22" s="2"/>
      <c r="F22" s="2"/>
      <c r="G22" s="2"/>
      <c r="H22" s="2"/>
      <c r="I22" s="2"/>
      <c r="J22" s="2"/>
      <c r="K22" s="2"/>
      <c r="L22" s="2"/>
      <c r="M22" s="10"/>
      <c r="N22" s="2"/>
      <c r="O22" s="2"/>
      <c r="P22" s="2"/>
      <c r="Q22" s="2"/>
      <c r="R22" s="2"/>
      <c r="S22" s="2"/>
      <c r="T22" s="2"/>
      <c r="U22" s="2"/>
    </row>
    <row r="23" spans="1:21" x14ac:dyDescent="0.35">
      <c r="A23" s="2"/>
      <c r="B23" s="7"/>
      <c r="C23" s="11"/>
      <c r="D23" s="2"/>
      <c r="E23" s="2"/>
      <c r="F23" s="2"/>
      <c r="G23" s="2"/>
      <c r="H23" s="2"/>
      <c r="I23" s="2"/>
      <c r="J23" s="10"/>
      <c r="K23" s="2"/>
      <c r="L23" s="2"/>
      <c r="M23" s="10"/>
      <c r="N23" s="2"/>
      <c r="O23" s="2"/>
      <c r="P23" s="2"/>
      <c r="Q23" s="2"/>
      <c r="R23" s="2"/>
      <c r="S23" s="2"/>
      <c r="T23" s="2"/>
      <c r="U23" s="2"/>
    </row>
    <row r="24" spans="1:21" x14ac:dyDescent="0.35">
      <c r="A24" s="2"/>
      <c r="B24" s="2"/>
      <c r="C24" s="2"/>
      <c r="D24" s="2"/>
      <c r="E24" s="2"/>
      <c r="F24" s="2"/>
      <c r="G24" s="2"/>
      <c r="H24" s="2"/>
      <c r="I24" s="2"/>
      <c r="J24" s="10"/>
      <c r="K24" s="2"/>
      <c r="L24" s="2"/>
      <c r="M24" s="2"/>
      <c r="N24" s="12"/>
      <c r="O24" s="13"/>
      <c r="P24" s="2"/>
      <c r="Q24" s="2"/>
      <c r="R24" s="2"/>
      <c r="S24" s="2"/>
      <c r="T24" s="2"/>
      <c r="U24" s="2"/>
    </row>
    <row r="25" spans="1:2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5">
      <c r="A26" s="2"/>
      <c r="B26" s="14"/>
      <c r="C26" s="1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35">
      <c r="A27" s="14"/>
      <c r="B27" s="14"/>
      <c r="C27" s="16"/>
      <c r="D27" s="16"/>
      <c r="E27" s="16"/>
      <c r="F27" s="17"/>
      <c r="G27" s="16"/>
      <c r="H27" s="17"/>
      <c r="I27" s="17"/>
      <c r="J27" s="16"/>
      <c r="K27" s="16"/>
      <c r="L27" s="2"/>
      <c r="M27" s="16"/>
      <c r="N27" s="2"/>
      <c r="O27" s="2"/>
      <c r="P27" s="2"/>
      <c r="Q27" s="2"/>
      <c r="R27" s="2"/>
      <c r="S27" s="2"/>
      <c r="T27" s="2"/>
      <c r="U27" s="2"/>
    </row>
    <row r="28" spans="1:21" x14ac:dyDescent="0.35">
      <c r="A28" s="2"/>
      <c r="B28" s="2"/>
      <c r="C28" s="10"/>
      <c r="D28" s="10"/>
      <c r="E28" s="10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35">
      <c r="A29" s="18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"/>
      <c r="M29" s="19"/>
      <c r="N29" s="2"/>
      <c r="O29" s="2"/>
      <c r="P29" s="2"/>
      <c r="Q29" s="2"/>
      <c r="R29" s="2"/>
      <c r="S29" s="2"/>
      <c r="T29" s="2"/>
      <c r="U29" s="2"/>
    </row>
    <row r="30" spans="1:21" x14ac:dyDescent="0.35">
      <c r="A30" s="2"/>
      <c r="B30" s="2"/>
      <c r="C30" s="10"/>
      <c r="D30" s="10"/>
      <c r="E30" s="10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35">
      <c r="A31" s="18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"/>
      <c r="M31" s="19"/>
      <c r="N31" s="2"/>
      <c r="O31" s="2"/>
      <c r="P31" s="2"/>
      <c r="Q31" s="2"/>
      <c r="R31" s="2"/>
      <c r="S31" s="2"/>
      <c r="T31" s="2"/>
      <c r="U31" s="2"/>
    </row>
    <row r="32" spans="1:21" x14ac:dyDescent="0.35">
      <c r="A32" s="2"/>
      <c r="B32" s="2"/>
      <c r="C32" s="10"/>
      <c r="D32" s="10"/>
      <c r="E32" s="10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35">
      <c r="A33" s="18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"/>
      <c r="M33" s="19"/>
      <c r="N33" s="2"/>
      <c r="O33" s="2"/>
      <c r="P33" s="2"/>
      <c r="Q33" s="2"/>
      <c r="R33" s="2"/>
      <c r="S33" s="2"/>
      <c r="T33" s="2"/>
      <c r="U33" s="2"/>
    </row>
    <row r="34" spans="1:21" x14ac:dyDescent="0.35">
      <c r="A34" s="2"/>
      <c r="B34" s="2"/>
      <c r="C34" s="10"/>
      <c r="D34" s="10"/>
      <c r="E34" s="10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5">
      <c r="A35" s="18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"/>
      <c r="M35" s="19"/>
      <c r="N35" s="2"/>
      <c r="O35" s="2"/>
      <c r="P35" s="2"/>
      <c r="Q35" s="2"/>
      <c r="R35" s="2"/>
      <c r="S35" s="2"/>
      <c r="T35" s="2"/>
      <c r="U35" s="2"/>
    </row>
    <row r="36" spans="1:21" x14ac:dyDescent="0.35">
      <c r="A36" s="2"/>
      <c r="B36" s="2"/>
      <c r="C36" s="10"/>
      <c r="D36" s="10"/>
      <c r="E36" s="10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35">
      <c r="A37" s="18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2"/>
      <c r="M37" s="19"/>
      <c r="N37" s="2"/>
      <c r="O37" s="2"/>
      <c r="P37" s="2"/>
      <c r="Q37" s="2"/>
      <c r="R37" s="2"/>
      <c r="S37" s="2"/>
      <c r="T37" s="2"/>
      <c r="U37" s="2"/>
    </row>
    <row r="38" spans="1:21" x14ac:dyDescent="0.35">
      <c r="A38" s="2"/>
      <c r="B38" s="2"/>
      <c r="C38" s="10"/>
      <c r="D38" s="10"/>
      <c r="E38" s="10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35">
      <c r="A39" s="18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2"/>
      <c r="M39" s="19"/>
      <c r="N39" s="2"/>
      <c r="O39" s="2"/>
      <c r="P39" s="2"/>
      <c r="Q39" s="2"/>
      <c r="R39" s="2"/>
      <c r="S39" s="2"/>
      <c r="T39" s="2"/>
      <c r="U39" s="2"/>
    </row>
    <row r="40" spans="1:21" x14ac:dyDescent="0.35">
      <c r="A40" s="2"/>
      <c r="B40" s="2"/>
      <c r="C40" s="10"/>
      <c r="D40" s="10"/>
      <c r="E40" s="10"/>
      <c r="F40" s="2"/>
      <c r="G40" s="1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35">
      <c r="A41" s="18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"/>
      <c r="M41" s="19"/>
      <c r="N41" s="2"/>
      <c r="O41" s="2"/>
      <c r="P41" s="2"/>
      <c r="Q41" s="2"/>
      <c r="R41" s="2"/>
      <c r="S41" s="2"/>
      <c r="T41" s="2"/>
      <c r="U41" s="2"/>
    </row>
    <row r="42" spans="1:21" x14ac:dyDescent="0.35">
      <c r="A42" s="2"/>
      <c r="B42" s="2"/>
      <c r="C42" s="10"/>
      <c r="D42" s="10"/>
      <c r="E42" s="10"/>
      <c r="F42" s="2"/>
      <c r="G42" s="1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35">
      <c r="A43" s="18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2"/>
      <c r="M43" s="19"/>
      <c r="N43" s="2"/>
      <c r="O43" s="2"/>
      <c r="P43" s="2"/>
      <c r="Q43" s="2"/>
      <c r="R43" s="2"/>
      <c r="S43" s="2"/>
      <c r="T43" s="2"/>
      <c r="U43" s="2"/>
    </row>
    <row r="44" spans="1:21" x14ac:dyDescent="0.35">
      <c r="A44" s="2"/>
      <c r="B44" s="2"/>
      <c r="C44" s="10"/>
      <c r="D44" s="10"/>
      <c r="E44" s="10"/>
      <c r="F44" s="2"/>
      <c r="G44" s="10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35">
      <c r="A45" s="18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2"/>
      <c r="M45" s="19"/>
      <c r="N45" s="2"/>
      <c r="O45" s="2"/>
      <c r="P45" s="2"/>
      <c r="Q45" s="2"/>
      <c r="R45" s="2"/>
      <c r="S45" s="2"/>
      <c r="T45" s="2"/>
      <c r="U45" s="2"/>
    </row>
    <row r="46" spans="1:21" x14ac:dyDescent="0.35">
      <c r="A46" s="2"/>
      <c r="B46" s="2"/>
      <c r="C46" s="10"/>
      <c r="D46" s="10"/>
      <c r="E46" s="10"/>
      <c r="F46" s="2"/>
      <c r="G46" s="10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35">
      <c r="A47" s="18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"/>
      <c r="M47" s="19"/>
      <c r="N47" s="2"/>
      <c r="O47" s="2"/>
      <c r="P47" s="2"/>
      <c r="Q47" s="2"/>
      <c r="R47" s="2"/>
      <c r="S47" s="2"/>
      <c r="T47" s="2"/>
      <c r="U47" s="2"/>
    </row>
    <row r="48" spans="1:21" x14ac:dyDescent="0.35">
      <c r="A48" s="2"/>
      <c r="B48" s="2"/>
      <c r="C48" s="10"/>
      <c r="D48" s="10"/>
      <c r="E48" s="10"/>
      <c r="F48" s="2"/>
      <c r="G48" s="1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35">
      <c r="A49" s="18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"/>
      <c r="M49" s="19"/>
      <c r="N49" s="2"/>
      <c r="O49" s="2"/>
      <c r="P49" s="2"/>
      <c r="Q49" s="2"/>
      <c r="R49" s="2"/>
      <c r="S49" s="2"/>
      <c r="T49" s="2"/>
      <c r="U49" s="2"/>
    </row>
    <row r="50" spans="1:21" x14ac:dyDescent="0.35">
      <c r="A50" s="2"/>
      <c r="B50" s="2"/>
      <c r="C50" s="10"/>
      <c r="D50" s="10"/>
      <c r="E50" s="10"/>
      <c r="F50" s="2"/>
      <c r="G50" s="1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35">
      <c r="A51" s="18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2"/>
      <c r="M51" s="19"/>
      <c r="N51" s="2"/>
      <c r="O51" s="2"/>
      <c r="P51" s="2"/>
      <c r="Q51" s="2"/>
      <c r="R51" s="2"/>
      <c r="S51" s="2"/>
      <c r="T51" s="2"/>
      <c r="U51" s="2"/>
    </row>
    <row r="52" spans="1:21" x14ac:dyDescent="0.35">
      <c r="A52" s="14"/>
      <c r="B52" s="14"/>
      <c r="C52" s="14"/>
      <c r="D52" s="20"/>
      <c r="E52" s="20"/>
      <c r="F52" s="20"/>
      <c r="G52" s="20"/>
      <c r="H52" s="20"/>
      <c r="I52" s="20"/>
      <c r="J52" s="20"/>
      <c r="K52" s="20"/>
      <c r="L52" s="2"/>
      <c r="M52" s="20"/>
      <c r="N52" s="2"/>
      <c r="O52" s="2"/>
      <c r="P52" s="2"/>
      <c r="Q52" s="2"/>
      <c r="R52" s="2"/>
      <c r="S52" s="2"/>
      <c r="T52" s="2"/>
      <c r="U52" s="2"/>
    </row>
    <row r="53" spans="1:2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</sheetData>
  <mergeCells count="3">
    <mergeCell ref="A11:B11"/>
    <mergeCell ref="A13:B13"/>
    <mergeCell ref="A8:B8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 Chovav Begam</dc:creator>
  <cp:lastModifiedBy>Tamar Chovav Begam</cp:lastModifiedBy>
  <dcterms:created xsi:type="dcterms:W3CDTF">2022-03-20T14:03:36Z</dcterms:created>
  <dcterms:modified xsi:type="dcterms:W3CDTF">2022-05-04T10:47:37Z</dcterms:modified>
</cp:coreProperties>
</file>