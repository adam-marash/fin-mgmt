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Users\jenny\ג'ני\לקוחות\מרש\"/>
    </mc:Choice>
  </mc:AlternateContent>
  <bookViews>
    <workbookView xWindow="0" yWindow="0" windowWidth="28800" windowHeight="12330" activeTab="1"/>
  </bookViews>
  <sheets>
    <sheet name="עתידי" sheetId="2" r:id="rId1"/>
    <sheet name="עבר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25" i="2" l="1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U24" i="2"/>
  <c r="U23" i="2"/>
  <c r="U22" i="2"/>
  <c r="U21" i="2"/>
  <c r="U20" i="2"/>
  <c r="U19" i="2"/>
  <c r="U18" i="2"/>
  <c r="U17" i="2"/>
  <c r="U16" i="2"/>
  <c r="U15" i="2"/>
  <c r="U14" i="2"/>
  <c r="U13" i="2"/>
  <c r="U12" i="2"/>
  <c r="U11" i="2"/>
  <c r="U10" i="2"/>
  <c r="U9" i="2"/>
  <c r="U8" i="2"/>
  <c r="U7" i="2"/>
  <c r="U6" i="2"/>
  <c r="U5" i="2"/>
  <c r="U4" i="2"/>
  <c r="S45" i="1" l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T45" i="1"/>
  <c r="C45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3" i="1"/>
</calcChain>
</file>

<file path=xl/sharedStrings.xml><?xml version="1.0" encoding="utf-8"?>
<sst xmlns="http://schemas.openxmlformats.org/spreadsheetml/2006/main" count="67" uniqueCount="46">
  <si>
    <t>Coller</t>
  </si>
  <si>
    <t>IMPACT DEBT</t>
  </si>
  <si>
    <t xml:space="preserve">HAMAGEN </t>
  </si>
  <si>
    <t>Liquidity Capital II, L.P</t>
  </si>
  <si>
    <t>KDC Media Fund L.P</t>
  </si>
  <si>
    <t>ISF - III</t>
  </si>
  <si>
    <t>Pollen Street Credit Fund III</t>
  </si>
  <si>
    <t>אלקטרה USA 2</t>
  </si>
  <si>
    <t>Faro-Point FRG-X</t>
  </si>
  <si>
    <t>Serviced Apartments, Vienna</t>
  </si>
  <si>
    <t>דיור מוגן באטלנטה בוליגו 2</t>
  </si>
  <si>
    <t>עסקת הרטפורד קונטיקט - התחדשות עירונית</t>
  </si>
  <si>
    <t>דיור מוגן באטלנטה בוליגו</t>
  </si>
  <si>
    <t>ריאליטי גרמניה - רכישת פורטפוליו של סופרמרקטים</t>
  </si>
  <si>
    <t>דאטה סנטר LA</t>
  </si>
  <si>
    <t>מגורים Multi-Family בפילדלפיה - גלפנד</t>
  </si>
  <si>
    <t>מרילנד, Gatewater Landing, גלפנד</t>
  </si>
  <si>
    <t>מגורים Multi-Family ו Single-Family בניו הייבן - נץ</t>
  </si>
  <si>
    <t>סה"כ  תזרים לעסקה/קרן</t>
  </si>
  <si>
    <t>סה"כ תזרים לתקופה</t>
  </si>
  <si>
    <t xml:space="preserve">סה"כ התחייבות </t>
  </si>
  <si>
    <t>500,000+125,000</t>
  </si>
  <si>
    <t>מסלול צובר, אם תרצה מחלק, נטו 5.5%</t>
  </si>
  <si>
    <t>רבעון 4 2022</t>
  </si>
  <si>
    <t>רבעון 1 2023</t>
  </si>
  <si>
    <t>רבעון 2 2023</t>
  </si>
  <si>
    <t>רבעון3 2023</t>
  </si>
  <si>
    <t>רבעון4 2023</t>
  </si>
  <si>
    <t>רבעון 1 2024</t>
  </si>
  <si>
    <t>רבעון 2 2024</t>
  </si>
  <si>
    <t>רבעון3 2024</t>
  </si>
  <si>
    <t>רבעון4 2024</t>
  </si>
  <si>
    <t>רבעון 1 2025</t>
  </si>
  <si>
    <t>רבעון 2 2025</t>
  </si>
  <si>
    <t>רבעון3 2025</t>
  </si>
  <si>
    <t>רבעון4 2025</t>
  </si>
  <si>
    <t>רבעון 1 2026</t>
  </si>
  <si>
    <t>רבעון 2 2026</t>
  </si>
  <si>
    <t>רבעון3 2026</t>
  </si>
  <si>
    <t>רבעון4 2026</t>
  </si>
  <si>
    <t>רבעון 1 2027</t>
  </si>
  <si>
    <t>רבעון 2 2027</t>
  </si>
  <si>
    <t>רבעון3 2027</t>
  </si>
  <si>
    <t>רבעון4 2027</t>
  </si>
  <si>
    <t>סה"כ</t>
  </si>
  <si>
    <t>חצי מההתחייבות התקבל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</si>
</sst>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4" formatCode="_ * #,##0_ ;_ * \-#,##0_ ;_ * &quot;-&quot;??_ ;_ @_ "/>
  </numFmts>
  <fonts count="11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sz val="14"/>
      <color rgb="FFCFB780"/>
      <name val="Arial"/>
      <family val="2"/>
      <scheme val="minor"/>
    </font>
    <font>
      <b/>
      <sz val="11"/>
      <color rgb="FFCFB780"/>
      <name val="Arial"/>
      <family val="2"/>
      <scheme val="minor"/>
    </font>
    <font>
      <b/>
      <sz val="14"/>
      <name val="Arial"/>
      <family val="2"/>
      <scheme val="minor"/>
    </font>
    <font>
      <b/>
      <sz val="14"/>
      <color theme="1"/>
      <name val="Arial"/>
      <family val="2"/>
      <scheme val="minor"/>
    </font>
    <font>
      <sz val="12"/>
      <color rgb="FFFF0000"/>
      <name val="Arial"/>
      <family val="2"/>
      <scheme val="minor"/>
    </font>
    <font>
      <sz val="12"/>
      <color rgb="FF00B050"/>
      <name val="Arial"/>
      <family val="2"/>
      <scheme val="minor"/>
    </font>
    <font>
      <sz val="11"/>
      <color rgb="FF00B050"/>
      <name val="Arial"/>
      <family val="2"/>
      <scheme val="minor"/>
    </font>
    <font>
      <b/>
      <sz val="14"/>
      <color rgb="FF00B05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90C28"/>
        <bgColor indexed="64"/>
      </patternFill>
    </fill>
    <fill>
      <patternFill patternType="solid">
        <fgColor rgb="FFCFB78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CFB780"/>
      </left>
      <right style="thin">
        <color rgb="FFCFB780"/>
      </right>
      <top style="thin">
        <color rgb="FFCFB780"/>
      </top>
      <bottom/>
      <diagonal/>
    </border>
    <border>
      <left style="thin">
        <color rgb="FFCFB780"/>
      </left>
      <right style="thin">
        <color rgb="FFCFB780"/>
      </right>
      <top/>
      <bottom/>
      <diagonal/>
    </border>
    <border>
      <left style="thin">
        <color rgb="FFCFB780"/>
      </left>
      <right style="thin">
        <color rgb="FFCFB780"/>
      </right>
      <top/>
      <bottom style="thin">
        <color rgb="FFCFB7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CFB780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horizontal="center" vertical="center"/>
    </xf>
    <xf numFmtId="38" fontId="0" fillId="0" borderId="0" xfId="0" applyNumberFormat="1" applyAlignment="1">
      <alignment horizontal="center" vertical="center"/>
    </xf>
    <xf numFmtId="38" fontId="2" fillId="0" borderId="7" xfId="0" applyNumberFormat="1" applyFont="1" applyBorder="1" applyAlignment="1">
      <alignment horizontal="center" vertical="center"/>
    </xf>
    <xf numFmtId="38" fontId="2" fillId="0" borderId="5" xfId="0" applyNumberFormat="1" applyFont="1" applyBorder="1" applyAlignment="1">
      <alignment horizontal="center" vertical="center"/>
    </xf>
    <xf numFmtId="38" fontId="2" fillId="0" borderId="6" xfId="0" applyNumberFormat="1" applyFont="1" applyBorder="1" applyAlignment="1">
      <alignment horizontal="center" vertical="center"/>
    </xf>
    <xf numFmtId="38" fontId="2" fillId="0" borderId="3" xfId="0" applyNumberFormat="1" applyFont="1" applyBorder="1" applyAlignment="1">
      <alignment horizontal="center" vertical="center"/>
    </xf>
    <xf numFmtId="38" fontId="2" fillId="0" borderId="1" xfId="0" applyNumberFormat="1" applyFont="1" applyBorder="1" applyAlignment="1">
      <alignment horizontal="center" vertical="center"/>
    </xf>
    <xf numFmtId="38" fontId="2" fillId="0" borderId="2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9" fontId="2" fillId="3" borderId="0" xfId="1" applyFont="1" applyFill="1" applyBorder="1" applyAlignment="1">
      <alignment horizontal="center" vertical="center"/>
    </xf>
    <xf numFmtId="17" fontId="2" fillId="0" borderId="14" xfId="0" applyNumberFormat="1" applyFont="1" applyBorder="1" applyAlignment="1">
      <alignment horizontal="center" vertical="center"/>
    </xf>
    <xf numFmtId="17" fontId="2" fillId="0" borderId="15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38" fontId="2" fillId="0" borderId="22" xfId="0" applyNumberFormat="1" applyFont="1" applyBorder="1" applyAlignment="1">
      <alignment horizontal="center" vertical="center"/>
    </xf>
    <xf numFmtId="38" fontId="2" fillId="0" borderId="23" xfId="0" applyNumberFormat="1" applyFont="1" applyBorder="1" applyAlignment="1">
      <alignment horizontal="center" vertical="center"/>
    </xf>
    <xf numFmtId="3" fontId="2" fillId="0" borderId="18" xfId="0" applyNumberFormat="1" applyFont="1" applyBorder="1" applyAlignment="1">
      <alignment horizontal="center" vertical="center"/>
    </xf>
    <xf numFmtId="164" fontId="2" fillId="0" borderId="18" xfId="2" applyNumberFormat="1" applyFont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readingOrder="2"/>
    </xf>
    <xf numFmtId="38" fontId="6" fillId="0" borderId="2" xfId="0" applyNumberFormat="1" applyFont="1" applyBorder="1" applyAlignment="1">
      <alignment horizontal="center" vertical="center"/>
    </xf>
    <xf numFmtId="38" fontId="6" fillId="0" borderId="4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164" fontId="6" fillId="0" borderId="13" xfId="2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3" fontId="7" fillId="0" borderId="17" xfId="0" applyNumberFormat="1" applyFont="1" applyBorder="1" applyAlignment="1">
      <alignment horizontal="center" vertical="center"/>
    </xf>
    <xf numFmtId="3" fontId="8" fillId="0" borderId="17" xfId="0" applyNumberFormat="1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38" fontId="8" fillId="0" borderId="2" xfId="0" applyNumberFormat="1" applyFont="1" applyBorder="1" applyAlignment="1">
      <alignment horizontal="center" vertical="center"/>
    </xf>
    <xf numFmtId="38" fontId="8" fillId="0" borderId="1" xfId="0" applyNumberFormat="1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3" fontId="8" fillId="0" borderId="18" xfId="0" applyNumberFormat="1" applyFont="1" applyBorder="1" applyAlignment="1">
      <alignment horizontal="center" vertical="center"/>
    </xf>
    <xf numFmtId="38" fontId="8" fillId="0" borderId="22" xfId="0" applyNumberFormat="1" applyFont="1" applyBorder="1" applyAlignment="1">
      <alignment horizontal="center" vertical="center"/>
    </xf>
    <xf numFmtId="38" fontId="10" fillId="0" borderId="2" xfId="0" applyNumberFormat="1" applyFont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</cellXfs>
  <cellStyles count="3">
    <cellStyle name="Comma" xfId="2" builtinId="3"/>
    <cellStyle name="Normal" xfId="0" builtinId="0"/>
    <cellStyle name="Percent" xfId="1" builtinId="5"/>
  </cellStyles>
  <dxfs count="26"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  <numFmt numFmtId="3" formatCode="#,##0"/>
    </dxf>
    <dxf>
      <font>
        <color rgb="FFFF0000"/>
      </font>
      <numFmt numFmtId="3" formatCode="#,##0"/>
    </dxf>
    <dxf>
      <font>
        <color rgb="FFFF0000"/>
      </font>
      <numFmt numFmtId="3" formatCode="#,##0"/>
    </dxf>
    <dxf>
      <font>
        <color rgb="FFFF0000"/>
      </font>
    </dxf>
    <dxf>
      <font>
        <color rgb="FFFF0000"/>
      </font>
      <numFmt numFmtId="3" formatCode="#,##0"/>
    </dxf>
    <dxf>
      <font>
        <color rgb="FFFF0000"/>
      </font>
    </dxf>
    <dxf>
      <font>
        <color rgb="FFFF0000"/>
      </font>
      <numFmt numFmtId="3" formatCode="#,##0"/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  <numFmt numFmtId="3" formatCode="#,##0"/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  <numFmt numFmtId="3" formatCode="#,##0"/>
    </dxf>
    <dxf>
      <font>
        <color rgb="FFFF0000"/>
      </font>
      <numFmt numFmtId="3" formatCode="#,##0"/>
    </dxf>
    <dxf>
      <font>
        <color rgb="FFFF0000"/>
      </font>
      <numFmt numFmtId="3" formatCode="#,##0"/>
    </dxf>
    <dxf>
      <font>
        <color rgb="FFFF0000"/>
      </font>
    </dxf>
  </dxfs>
  <tableStyles count="0" defaultTableStyle="TableStyleMedium2" defaultPivotStyle="PivotStyleLight16"/>
  <colors>
    <mruColors>
      <color rgb="FFCF0000"/>
      <color rgb="FF090C28"/>
      <color rgb="FFCFB7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7"/>
  <sheetViews>
    <sheetView rightToLeft="1" workbookViewId="0">
      <pane xSplit="2" ySplit="3" topLeftCell="Q4" activePane="bottomRight" state="frozen"/>
      <selection pane="topRight" activeCell="C1" sqref="C1"/>
      <selection pane="bottomLeft" activeCell="A4" sqref="A4"/>
      <selection pane="bottomRight" activeCell="F25" sqref="F25"/>
    </sheetView>
  </sheetViews>
  <sheetFormatPr defaultColWidth="8.625" defaultRowHeight="18" x14ac:dyDescent="0.2"/>
  <cols>
    <col min="1" max="1" width="19.75" style="1" bestFit="1" customWidth="1"/>
    <col min="2" max="2" width="12" style="1" customWidth="1"/>
    <col min="3" max="3" width="14.125" style="1" customWidth="1"/>
    <col min="4" max="4" width="12.125" style="1" customWidth="1"/>
    <col min="5" max="5" width="13.75" style="1" bestFit="1" customWidth="1"/>
    <col min="6" max="6" width="20.75" style="1" bestFit="1" customWidth="1"/>
    <col min="7" max="7" width="20.25" style="1" bestFit="1" customWidth="1"/>
    <col min="8" max="8" width="12.125" style="1" customWidth="1"/>
    <col min="9" max="9" width="25.625" style="1" bestFit="1" customWidth="1"/>
    <col min="10" max="10" width="16.125" style="1" customWidth="1"/>
    <col min="11" max="11" width="17.25" bestFit="1" customWidth="1"/>
    <col min="12" max="12" width="26.875" bestFit="1" customWidth="1"/>
    <col min="13" max="13" width="23.25" bestFit="1" customWidth="1"/>
    <col min="14" max="14" width="37.375" bestFit="1" customWidth="1"/>
    <col min="15" max="15" width="21.375" bestFit="1" customWidth="1"/>
    <col min="16" max="16" width="42.875" bestFit="1" customWidth="1"/>
    <col min="17" max="17" width="13.25" bestFit="1" customWidth="1"/>
    <col min="18" max="18" width="33.625" bestFit="1" customWidth="1"/>
    <col min="19" max="19" width="33.375" customWidth="1"/>
    <col min="20" max="20" width="43.625" bestFit="1" customWidth="1"/>
    <col min="21" max="21" width="21.625" style="26" bestFit="1" customWidth="1"/>
    <col min="22" max="22" width="8.875" style="1" bestFit="1" customWidth="1"/>
    <col min="23" max="23" width="11.25" style="1" bestFit="1" customWidth="1"/>
    <col min="24" max="24" width="9.625" style="1" bestFit="1" customWidth="1"/>
    <col min="25" max="25" width="7.25" style="1" bestFit="1" customWidth="1"/>
    <col min="26" max="16384" width="8.625" style="1"/>
  </cols>
  <sheetData>
    <row r="1" spans="1:21" s="31" customFormat="1" ht="31.5" customHeight="1" x14ac:dyDescent="0.2">
      <c r="A1" s="29" t="s">
        <v>20</v>
      </c>
      <c r="B1" s="29"/>
      <c r="C1" s="32">
        <v>1000000</v>
      </c>
      <c r="D1" s="32">
        <v>800000</v>
      </c>
      <c r="E1" s="32">
        <v>1000000</v>
      </c>
      <c r="F1" s="32">
        <v>400000</v>
      </c>
      <c r="G1" s="30"/>
      <c r="H1" s="32">
        <v>335000</v>
      </c>
      <c r="I1" s="32">
        <v>500000</v>
      </c>
      <c r="J1" s="32">
        <v>600000</v>
      </c>
      <c r="K1" s="32">
        <v>600000</v>
      </c>
      <c r="L1" s="32">
        <v>400000</v>
      </c>
      <c r="M1" s="32">
        <v>300000</v>
      </c>
      <c r="N1" s="32">
        <v>475000</v>
      </c>
      <c r="O1" s="32">
        <v>500000</v>
      </c>
      <c r="P1" s="30" t="s">
        <v>21</v>
      </c>
      <c r="Q1" s="32">
        <v>600000</v>
      </c>
      <c r="R1" s="32">
        <v>500000</v>
      </c>
      <c r="S1" s="32">
        <v>500000</v>
      </c>
      <c r="T1" s="32">
        <v>500000</v>
      </c>
      <c r="U1" s="30"/>
    </row>
    <row r="2" spans="1:21" ht="21" customHeight="1" thickBot="1" x14ac:dyDescent="0.25">
      <c r="A2" s="44"/>
      <c r="B2" s="12"/>
      <c r="C2" s="11" t="s">
        <v>1</v>
      </c>
      <c r="D2" s="9" t="s">
        <v>2</v>
      </c>
      <c r="E2" s="9" t="s">
        <v>0</v>
      </c>
      <c r="F2" s="9" t="s">
        <v>3</v>
      </c>
      <c r="G2" s="9" t="s">
        <v>4</v>
      </c>
      <c r="H2" s="9" t="s">
        <v>5</v>
      </c>
      <c r="I2" s="9" t="s">
        <v>6</v>
      </c>
      <c r="J2" s="10" t="s">
        <v>7</v>
      </c>
      <c r="K2" s="10" t="s">
        <v>8</v>
      </c>
      <c r="L2" s="10" t="s">
        <v>9</v>
      </c>
      <c r="M2" s="10" t="s">
        <v>10</v>
      </c>
      <c r="N2" s="10" t="s">
        <v>11</v>
      </c>
      <c r="O2" s="10" t="s">
        <v>12</v>
      </c>
      <c r="P2" s="10" t="s">
        <v>13</v>
      </c>
      <c r="Q2" s="10" t="s">
        <v>14</v>
      </c>
      <c r="R2" s="10" t="s">
        <v>15</v>
      </c>
      <c r="S2" s="10" t="s">
        <v>16</v>
      </c>
      <c r="T2" s="10" t="s">
        <v>17</v>
      </c>
      <c r="U2" s="27" t="s">
        <v>19</v>
      </c>
    </row>
    <row r="3" spans="1:21" ht="58.5" customHeight="1" x14ac:dyDescent="0.2">
      <c r="A3" s="45"/>
      <c r="B3" s="12"/>
      <c r="C3" s="33"/>
      <c r="D3" s="33" t="s">
        <v>22</v>
      </c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17"/>
      <c r="R3" s="17"/>
      <c r="S3" s="17"/>
      <c r="T3" s="17" t="s">
        <v>45</v>
      </c>
      <c r="U3" s="27"/>
    </row>
    <row r="4" spans="1:21" ht="21" customHeight="1" x14ac:dyDescent="0.2">
      <c r="A4" s="46"/>
      <c r="B4" s="14" t="s">
        <v>23</v>
      </c>
      <c r="C4" s="39">
        <v>15000</v>
      </c>
      <c r="D4" s="16"/>
      <c r="E4" s="35">
        <v>150000</v>
      </c>
      <c r="F4" s="7">
        <v>-109406</v>
      </c>
      <c r="G4" s="16"/>
      <c r="H4" s="34"/>
      <c r="I4" s="35">
        <v>4500</v>
      </c>
      <c r="J4" s="17"/>
      <c r="K4" s="41">
        <v>6700</v>
      </c>
      <c r="L4" s="41">
        <v>7000</v>
      </c>
      <c r="M4" s="33"/>
      <c r="N4" s="41">
        <v>7000</v>
      </c>
      <c r="O4" s="33"/>
      <c r="P4" s="41">
        <v>7800</v>
      </c>
      <c r="Q4" s="17"/>
      <c r="R4" s="41">
        <v>9000</v>
      </c>
      <c r="S4" s="41">
        <v>10600</v>
      </c>
      <c r="T4" s="41">
        <v>4500</v>
      </c>
      <c r="U4" s="28">
        <f>SUM(C4:T4)</f>
        <v>112694</v>
      </c>
    </row>
    <row r="5" spans="1:21" ht="21" customHeight="1" x14ac:dyDescent="0.2">
      <c r="A5" s="46"/>
      <c r="B5" s="14" t="s">
        <v>24</v>
      </c>
      <c r="C5" s="39">
        <v>15000</v>
      </c>
      <c r="D5" s="16"/>
      <c r="E5" s="36"/>
      <c r="F5" s="35">
        <v>20000</v>
      </c>
      <c r="G5" s="16"/>
      <c r="H5" s="34"/>
      <c r="I5" s="35">
        <v>4500</v>
      </c>
      <c r="J5" s="41">
        <v>80000</v>
      </c>
      <c r="K5" s="41">
        <v>6700</v>
      </c>
      <c r="L5" s="41">
        <v>7000</v>
      </c>
      <c r="M5" s="33"/>
      <c r="N5" s="41">
        <v>7000</v>
      </c>
      <c r="O5" s="41">
        <v>1500</v>
      </c>
      <c r="P5" s="41">
        <v>7800</v>
      </c>
      <c r="Q5" s="41">
        <v>12000</v>
      </c>
      <c r="R5" s="41">
        <v>9000</v>
      </c>
      <c r="S5" s="41">
        <v>10600</v>
      </c>
      <c r="T5" s="41">
        <v>4500</v>
      </c>
      <c r="U5" s="28">
        <f t="shared" ref="U5:U24" si="0">SUM(C5:T5)</f>
        <v>185600</v>
      </c>
    </row>
    <row r="6" spans="1:21" ht="21" customHeight="1" x14ac:dyDescent="0.2">
      <c r="A6" s="46"/>
      <c r="B6" s="14" t="s">
        <v>25</v>
      </c>
      <c r="C6" s="39">
        <v>15000</v>
      </c>
      <c r="D6" s="16"/>
      <c r="E6" s="36"/>
      <c r="F6" s="16"/>
      <c r="G6" s="16"/>
      <c r="H6" s="34"/>
      <c r="I6" s="35">
        <v>4500</v>
      </c>
      <c r="J6" s="36"/>
      <c r="K6" s="41">
        <v>6700</v>
      </c>
      <c r="L6" s="41">
        <v>7000</v>
      </c>
      <c r="M6" s="41">
        <v>900</v>
      </c>
      <c r="N6" s="41">
        <v>7000</v>
      </c>
      <c r="O6" s="41">
        <v>1500</v>
      </c>
      <c r="P6" s="41">
        <v>750000</v>
      </c>
      <c r="Q6" s="41">
        <v>12000</v>
      </c>
      <c r="R6" s="41">
        <v>9000</v>
      </c>
      <c r="S6" s="41">
        <v>10600</v>
      </c>
      <c r="T6" s="41">
        <v>4500</v>
      </c>
      <c r="U6" s="28">
        <f t="shared" si="0"/>
        <v>828700</v>
      </c>
    </row>
    <row r="7" spans="1:21" ht="21" customHeight="1" x14ac:dyDescent="0.2">
      <c r="A7" s="46"/>
      <c r="B7" s="14" t="s">
        <v>26</v>
      </c>
      <c r="C7" s="39">
        <v>15000</v>
      </c>
      <c r="D7" s="16"/>
      <c r="E7" s="37"/>
      <c r="F7" s="35">
        <v>20000</v>
      </c>
      <c r="G7" s="16"/>
      <c r="H7" s="34">
        <v>-70000</v>
      </c>
      <c r="I7" s="34">
        <v>-120500</v>
      </c>
      <c r="J7" s="41">
        <v>80000</v>
      </c>
      <c r="K7" s="41">
        <v>6700</v>
      </c>
      <c r="L7" s="41">
        <v>470000</v>
      </c>
      <c r="M7" s="41">
        <v>900</v>
      </c>
      <c r="N7" s="41">
        <v>7000</v>
      </c>
      <c r="O7" s="41">
        <v>3000</v>
      </c>
      <c r="P7" s="17"/>
      <c r="Q7" s="41">
        <v>12000</v>
      </c>
      <c r="R7" s="41">
        <v>9000</v>
      </c>
      <c r="S7" s="41">
        <v>650000</v>
      </c>
      <c r="T7" s="41">
        <v>4500</v>
      </c>
      <c r="U7" s="28">
        <f t="shared" si="0"/>
        <v>1087600</v>
      </c>
    </row>
    <row r="8" spans="1:21" ht="21" customHeight="1" x14ac:dyDescent="0.2">
      <c r="A8" s="46"/>
      <c r="B8" s="14" t="s">
        <v>27</v>
      </c>
      <c r="C8" s="39">
        <v>15000</v>
      </c>
      <c r="D8" s="16"/>
      <c r="E8" s="36"/>
      <c r="F8" s="16"/>
      <c r="G8" s="16"/>
      <c r="H8" s="34"/>
      <c r="I8" s="35">
        <v>7000</v>
      </c>
      <c r="J8" s="42"/>
      <c r="K8" s="41">
        <v>6700</v>
      </c>
      <c r="L8" s="41"/>
      <c r="M8" s="41">
        <v>1800</v>
      </c>
      <c r="N8" s="41">
        <v>7000</v>
      </c>
      <c r="O8" s="41">
        <v>3000</v>
      </c>
      <c r="P8" s="21"/>
      <c r="Q8" s="41">
        <v>12000</v>
      </c>
      <c r="R8" s="41">
        <v>9000</v>
      </c>
      <c r="S8" s="17"/>
      <c r="T8" s="41">
        <v>4500</v>
      </c>
      <c r="U8" s="28">
        <f t="shared" si="0"/>
        <v>66000</v>
      </c>
    </row>
    <row r="9" spans="1:21" ht="21" customHeight="1" x14ac:dyDescent="0.2">
      <c r="A9" s="46"/>
      <c r="B9" s="14" t="s">
        <v>28</v>
      </c>
      <c r="C9" s="39">
        <v>15000</v>
      </c>
      <c r="D9" s="16"/>
      <c r="E9" s="35">
        <v>250000</v>
      </c>
      <c r="F9" s="35">
        <v>20000</v>
      </c>
      <c r="G9" s="16"/>
      <c r="H9" s="34"/>
      <c r="I9" s="35">
        <v>7000</v>
      </c>
      <c r="J9" s="41">
        <v>80000</v>
      </c>
      <c r="K9" s="41">
        <v>6700</v>
      </c>
      <c r="L9" s="41"/>
      <c r="M9" s="41">
        <v>1800</v>
      </c>
      <c r="N9" s="41">
        <v>7000</v>
      </c>
      <c r="O9" s="41">
        <v>3000</v>
      </c>
      <c r="P9" s="17"/>
      <c r="Q9" s="41">
        <v>12000</v>
      </c>
      <c r="R9" s="41">
        <v>9000</v>
      </c>
      <c r="S9" s="17"/>
      <c r="T9" s="41">
        <v>320000</v>
      </c>
      <c r="U9" s="28">
        <f t="shared" si="0"/>
        <v>731500</v>
      </c>
    </row>
    <row r="10" spans="1:21" ht="21" customHeight="1" x14ac:dyDescent="0.2">
      <c r="A10" s="46"/>
      <c r="B10" s="14" t="s">
        <v>29</v>
      </c>
      <c r="C10" s="39">
        <v>15000</v>
      </c>
      <c r="D10" s="16"/>
      <c r="E10" s="36"/>
      <c r="F10" s="16"/>
      <c r="G10" s="16"/>
      <c r="H10" s="34"/>
      <c r="I10" s="35">
        <v>7000</v>
      </c>
      <c r="J10" s="39"/>
      <c r="K10" s="41">
        <v>6700</v>
      </c>
      <c r="L10" s="41"/>
      <c r="M10" s="41">
        <v>1800</v>
      </c>
      <c r="N10" s="41">
        <v>7000</v>
      </c>
      <c r="O10" s="41">
        <v>4500</v>
      </c>
      <c r="P10" s="17"/>
      <c r="Q10" s="41">
        <v>12000</v>
      </c>
      <c r="R10" s="41">
        <v>9000</v>
      </c>
      <c r="S10" s="17"/>
      <c r="T10" s="17"/>
      <c r="U10" s="28">
        <f t="shared" si="0"/>
        <v>63000</v>
      </c>
    </row>
    <row r="11" spans="1:21" ht="21" customHeight="1" x14ac:dyDescent="0.2">
      <c r="A11" s="46"/>
      <c r="B11" s="14" t="s">
        <v>30</v>
      </c>
      <c r="C11" s="39">
        <v>15000</v>
      </c>
      <c r="D11" s="16"/>
      <c r="E11" s="36"/>
      <c r="F11" s="35">
        <v>20000</v>
      </c>
      <c r="G11" s="16"/>
      <c r="H11" s="34">
        <v>-70000</v>
      </c>
      <c r="I11" s="34">
        <v>-118000</v>
      </c>
      <c r="J11" s="41">
        <v>80000</v>
      </c>
      <c r="K11" s="41">
        <v>6700</v>
      </c>
      <c r="L11" s="41"/>
      <c r="M11" s="41">
        <v>2700</v>
      </c>
      <c r="N11" s="41">
        <v>7000</v>
      </c>
      <c r="O11" s="41">
        <v>404500</v>
      </c>
      <c r="P11" s="17"/>
      <c r="Q11" s="41">
        <v>900000</v>
      </c>
      <c r="R11" s="41">
        <v>600000</v>
      </c>
      <c r="S11" s="17"/>
      <c r="T11" s="17"/>
      <c r="U11" s="28">
        <f t="shared" si="0"/>
        <v>1847900</v>
      </c>
    </row>
    <row r="12" spans="1:21" ht="21" customHeight="1" x14ac:dyDescent="0.2">
      <c r="A12" s="46"/>
      <c r="B12" s="14" t="s">
        <v>31</v>
      </c>
      <c r="C12" s="39">
        <v>15000</v>
      </c>
      <c r="D12" s="16"/>
      <c r="E12" s="36"/>
      <c r="F12" s="7"/>
      <c r="G12" s="16"/>
      <c r="H12" s="34"/>
      <c r="I12" s="35">
        <v>9300</v>
      </c>
      <c r="J12" s="39"/>
      <c r="K12" s="41">
        <v>710000</v>
      </c>
      <c r="L12" s="41"/>
      <c r="M12" s="41">
        <v>302700</v>
      </c>
      <c r="N12" s="41">
        <v>7000</v>
      </c>
      <c r="O12" s="33"/>
      <c r="P12" s="17"/>
      <c r="Q12" s="17"/>
      <c r="R12" s="17"/>
      <c r="S12" s="17"/>
      <c r="T12" s="17"/>
      <c r="U12" s="28">
        <f t="shared" si="0"/>
        <v>1044000</v>
      </c>
    </row>
    <row r="13" spans="1:21" ht="21" customHeight="1" x14ac:dyDescent="0.2">
      <c r="A13" s="46"/>
      <c r="B13" s="14" t="s">
        <v>32</v>
      </c>
      <c r="C13" s="39">
        <v>15000</v>
      </c>
      <c r="D13" s="16"/>
      <c r="E13" s="38">
        <v>350000</v>
      </c>
      <c r="F13" s="38">
        <v>400000</v>
      </c>
      <c r="G13" s="16"/>
      <c r="H13" s="34"/>
      <c r="I13" s="35">
        <v>9300</v>
      </c>
      <c r="J13" s="41">
        <v>80000</v>
      </c>
      <c r="K13" s="41"/>
      <c r="L13" s="41"/>
      <c r="M13" s="33"/>
      <c r="N13" s="41">
        <v>575000</v>
      </c>
      <c r="O13" s="33"/>
      <c r="P13" s="17"/>
      <c r="Q13" s="17"/>
      <c r="R13" s="17"/>
      <c r="S13" s="17"/>
      <c r="T13" s="17"/>
      <c r="U13" s="28">
        <f t="shared" si="0"/>
        <v>1429300</v>
      </c>
    </row>
    <row r="14" spans="1:21" ht="21" customHeight="1" x14ac:dyDescent="0.2">
      <c r="A14" s="46"/>
      <c r="B14" s="14" t="s">
        <v>33</v>
      </c>
      <c r="C14" s="39">
        <v>15000</v>
      </c>
      <c r="D14" s="16"/>
      <c r="E14" s="36"/>
      <c r="F14" s="7"/>
      <c r="G14" s="16"/>
      <c r="H14" s="34"/>
      <c r="I14" s="35">
        <v>9300</v>
      </c>
      <c r="J14" s="7"/>
      <c r="K14" s="41"/>
      <c r="L14" s="41"/>
      <c r="M14" s="33"/>
      <c r="N14" s="33"/>
      <c r="O14" s="33"/>
      <c r="P14" s="17"/>
      <c r="Q14" s="17"/>
      <c r="R14" s="17"/>
      <c r="S14" s="17"/>
      <c r="T14" s="17"/>
      <c r="U14" s="28">
        <f t="shared" si="0"/>
        <v>24300</v>
      </c>
    </row>
    <row r="15" spans="1:21" ht="21" customHeight="1" x14ac:dyDescent="0.2">
      <c r="A15" s="46"/>
      <c r="B15" s="14" t="s">
        <v>34</v>
      </c>
      <c r="C15" s="39">
        <v>15000</v>
      </c>
      <c r="D15" s="16"/>
      <c r="E15" s="36"/>
      <c r="F15" s="16"/>
      <c r="G15" s="16"/>
      <c r="H15" s="34">
        <v>-70000</v>
      </c>
      <c r="I15" s="35">
        <v>500000</v>
      </c>
      <c r="J15" s="7"/>
      <c r="K15" s="41"/>
      <c r="L15" s="41"/>
      <c r="M15" s="33"/>
      <c r="N15" s="33"/>
      <c r="O15" s="33"/>
      <c r="P15" s="17"/>
      <c r="Q15" s="17"/>
      <c r="R15" s="17"/>
      <c r="S15" s="17"/>
      <c r="T15" s="17"/>
      <c r="U15" s="28">
        <f t="shared" si="0"/>
        <v>445000</v>
      </c>
    </row>
    <row r="16" spans="1:21" ht="21" customHeight="1" x14ac:dyDescent="0.2">
      <c r="A16" s="46"/>
      <c r="B16" s="14" t="s">
        <v>35</v>
      </c>
      <c r="C16" s="39">
        <v>15000</v>
      </c>
      <c r="D16" s="16"/>
      <c r="E16" s="36"/>
      <c r="F16" s="16"/>
      <c r="G16" s="16"/>
      <c r="H16" s="34"/>
      <c r="I16" s="16"/>
      <c r="J16" s="7"/>
      <c r="K16" s="41"/>
      <c r="L16" s="41"/>
      <c r="M16" s="33"/>
      <c r="N16" s="33"/>
      <c r="O16" s="33"/>
      <c r="P16" s="17"/>
      <c r="Q16" s="17"/>
      <c r="R16" s="17"/>
      <c r="S16" s="17"/>
      <c r="T16" s="17"/>
      <c r="U16" s="28">
        <f t="shared" si="0"/>
        <v>15000</v>
      </c>
    </row>
    <row r="17" spans="1:21" ht="21" customHeight="1" x14ac:dyDescent="0.2">
      <c r="A17" s="46"/>
      <c r="B17" s="14" t="s">
        <v>36</v>
      </c>
      <c r="C17" s="7"/>
      <c r="D17" s="16"/>
      <c r="E17" s="38">
        <v>350000</v>
      </c>
      <c r="F17" s="16"/>
      <c r="G17" s="16"/>
      <c r="H17" s="34"/>
      <c r="I17" s="16"/>
      <c r="J17" s="7"/>
      <c r="K17" s="41"/>
      <c r="L17" s="41"/>
      <c r="M17" s="33"/>
      <c r="N17" s="33"/>
      <c r="O17" s="33"/>
      <c r="P17" s="17"/>
      <c r="Q17" s="17"/>
      <c r="R17" s="17"/>
      <c r="S17" s="17"/>
      <c r="T17" s="17"/>
      <c r="U17" s="28">
        <f t="shared" si="0"/>
        <v>350000</v>
      </c>
    </row>
    <row r="18" spans="1:21" ht="21" customHeight="1" x14ac:dyDescent="0.2">
      <c r="A18" s="46"/>
      <c r="B18" s="14" t="s">
        <v>37</v>
      </c>
      <c r="C18" s="15"/>
      <c r="D18" s="16"/>
      <c r="E18" s="36"/>
      <c r="F18" s="16"/>
      <c r="G18" s="16"/>
      <c r="H18" s="34"/>
      <c r="I18" s="16"/>
      <c r="J18" s="7"/>
      <c r="K18" s="41"/>
      <c r="L18" s="41"/>
      <c r="M18" s="33"/>
      <c r="N18" s="33"/>
      <c r="O18" s="33"/>
      <c r="P18" s="17"/>
      <c r="Q18" s="17"/>
      <c r="R18" s="17"/>
      <c r="S18" s="17"/>
      <c r="T18" s="17"/>
      <c r="U18" s="28">
        <f t="shared" si="0"/>
        <v>0</v>
      </c>
    </row>
    <row r="19" spans="1:21" ht="21" customHeight="1" x14ac:dyDescent="0.2">
      <c r="A19" s="46"/>
      <c r="B19" s="14" t="s">
        <v>38</v>
      </c>
      <c r="C19" s="15"/>
      <c r="D19" s="7"/>
      <c r="E19" s="37"/>
      <c r="F19" s="16"/>
      <c r="G19" s="16"/>
      <c r="H19" s="34">
        <v>-70000</v>
      </c>
      <c r="I19" s="16"/>
      <c r="J19" s="7"/>
      <c r="K19" s="41"/>
      <c r="L19" s="41"/>
      <c r="M19" s="33"/>
      <c r="N19" s="33"/>
      <c r="O19" s="33"/>
      <c r="P19" s="17"/>
      <c r="Q19" s="17"/>
      <c r="R19" s="17"/>
      <c r="S19" s="17"/>
      <c r="T19" s="17"/>
      <c r="U19" s="28">
        <f t="shared" si="0"/>
        <v>-70000</v>
      </c>
    </row>
    <row r="20" spans="1:21" ht="21" customHeight="1" x14ac:dyDescent="0.2">
      <c r="A20" s="46"/>
      <c r="B20" s="14" t="s">
        <v>39</v>
      </c>
      <c r="C20" s="7"/>
      <c r="D20" s="7"/>
      <c r="E20" s="7"/>
      <c r="F20" s="16"/>
      <c r="G20" s="16"/>
      <c r="H20" s="16"/>
      <c r="I20" s="16"/>
      <c r="J20" s="7"/>
      <c r="K20" s="17"/>
      <c r="L20" s="17"/>
      <c r="M20" s="33"/>
      <c r="N20" s="33"/>
      <c r="O20" s="33"/>
      <c r="P20" s="17"/>
      <c r="Q20" s="17"/>
      <c r="R20" s="17"/>
      <c r="S20" s="17"/>
      <c r="T20" s="17"/>
      <c r="U20" s="28">
        <f t="shared" si="0"/>
        <v>0</v>
      </c>
    </row>
    <row r="21" spans="1:21" ht="21" customHeight="1" x14ac:dyDescent="0.2">
      <c r="A21" s="46"/>
      <c r="B21" s="14" t="s">
        <v>40</v>
      </c>
      <c r="C21" s="15"/>
      <c r="D21" s="7"/>
      <c r="E21" s="7"/>
      <c r="F21" s="16"/>
      <c r="G21" s="16"/>
      <c r="H21" s="16"/>
      <c r="I21" s="16"/>
      <c r="J21" s="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28">
        <f t="shared" si="0"/>
        <v>0</v>
      </c>
    </row>
    <row r="22" spans="1:21" ht="21" customHeight="1" x14ac:dyDescent="0.2">
      <c r="A22" s="46"/>
      <c r="B22" s="14" t="s">
        <v>41</v>
      </c>
      <c r="C22" s="15"/>
      <c r="D22" s="7"/>
      <c r="E22" s="7"/>
      <c r="F22" s="16"/>
      <c r="G22" s="16"/>
      <c r="H22" s="16"/>
      <c r="I22" s="16"/>
      <c r="J22" s="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28">
        <f t="shared" si="0"/>
        <v>0</v>
      </c>
    </row>
    <row r="23" spans="1:21" ht="21" customHeight="1" x14ac:dyDescent="0.2">
      <c r="A23" s="46"/>
      <c r="B23" s="14" t="s">
        <v>42</v>
      </c>
      <c r="C23" s="7"/>
      <c r="D23" s="7"/>
      <c r="E23" s="7"/>
      <c r="F23" s="16"/>
      <c r="G23" s="16"/>
      <c r="H23" s="16"/>
      <c r="I23" s="16"/>
      <c r="J23" s="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28">
        <f t="shared" si="0"/>
        <v>0</v>
      </c>
    </row>
    <row r="24" spans="1:21" ht="21" customHeight="1" thickBot="1" x14ac:dyDescent="0.25">
      <c r="A24" s="46"/>
      <c r="B24" s="14" t="s">
        <v>43</v>
      </c>
      <c r="C24" s="15"/>
      <c r="D24" s="7"/>
      <c r="E24" s="7"/>
      <c r="F24" s="16"/>
      <c r="G24" s="16"/>
      <c r="H24" s="16"/>
      <c r="I24" s="16"/>
      <c r="J24" s="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28">
        <f t="shared" si="0"/>
        <v>0</v>
      </c>
    </row>
    <row r="25" spans="1:21" s="26" customFormat="1" ht="21" customHeight="1" thickBot="1" x14ac:dyDescent="0.25">
      <c r="A25" s="40"/>
      <c r="B25" s="23" t="s">
        <v>44</v>
      </c>
      <c r="C25" s="43">
        <f t="shared" ref="C25:T25" si="1">SUM(C4:C24)</f>
        <v>195000</v>
      </c>
      <c r="D25" s="24">
        <f t="shared" si="1"/>
        <v>0</v>
      </c>
      <c r="E25" s="43">
        <f t="shared" si="1"/>
        <v>1100000</v>
      </c>
      <c r="F25" s="43">
        <f t="shared" si="1"/>
        <v>370594</v>
      </c>
      <c r="G25" s="24">
        <f t="shared" si="1"/>
        <v>0</v>
      </c>
      <c r="H25" s="24">
        <f t="shared" si="1"/>
        <v>-280000</v>
      </c>
      <c r="I25" s="43">
        <f t="shared" si="1"/>
        <v>323900</v>
      </c>
      <c r="J25" s="43">
        <f t="shared" si="1"/>
        <v>400000</v>
      </c>
      <c r="K25" s="43">
        <f t="shared" si="1"/>
        <v>763600</v>
      </c>
      <c r="L25" s="43">
        <f t="shared" si="1"/>
        <v>491000</v>
      </c>
      <c r="M25" s="43">
        <f t="shared" si="1"/>
        <v>312600</v>
      </c>
      <c r="N25" s="43">
        <f t="shared" si="1"/>
        <v>638000</v>
      </c>
      <c r="O25" s="43">
        <f t="shared" si="1"/>
        <v>421000</v>
      </c>
      <c r="P25" s="43">
        <f t="shared" si="1"/>
        <v>765600</v>
      </c>
      <c r="Q25" s="43">
        <f t="shared" si="1"/>
        <v>972000</v>
      </c>
      <c r="R25" s="43">
        <f t="shared" si="1"/>
        <v>663000</v>
      </c>
      <c r="S25" s="43">
        <f t="shared" si="1"/>
        <v>681800</v>
      </c>
      <c r="T25" s="43">
        <f t="shared" si="1"/>
        <v>342500</v>
      </c>
      <c r="U25" s="25"/>
    </row>
    <row r="26" spans="1:21" x14ac:dyDescent="0.2">
      <c r="A26" s="40"/>
    </row>
    <row r="27" spans="1:21" x14ac:dyDescent="0.2">
      <c r="A27" s="40"/>
    </row>
  </sheetData>
  <mergeCells count="1">
    <mergeCell ref="A2:A24"/>
  </mergeCells>
  <conditionalFormatting sqref="K26:K1048576 K1:K2 K2:T2 Q3:T3 K21:U24 K4:L20 P12:U20 Q4 P7:P11 S10:U11 U4:U9 S8:S9">
    <cfRule type="cellIs" dxfId="25" priority="19" operator="lessThan">
      <formula>0</formula>
    </cfRule>
  </conditionalFormatting>
  <conditionalFormatting sqref="P25:T25">
    <cfRule type="cellIs" dxfId="24" priority="16" operator="lessThan">
      <formula>0</formula>
    </cfRule>
  </conditionalFormatting>
  <conditionalFormatting sqref="G25:L25">
    <cfRule type="cellIs" dxfId="23" priority="15" operator="lessThan">
      <formula>0</formula>
    </cfRule>
  </conditionalFormatting>
  <conditionalFormatting sqref="C25:E25">
    <cfRule type="cellIs" dxfId="22" priority="14" operator="lessThan">
      <formula>0</formula>
    </cfRule>
  </conditionalFormatting>
  <conditionalFormatting sqref="O5:O11">
    <cfRule type="cellIs" dxfId="21" priority="13" operator="lessThan">
      <formula>0</formula>
    </cfRule>
  </conditionalFormatting>
  <conditionalFormatting sqref="M6:M12">
    <cfRule type="cellIs" dxfId="20" priority="12" operator="lessThan">
      <formula>0</formula>
    </cfRule>
  </conditionalFormatting>
  <conditionalFormatting sqref="N4:N12">
    <cfRule type="cellIs" dxfId="19" priority="11" operator="lessThan">
      <formula>0</formula>
    </cfRule>
  </conditionalFormatting>
  <conditionalFormatting sqref="N13">
    <cfRule type="cellIs" dxfId="18" priority="10" operator="lessThan">
      <formula>0</formula>
    </cfRule>
  </conditionalFormatting>
  <conditionalFormatting sqref="M25:O25">
    <cfRule type="cellIs" dxfId="17" priority="9" operator="lessThan">
      <formula>0</formula>
    </cfRule>
  </conditionalFormatting>
  <conditionalFormatting sqref="P4:P6">
    <cfRule type="cellIs" dxfId="16" priority="8" operator="lessThan">
      <formula>0</formula>
    </cfRule>
  </conditionalFormatting>
  <conditionalFormatting sqref="Q5:Q10">
    <cfRule type="cellIs" dxfId="15" priority="7" operator="lessThan">
      <formula>0</formula>
    </cfRule>
  </conditionalFormatting>
  <conditionalFormatting sqref="Q11">
    <cfRule type="cellIs" dxfId="14" priority="6" operator="lessThan">
      <formula>0</formula>
    </cfRule>
  </conditionalFormatting>
  <conditionalFormatting sqref="R4:R10">
    <cfRule type="cellIs" dxfId="13" priority="5" operator="lessThan">
      <formula>0</formula>
    </cfRule>
  </conditionalFormatting>
  <conditionalFormatting sqref="R11">
    <cfRule type="cellIs" dxfId="12" priority="4" operator="lessThan">
      <formula>0</formula>
    </cfRule>
  </conditionalFormatting>
  <conditionalFormatting sqref="T4:T9">
    <cfRule type="cellIs" dxfId="11" priority="3" operator="lessThan">
      <formula>0</formula>
    </cfRule>
  </conditionalFormatting>
  <conditionalFormatting sqref="S4:S7">
    <cfRule type="cellIs" dxfId="10" priority="2" operator="lessThan">
      <formula>0</formula>
    </cfRule>
  </conditionalFormatting>
  <conditionalFormatting sqref="F25">
    <cfRule type="cellIs" dxfId="9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5"/>
  <sheetViews>
    <sheetView rightToLeft="1" tabSelected="1" zoomScale="90" zoomScaleNormal="90" workbookViewId="0">
      <pane xSplit="2" ySplit="2" topLeftCell="I21" activePane="bottomRight" state="frozen"/>
      <selection pane="topRight" activeCell="C1" sqref="C1"/>
      <selection pane="bottomLeft" activeCell="A3" sqref="A3"/>
      <selection pane="bottomRight" activeCell="I48" sqref="I48"/>
    </sheetView>
  </sheetViews>
  <sheetFormatPr defaultColWidth="8.625" defaultRowHeight="18" x14ac:dyDescent="0.2"/>
  <cols>
    <col min="1" max="1" width="19.75" style="1" bestFit="1" customWidth="1"/>
    <col min="2" max="2" width="12" style="1" customWidth="1"/>
    <col min="3" max="3" width="14.125" style="1" customWidth="1"/>
    <col min="4" max="4" width="12.125" style="1" customWidth="1"/>
    <col min="5" max="5" width="13.75" style="1" bestFit="1" customWidth="1"/>
    <col min="6" max="6" width="20.75" style="1" bestFit="1" customWidth="1"/>
    <col min="7" max="7" width="20.25" style="1" bestFit="1" customWidth="1"/>
    <col min="8" max="8" width="12.125" style="1" customWidth="1"/>
    <col min="9" max="9" width="25.625" style="1" bestFit="1" customWidth="1"/>
    <col min="10" max="10" width="16.125" style="1" customWidth="1"/>
    <col min="11" max="11" width="17.25" bestFit="1" customWidth="1"/>
    <col min="12" max="12" width="26.875" bestFit="1" customWidth="1"/>
    <col min="13" max="13" width="23.25" bestFit="1" customWidth="1"/>
    <col min="14" max="14" width="37.375" bestFit="1" customWidth="1"/>
    <col min="15" max="15" width="21.375" bestFit="1" customWidth="1"/>
    <col min="16" max="16" width="42.875" bestFit="1" customWidth="1"/>
    <col min="17" max="17" width="13.25" bestFit="1" customWidth="1"/>
    <col min="18" max="18" width="33.625" bestFit="1" customWidth="1"/>
    <col min="19" max="19" width="33.375" customWidth="1"/>
    <col min="20" max="20" width="43.625" bestFit="1" customWidth="1"/>
    <col min="21" max="21" width="21.625" style="26" bestFit="1" customWidth="1"/>
    <col min="22" max="22" width="8.875" style="1" bestFit="1" customWidth="1"/>
    <col min="23" max="23" width="11.25" style="1" bestFit="1" customWidth="1"/>
    <col min="24" max="24" width="9.625" style="1" bestFit="1" customWidth="1"/>
    <col min="25" max="25" width="7.25" style="1" bestFit="1" customWidth="1"/>
    <col min="26" max="16384" width="8.625" style="1"/>
  </cols>
  <sheetData>
    <row r="1" spans="1:21" s="31" customFormat="1" ht="31.5" customHeight="1" x14ac:dyDescent="0.2">
      <c r="A1" s="29" t="s">
        <v>20</v>
      </c>
      <c r="B1" s="29"/>
      <c r="C1" s="32">
        <v>1000000</v>
      </c>
      <c r="D1" s="32">
        <v>800000</v>
      </c>
      <c r="E1" s="32">
        <v>1000000</v>
      </c>
      <c r="F1" s="32">
        <v>400000</v>
      </c>
      <c r="G1" s="30"/>
      <c r="H1" s="32">
        <v>335000</v>
      </c>
      <c r="I1" s="32">
        <v>500000</v>
      </c>
      <c r="J1" s="32">
        <v>600000</v>
      </c>
      <c r="K1" s="32">
        <v>600000</v>
      </c>
      <c r="L1" s="32">
        <v>400000</v>
      </c>
      <c r="M1" s="32">
        <v>300000</v>
      </c>
      <c r="N1" s="32">
        <v>475000</v>
      </c>
      <c r="O1" s="32">
        <v>500000</v>
      </c>
      <c r="P1" s="30" t="s">
        <v>21</v>
      </c>
      <c r="Q1" s="32">
        <v>600000</v>
      </c>
      <c r="R1" s="32">
        <v>500000</v>
      </c>
      <c r="S1" s="32">
        <v>500000</v>
      </c>
      <c r="T1" s="32">
        <v>500000</v>
      </c>
      <c r="U1" s="30"/>
    </row>
    <row r="2" spans="1:21" ht="21" customHeight="1" thickBot="1" x14ac:dyDescent="0.25">
      <c r="A2" s="44"/>
      <c r="B2" s="12"/>
      <c r="C2" s="11" t="s">
        <v>1</v>
      </c>
      <c r="D2" s="9" t="s">
        <v>2</v>
      </c>
      <c r="E2" s="9" t="s">
        <v>0</v>
      </c>
      <c r="F2" s="9" t="s">
        <v>3</v>
      </c>
      <c r="G2" s="9" t="s">
        <v>4</v>
      </c>
      <c r="H2" s="9" t="s">
        <v>5</v>
      </c>
      <c r="I2" s="9" t="s">
        <v>6</v>
      </c>
      <c r="J2" s="10" t="s">
        <v>7</v>
      </c>
      <c r="K2" s="10" t="s">
        <v>8</v>
      </c>
      <c r="L2" s="10" t="s">
        <v>9</v>
      </c>
      <c r="M2" s="10" t="s">
        <v>10</v>
      </c>
      <c r="N2" s="10" t="s">
        <v>11</v>
      </c>
      <c r="O2" s="10" t="s">
        <v>12</v>
      </c>
      <c r="P2" s="10" t="s">
        <v>13</v>
      </c>
      <c r="Q2" s="10" t="s">
        <v>14</v>
      </c>
      <c r="R2" s="10" t="s">
        <v>15</v>
      </c>
      <c r="S2" s="10" t="s">
        <v>16</v>
      </c>
      <c r="T2" s="10" t="s">
        <v>17</v>
      </c>
      <c r="U2" s="27" t="s">
        <v>19</v>
      </c>
    </row>
    <row r="3" spans="1:21" ht="21" customHeight="1" thickBot="1" x14ac:dyDescent="0.25">
      <c r="A3" s="46"/>
      <c r="B3" s="14">
        <v>43556</v>
      </c>
      <c r="C3" s="15"/>
      <c r="D3" s="16"/>
      <c r="E3" s="16"/>
      <c r="F3" s="7">
        <v>-133333</v>
      </c>
      <c r="G3" s="16"/>
      <c r="H3" s="16"/>
      <c r="I3" s="16"/>
      <c r="J3" s="7">
        <v>-540000</v>
      </c>
      <c r="K3" s="17"/>
      <c r="L3" s="17"/>
      <c r="M3" s="17"/>
      <c r="N3" s="17"/>
      <c r="O3" s="17"/>
      <c r="P3" s="17"/>
      <c r="Q3" s="17"/>
      <c r="R3" s="17"/>
      <c r="S3" s="17"/>
      <c r="T3" s="17"/>
      <c r="U3" s="28">
        <f>SUM(C3:T3)</f>
        <v>-673333</v>
      </c>
    </row>
    <row r="4" spans="1:21" ht="21" customHeight="1" x14ac:dyDescent="0.2">
      <c r="A4" s="46"/>
      <c r="B4" s="13">
        <v>43586</v>
      </c>
      <c r="C4" s="15"/>
      <c r="D4" s="16"/>
      <c r="E4" s="16"/>
      <c r="F4" s="7">
        <v>10536</v>
      </c>
      <c r="G4" s="16"/>
      <c r="H4" s="16"/>
      <c r="I4" s="16"/>
      <c r="J4" s="17">
        <v>0</v>
      </c>
      <c r="K4" s="17"/>
      <c r="L4" s="17"/>
      <c r="M4" s="17"/>
      <c r="N4" s="17"/>
      <c r="O4" s="17"/>
      <c r="P4" s="17"/>
      <c r="Q4" s="17"/>
      <c r="R4" s="17"/>
      <c r="S4" s="17"/>
      <c r="T4" s="17"/>
      <c r="U4" s="28">
        <f t="shared" ref="U4:U44" si="0">SUM(C4:T4)</f>
        <v>10536</v>
      </c>
    </row>
    <row r="5" spans="1:21" ht="21" customHeight="1" thickBot="1" x14ac:dyDescent="0.25">
      <c r="A5" s="46"/>
      <c r="B5" s="14">
        <v>43617</v>
      </c>
      <c r="C5" s="15"/>
      <c r="D5" s="16"/>
      <c r="E5" s="16"/>
      <c r="F5" s="16">
        <v>0</v>
      </c>
      <c r="G5" s="16"/>
      <c r="H5" s="16"/>
      <c r="I5" s="16"/>
      <c r="J5" s="17">
        <v>0</v>
      </c>
      <c r="K5" s="17"/>
      <c r="L5" s="17"/>
      <c r="M5" s="17"/>
      <c r="N5" s="17"/>
      <c r="O5" s="20">
        <v>-200000</v>
      </c>
      <c r="P5" s="20"/>
      <c r="Q5" s="20"/>
      <c r="R5" s="17"/>
      <c r="S5" s="17"/>
      <c r="T5" s="17"/>
      <c r="U5" s="28">
        <f t="shared" si="0"/>
        <v>-200000</v>
      </c>
    </row>
    <row r="6" spans="1:21" ht="21" customHeight="1" x14ac:dyDescent="0.2">
      <c r="A6" s="46"/>
      <c r="B6" s="13">
        <v>43647</v>
      </c>
      <c r="C6" s="15"/>
      <c r="D6" s="16"/>
      <c r="E6" s="16"/>
      <c r="F6" s="16">
        <v>0</v>
      </c>
      <c r="G6" s="16"/>
      <c r="H6" s="16"/>
      <c r="I6" s="16"/>
      <c r="J6" s="16">
        <v>4902</v>
      </c>
      <c r="K6" s="17"/>
      <c r="L6" s="17"/>
      <c r="M6" s="17"/>
      <c r="N6" s="17"/>
      <c r="O6" s="7">
        <v>0</v>
      </c>
      <c r="P6" s="17"/>
      <c r="Q6" s="17"/>
      <c r="R6" s="17"/>
      <c r="S6" s="17"/>
      <c r="T6" s="17"/>
      <c r="U6" s="28">
        <f t="shared" si="0"/>
        <v>4902</v>
      </c>
    </row>
    <row r="7" spans="1:21" ht="21" customHeight="1" thickBot="1" x14ac:dyDescent="0.25">
      <c r="A7" s="46"/>
      <c r="B7" s="14">
        <v>43678</v>
      </c>
      <c r="C7" s="15"/>
      <c r="D7" s="16"/>
      <c r="E7" s="16"/>
      <c r="F7" s="7">
        <v>-76640</v>
      </c>
      <c r="G7" s="16"/>
      <c r="H7" s="16"/>
      <c r="I7" s="16"/>
      <c r="J7" s="17">
        <v>0</v>
      </c>
      <c r="K7" s="17"/>
      <c r="L7" s="17"/>
      <c r="M7" s="17"/>
      <c r="N7" s="17"/>
      <c r="O7" s="7">
        <v>0</v>
      </c>
      <c r="P7" s="17"/>
      <c r="Q7" s="17"/>
      <c r="R7" s="17"/>
      <c r="S7" s="17"/>
      <c r="T7" s="17"/>
      <c r="U7" s="28">
        <f t="shared" si="0"/>
        <v>-76640</v>
      </c>
    </row>
    <row r="8" spans="1:21" ht="21" customHeight="1" x14ac:dyDescent="0.2">
      <c r="A8" s="46"/>
      <c r="B8" s="13">
        <v>43709</v>
      </c>
      <c r="C8" s="15"/>
      <c r="D8" s="16"/>
      <c r="E8" s="16"/>
      <c r="F8" s="16">
        <v>0</v>
      </c>
      <c r="G8" s="16"/>
      <c r="H8" s="16"/>
      <c r="I8" s="16"/>
      <c r="J8" s="18">
        <v>-62576</v>
      </c>
      <c r="K8" s="17"/>
      <c r="L8" s="17"/>
      <c r="M8" s="17"/>
      <c r="N8" s="17"/>
      <c r="O8" s="21">
        <v>-300000</v>
      </c>
      <c r="P8" s="21">
        <v>-150000</v>
      </c>
      <c r="Q8" s="21"/>
      <c r="R8" s="17"/>
      <c r="S8" s="17"/>
      <c r="T8" s="17"/>
      <c r="U8" s="28">
        <f t="shared" si="0"/>
        <v>-512576</v>
      </c>
    </row>
    <row r="9" spans="1:21" ht="21" customHeight="1" thickBot="1" x14ac:dyDescent="0.25">
      <c r="A9" s="46"/>
      <c r="B9" s="14">
        <v>43739</v>
      </c>
      <c r="C9" s="15"/>
      <c r="D9" s="16"/>
      <c r="E9" s="16"/>
      <c r="F9" s="7">
        <v>25872</v>
      </c>
      <c r="G9" s="16"/>
      <c r="H9" s="16"/>
      <c r="I9" s="16"/>
      <c r="J9" s="7">
        <v>6495</v>
      </c>
      <c r="K9" s="17"/>
      <c r="L9" s="17"/>
      <c r="M9" s="17"/>
      <c r="N9" s="17"/>
      <c r="O9" s="7">
        <v>0</v>
      </c>
      <c r="P9" s="7">
        <v>0</v>
      </c>
      <c r="Q9" s="17"/>
      <c r="R9" s="17"/>
      <c r="S9" s="17"/>
      <c r="T9" s="17"/>
      <c r="U9" s="28">
        <f t="shared" si="0"/>
        <v>32367</v>
      </c>
    </row>
    <row r="10" spans="1:21" ht="21" customHeight="1" x14ac:dyDescent="0.2">
      <c r="A10" s="46"/>
      <c r="B10" s="13">
        <v>43770</v>
      </c>
      <c r="C10" s="15"/>
      <c r="D10" s="16"/>
      <c r="E10" s="16"/>
      <c r="F10" s="16">
        <v>0</v>
      </c>
      <c r="G10" s="16"/>
      <c r="H10" s="16"/>
      <c r="I10" s="16"/>
      <c r="J10" s="7">
        <v>0</v>
      </c>
      <c r="K10" s="17"/>
      <c r="L10" s="17"/>
      <c r="M10" s="17"/>
      <c r="N10" s="17"/>
      <c r="O10" s="7">
        <v>0</v>
      </c>
      <c r="P10" s="7">
        <v>0</v>
      </c>
      <c r="Q10" s="17"/>
      <c r="R10" s="17">
        <v>-500000</v>
      </c>
      <c r="S10" s="17"/>
      <c r="T10" s="17"/>
      <c r="U10" s="28">
        <f t="shared" si="0"/>
        <v>-500000</v>
      </c>
    </row>
    <row r="11" spans="1:21" ht="21" customHeight="1" thickBot="1" x14ac:dyDescent="0.25">
      <c r="A11" s="46"/>
      <c r="B11" s="14">
        <v>43800</v>
      </c>
      <c r="C11" s="15"/>
      <c r="D11" s="16"/>
      <c r="E11" s="16"/>
      <c r="F11" s="16">
        <v>0</v>
      </c>
      <c r="G11" s="16"/>
      <c r="H11" s="16"/>
      <c r="I11" s="16"/>
      <c r="J11" s="7">
        <v>0</v>
      </c>
      <c r="K11" s="17"/>
      <c r="L11" s="17"/>
      <c r="M11" s="17"/>
      <c r="N11" s="17"/>
      <c r="O11" s="7">
        <v>0</v>
      </c>
      <c r="P11" s="7">
        <v>0</v>
      </c>
      <c r="Q11" s="17"/>
      <c r="R11" s="17">
        <v>0</v>
      </c>
      <c r="S11" s="17"/>
      <c r="T11" s="17"/>
      <c r="U11" s="28">
        <f t="shared" si="0"/>
        <v>0</v>
      </c>
    </row>
    <row r="12" spans="1:21" ht="21" customHeight="1" x14ac:dyDescent="0.2">
      <c r="A12" s="46"/>
      <c r="B12" s="13">
        <v>43831</v>
      </c>
      <c r="C12" s="15"/>
      <c r="D12" s="16"/>
      <c r="E12" s="16"/>
      <c r="F12" s="7">
        <v>-17000</v>
      </c>
      <c r="G12" s="16"/>
      <c r="H12" s="16"/>
      <c r="I12" s="16"/>
      <c r="J12" s="7">
        <v>12081</v>
      </c>
      <c r="K12" s="17"/>
      <c r="L12" s="17"/>
      <c r="M12" s="17"/>
      <c r="N12" s="17"/>
      <c r="O12" s="7">
        <v>0</v>
      </c>
      <c r="P12" s="7">
        <v>0</v>
      </c>
      <c r="Q12" s="17"/>
      <c r="R12" s="17">
        <v>0</v>
      </c>
      <c r="S12" s="17"/>
      <c r="T12" s="17">
        <v>-100000</v>
      </c>
      <c r="U12" s="28">
        <f t="shared" si="0"/>
        <v>-104919</v>
      </c>
    </row>
    <row r="13" spans="1:21" ht="21" customHeight="1" thickBot="1" x14ac:dyDescent="0.25">
      <c r="A13" s="46"/>
      <c r="B13" s="14">
        <v>43862</v>
      </c>
      <c r="C13" s="15"/>
      <c r="D13" s="16"/>
      <c r="E13" s="16"/>
      <c r="F13" s="7">
        <v>0</v>
      </c>
      <c r="G13" s="16"/>
      <c r="H13" s="16"/>
      <c r="I13" s="16"/>
      <c r="J13" s="7">
        <v>0</v>
      </c>
      <c r="K13" s="17"/>
      <c r="L13" s="17"/>
      <c r="M13" s="17"/>
      <c r="N13" s="17"/>
      <c r="O13" s="7">
        <v>0</v>
      </c>
      <c r="P13" s="7">
        <v>0</v>
      </c>
      <c r="Q13" s="17"/>
      <c r="R13" s="17">
        <v>0</v>
      </c>
      <c r="S13" s="17"/>
      <c r="T13" s="17">
        <v>0</v>
      </c>
      <c r="U13" s="28">
        <f t="shared" si="0"/>
        <v>0</v>
      </c>
    </row>
    <row r="14" spans="1:21" ht="21" customHeight="1" x14ac:dyDescent="0.2">
      <c r="A14" s="46"/>
      <c r="B14" s="13">
        <v>43891</v>
      </c>
      <c r="C14" s="15"/>
      <c r="D14" s="16"/>
      <c r="E14" s="16"/>
      <c r="F14" s="7">
        <v>-53045</v>
      </c>
      <c r="G14" s="16"/>
      <c r="H14" s="16"/>
      <c r="I14" s="16"/>
      <c r="J14" s="7">
        <v>0</v>
      </c>
      <c r="K14" s="17"/>
      <c r="L14" s="17"/>
      <c r="M14" s="17"/>
      <c r="N14" s="17"/>
      <c r="O14" s="7">
        <v>0</v>
      </c>
      <c r="P14" s="7">
        <v>0</v>
      </c>
      <c r="Q14" s="17"/>
      <c r="R14" s="17">
        <v>7137</v>
      </c>
      <c r="S14" s="17"/>
      <c r="T14" s="17">
        <v>0</v>
      </c>
      <c r="U14" s="28">
        <f t="shared" si="0"/>
        <v>-45908</v>
      </c>
    </row>
    <row r="15" spans="1:21" ht="21" customHeight="1" thickBot="1" x14ac:dyDescent="0.25">
      <c r="A15" s="46"/>
      <c r="B15" s="14">
        <v>43922</v>
      </c>
      <c r="C15" s="15"/>
      <c r="D15" s="16"/>
      <c r="E15" s="16"/>
      <c r="F15" s="16">
        <v>0</v>
      </c>
      <c r="G15" s="16"/>
      <c r="H15" s="16"/>
      <c r="I15" s="16"/>
      <c r="J15" s="7">
        <v>0</v>
      </c>
      <c r="K15" s="17"/>
      <c r="L15" s="17"/>
      <c r="M15" s="17"/>
      <c r="N15" s="17"/>
      <c r="O15" s="7">
        <v>0</v>
      </c>
      <c r="P15" s="7">
        <v>0</v>
      </c>
      <c r="Q15" s="17"/>
      <c r="R15" s="17">
        <v>0</v>
      </c>
      <c r="S15" s="17"/>
      <c r="T15" s="17">
        <v>0</v>
      </c>
      <c r="U15" s="28">
        <f t="shared" si="0"/>
        <v>0</v>
      </c>
    </row>
    <row r="16" spans="1:21" ht="21" customHeight="1" x14ac:dyDescent="0.2">
      <c r="A16" s="46"/>
      <c r="B16" s="13">
        <v>43952</v>
      </c>
      <c r="C16" s="15"/>
      <c r="D16" s="16"/>
      <c r="E16" s="16"/>
      <c r="F16" s="16">
        <v>0</v>
      </c>
      <c r="G16" s="16"/>
      <c r="H16" s="16"/>
      <c r="I16" s="16"/>
      <c r="J16" s="7">
        <v>7794</v>
      </c>
      <c r="K16" s="17"/>
      <c r="L16" s="17"/>
      <c r="M16" s="17"/>
      <c r="N16" s="17"/>
      <c r="O16" s="7">
        <v>0</v>
      </c>
      <c r="P16" s="17">
        <v>-50000</v>
      </c>
      <c r="Q16" s="17"/>
      <c r="R16" s="17">
        <v>9651</v>
      </c>
      <c r="S16" s="17"/>
      <c r="T16" s="17">
        <v>0</v>
      </c>
      <c r="U16" s="28">
        <f t="shared" si="0"/>
        <v>-32555</v>
      </c>
    </row>
    <row r="17" spans="1:21" ht="21" customHeight="1" thickBot="1" x14ac:dyDescent="0.25">
      <c r="A17" s="46"/>
      <c r="B17" s="14">
        <v>43983</v>
      </c>
      <c r="C17" s="15"/>
      <c r="D17" s="16"/>
      <c r="E17" s="16"/>
      <c r="F17" s="16">
        <v>0</v>
      </c>
      <c r="G17" s="16"/>
      <c r="H17" s="16"/>
      <c r="I17" s="16"/>
      <c r="J17" s="7">
        <v>0</v>
      </c>
      <c r="K17" s="17"/>
      <c r="L17" s="17"/>
      <c r="M17" s="17"/>
      <c r="N17" s="17"/>
      <c r="O17" s="7">
        <v>0</v>
      </c>
      <c r="P17" s="7">
        <v>0</v>
      </c>
      <c r="Q17" s="17"/>
      <c r="R17" s="17">
        <v>0</v>
      </c>
      <c r="S17" s="17"/>
      <c r="T17" s="17">
        <v>0</v>
      </c>
      <c r="U17" s="28">
        <f t="shared" si="0"/>
        <v>0</v>
      </c>
    </row>
    <row r="18" spans="1:21" ht="21" customHeight="1" x14ac:dyDescent="0.2">
      <c r="A18" s="46"/>
      <c r="B18" s="13">
        <v>44013</v>
      </c>
      <c r="C18" s="15"/>
      <c r="D18" s="16"/>
      <c r="E18" s="16"/>
      <c r="F18" s="16">
        <v>0</v>
      </c>
      <c r="G18" s="16"/>
      <c r="H18" s="16"/>
      <c r="I18" s="16"/>
      <c r="J18" s="7">
        <v>8444</v>
      </c>
      <c r="K18" s="17"/>
      <c r="L18" s="17"/>
      <c r="M18" s="17"/>
      <c r="N18" s="17">
        <v>-475000</v>
      </c>
      <c r="O18" s="7">
        <v>0</v>
      </c>
      <c r="P18" s="7">
        <v>0</v>
      </c>
      <c r="Q18" s="17"/>
      <c r="R18" s="17">
        <v>0</v>
      </c>
      <c r="S18" s="17"/>
      <c r="T18" s="17">
        <v>0</v>
      </c>
      <c r="U18" s="28">
        <f t="shared" si="0"/>
        <v>-466556</v>
      </c>
    </row>
    <row r="19" spans="1:21" ht="21" customHeight="1" thickBot="1" x14ac:dyDescent="0.25">
      <c r="A19" s="46"/>
      <c r="B19" s="14">
        <v>44044</v>
      </c>
      <c r="C19" s="15"/>
      <c r="D19" s="7">
        <v>-800000</v>
      </c>
      <c r="E19" s="16"/>
      <c r="F19" s="16">
        <v>0</v>
      </c>
      <c r="G19" s="16"/>
      <c r="H19" s="16"/>
      <c r="I19" s="16"/>
      <c r="J19" s="7">
        <v>0</v>
      </c>
      <c r="K19" s="17"/>
      <c r="L19" s="17"/>
      <c r="M19" s="17"/>
      <c r="N19" s="7">
        <v>0</v>
      </c>
      <c r="O19" s="7">
        <v>0</v>
      </c>
      <c r="P19" s="7">
        <v>0</v>
      </c>
      <c r="Q19" s="17"/>
      <c r="R19" s="17">
        <v>10519</v>
      </c>
      <c r="S19" s="17"/>
      <c r="T19" s="17">
        <v>0</v>
      </c>
      <c r="U19" s="28">
        <f t="shared" si="0"/>
        <v>-789481</v>
      </c>
    </row>
    <row r="20" spans="1:21" ht="21" customHeight="1" x14ac:dyDescent="0.2">
      <c r="A20" s="46"/>
      <c r="B20" s="13">
        <v>44075</v>
      </c>
      <c r="C20" s="15"/>
      <c r="D20" s="7">
        <v>0</v>
      </c>
      <c r="E20" s="7">
        <v>-1000000</v>
      </c>
      <c r="F20" s="16">
        <v>0</v>
      </c>
      <c r="G20" s="16"/>
      <c r="H20" s="16"/>
      <c r="I20" s="16"/>
      <c r="J20" s="7">
        <v>0</v>
      </c>
      <c r="K20" s="17"/>
      <c r="L20" s="17"/>
      <c r="M20" s="17">
        <v>-120000</v>
      </c>
      <c r="N20" s="7">
        <v>0</v>
      </c>
      <c r="O20" s="7">
        <v>0</v>
      </c>
      <c r="P20" s="17">
        <v>2501</v>
      </c>
      <c r="Q20" s="17"/>
      <c r="R20" s="17">
        <v>0</v>
      </c>
      <c r="S20" s="17"/>
      <c r="T20" s="17">
        <v>-75000</v>
      </c>
      <c r="U20" s="28">
        <f t="shared" si="0"/>
        <v>-1192499</v>
      </c>
    </row>
    <row r="21" spans="1:21" ht="21" customHeight="1" thickBot="1" x14ac:dyDescent="0.25">
      <c r="A21" s="46"/>
      <c r="B21" s="14">
        <v>44105</v>
      </c>
      <c r="C21" s="15"/>
      <c r="D21" s="7">
        <v>0</v>
      </c>
      <c r="E21" s="7">
        <v>0</v>
      </c>
      <c r="F21" s="16">
        <v>0</v>
      </c>
      <c r="G21" s="16"/>
      <c r="H21" s="16"/>
      <c r="I21" s="16"/>
      <c r="J21" s="7">
        <v>5846</v>
      </c>
      <c r="K21" s="17"/>
      <c r="L21" s="17"/>
      <c r="M21" s="7">
        <v>0</v>
      </c>
      <c r="N21" s="17">
        <v>5415</v>
      </c>
      <c r="O21" s="7">
        <v>0</v>
      </c>
      <c r="P21" s="17">
        <v>-150000</v>
      </c>
      <c r="Q21" s="17"/>
      <c r="R21" s="17">
        <v>0</v>
      </c>
      <c r="S21" s="17"/>
      <c r="T21" s="17">
        <v>0</v>
      </c>
      <c r="U21" s="28">
        <f t="shared" si="0"/>
        <v>-138739</v>
      </c>
    </row>
    <row r="22" spans="1:21" ht="21" customHeight="1" x14ac:dyDescent="0.2">
      <c r="A22" s="46"/>
      <c r="B22" s="13">
        <v>44136</v>
      </c>
      <c r="C22" s="15"/>
      <c r="D22" s="7">
        <v>0</v>
      </c>
      <c r="E22" s="7">
        <v>0</v>
      </c>
      <c r="F22" s="16">
        <v>0</v>
      </c>
      <c r="G22" s="16"/>
      <c r="H22" s="16"/>
      <c r="I22" s="16"/>
      <c r="J22" s="7">
        <v>0</v>
      </c>
      <c r="K22" s="17"/>
      <c r="L22" s="17"/>
      <c r="M22" s="7">
        <v>0</v>
      </c>
      <c r="N22" s="7">
        <v>0</v>
      </c>
      <c r="O22" s="7">
        <v>0</v>
      </c>
      <c r="P22" s="7">
        <v>0</v>
      </c>
      <c r="Q22" s="17"/>
      <c r="R22" s="17">
        <v>10041</v>
      </c>
      <c r="S22" s="17">
        <v>-500000</v>
      </c>
      <c r="T22" s="17">
        <v>-97633</v>
      </c>
      <c r="U22" s="28">
        <f t="shared" si="0"/>
        <v>-587592</v>
      </c>
    </row>
    <row r="23" spans="1:21" ht="21" customHeight="1" thickBot="1" x14ac:dyDescent="0.25">
      <c r="A23" s="46"/>
      <c r="B23" s="14">
        <v>44166</v>
      </c>
      <c r="C23" s="15"/>
      <c r="D23" s="7">
        <v>0</v>
      </c>
      <c r="E23" s="7">
        <v>0</v>
      </c>
      <c r="F23" s="16">
        <v>0</v>
      </c>
      <c r="G23" s="16"/>
      <c r="H23" s="16"/>
      <c r="I23" s="16"/>
      <c r="J23" s="7">
        <v>0</v>
      </c>
      <c r="K23" s="17"/>
      <c r="L23" s="17"/>
      <c r="M23" s="7">
        <v>0</v>
      </c>
      <c r="N23" s="7">
        <v>0</v>
      </c>
      <c r="O23" s="7">
        <v>0</v>
      </c>
      <c r="P23" s="7">
        <v>0</v>
      </c>
      <c r="Q23" s="17"/>
      <c r="R23" s="17">
        <v>0</v>
      </c>
      <c r="S23" s="17">
        <v>0</v>
      </c>
      <c r="T23" s="17">
        <v>0</v>
      </c>
      <c r="U23" s="28">
        <f t="shared" si="0"/>
        <v>0</v>
      </c>
    </row>
    <row r="24" spans="1:21" ht="21" customHeight="1" x14ac:dyDescent="0.2">
      <c r="A24" s="46"/>
      <c r="B24" s="13">
        <v>44197</v>
      </c>
      <c r="C24" s="15"/>
      <c r="D24" s="7">
        <v>0</v>
      </c>
      <c r="E24" s="7">
        <v>0</v>
      </c>
      <c r="F24" s="16">
        <v>0</v>
      </c>
      <c r="G24" s="16"/>
      <c r="H24" s="16"/>
      <c r="I24" s="16"/>
      <c r="J24" s="7">
        <v>7405</v>
      </c>
      <c r="K24" s="17"/>
      <c r="L24" s="17"/>
      <c r="M24" s="7">
        <v>0</v>
      </c>
      <c r="N24" s="17">
        <v>6989</v>
      </c>
      <c r="O24" s="7">
        <v>0</v>
      </c>
      <c r="P24" s="17">
        <v>1489</v>
      </c>
      <c r="Q24" s="17"/>
      <c r="R24" s="17">
        <v>0</v>
      </c>
      <c r="S24" s="17">
        <v>0</v>
      </c>
      <c r="T24" s="17">
        <v>-97551</v>
      </c>
      <c r="U24" s="28">
        <f t="shared" si="0"/>
        <v>-81668</v>
      </c>
    </row>
    <row r="25" spans="1:21" ht="21" customHeight="1" thickBot="1" x14ac:dyDescent="0.25">
      <c r="A25" s="46"/>
      <c r="B25" s="14">
        <v>44228</v>
      </c>
      <c r="C25" s="15"/>
      <c r="D25" s="7">
        <v>0</v>
      </c>
      <c r="E25" s="7">
        <v>0</v>
      </c>
      <c r="F25" s="7">
        <v>-59982</v>
      </c>
      <c r="G25" s="16"/>
      <c r="H25" s="16"/>
      <c r="I25" s="16"/>
      <c r="J25" s="7">
        <v>0</v>
      </c>
      <c r="K25" s="17"/>
      <c r="L25" s="17"/>
      <c r="M25" s="7">
        <v>0</v>
      </c>
      <c r="N25" s="7">
        <v>0</v>
      </c>
      <c r="O25" s="7">
        <v>0</v>
      </c>
      <c r="P25" s="7">
        <v>0</v>
      </c>
      <c r="Q25" s="17"/>
      <c r="R25" s="17">
        <v>9876</v>
      </c>
      <c r="S25" s="17">
        <v>0</v>
      </c>
      <c r="T25" s="17">
        <v>0</v>
      </c>
      <c r="U25" s="28">
        <f t="shared" si="0"/>
        <v>-50106</v>
      </c>
    </row>
    <row r="26" spans="1:21" ht="21" customHeight="1" x14ac:dyDescent="0.2">
      <c r="A26" s="46"/>
      <c r="B26" s="13">
        <v>44256</v>
      </c>
      <c r="C26" s="15"/>
      <c r="D26" s="7">
        <v>0</v>
      </c>
      <c r="E26" s="7">
        <v>0</v>
      </c>
      <c r="F26" s="16">
        <v>0</v>
      </c>
      <c r="G26" s="16"/>
      <c r="H26" s="16"/>
      <c r="I26" s="16"/>
      <c r="J26" s="7">
        <v>0</v>
      </c>
      <c r="K26" s="17"/>
      <c r="L26" s="17"/>
      <c r="M26" s="7">
        <v>0</v>
      </c>
      <c r="N26" s="7">
        <v>0</v>
      </c>
      <c r="O26" s="7">
        <v>0</v>
      </c>
      <c r="P26" s="7">
        <v>0</v>
      </c>
      <c r="Q26" s="17">
        <v>-600000</v>
      </c>
      <c r="R26" s="17">
        <v>0</v>
      </c>
      <c r="S26" s="17">
        <v>0</v>
      </c>
      <c r="T26" s="17">
        <v>0</v>
      </c>
      <c r="U26" s="28">
        <f t="shared" si="0"/>
        <v>-600000</v>
      </c>
    </row>
    <row r="27" spans="1:21" ht="21" customHeight="1" thickBot="1" x14ac:dyDescent="0.25">
      <c r="A27" s="46"/>
      <c r="B27" s="14">
        <v>44287</v>
      </c>
      <c r="C27" s="15"/>
      <c r="D27" s="7">
        <v>0</v>
      </c>
      <c r="E27" s="7">
        <v>0</v>
      </c>
      <c r="F27" s="7">
        <v>13364</v>
      </c>
      <c r="G27" s="16"/>
      <c r="H27" s="16"/>
      <c r="I27" s="16"/>
      <c r="J27" s="19">
        <v>32883</v>
      </c>
      <c r="K27" s="17"/>
      <c r="L27" s="17"/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17">
        <v>0</v>
      </c>
      <c r="S27" s="17">
        <v>0</v>
      </c>
      <c r="T27" s="17">
        <v>-60000</v>
      </c>
      <c r="U27" s="28">
        <f t="shared" si="0"/>
        <v>-13753</v>
      </c>
    </row>
    <row r="28" spans="1:21" ht="21" customHeight="1" x14ac:dyDescent="0.2">
      <c r="A28" s="46"/>
      <c r="B28" s="13">
        <v>44317</v>
      </c>
      <c r="C28" s="3">
        <v>-700000</v>
      </c>
      <c r="D28" s="7">
        <v>0</v>
      </c>
      <c r="E28" s="4">
        <v>0</v>
      </c>
      <c r="F28" s="4">
        <v>0</v>
      </c>
      <c r="G28" s="4"/>
      <c r="H28" s="4"/>
      <c r="I28" s="4"/>
      <c r="J28" s="5">
        <v>26635</v>
      </c>
      <c r="K28" s="5"/>
      <c r="L28" s="5"/>
      <c r="M28" s="8">
        <v>0</v>
      </c>
      <c r="N28" s="5">
        <v>6989</v>
      </c>
      <c r="O28" s="7">
        <v>0</v>
      </c>
      <c r="P28" s="7">
        <v>0</v>
      </c>
      <c r="Q28" s="7">
        <v>0</v>
      </c>
      <c r="R28" s="5">
        <v>9064</v>
      </c>
      <c r="S28" s="5">
        <v>16768</v>
      </c>
      <c r="T28" s="5">
        <v>-15236</v>
      </c>
      <c r="U28" s="28">
        <f t="shared" si="0"/>
        <v>-655780</v>
      </c>
    </row>
    <row r="29" spans="1:21" ht="21" customHeight="1" thickBot="1" x14ac:dyDescent="0.25">
      <c r="A29" s="46"/>
      <c r="B29" s="14">
        <v>44348</v>
      </c>
      <c r="C29" s="6">
        <v>-100000</v>
      </c>
      <c r="D29" s="7">
        <v>0</v>
      </c>
      <c r="E29" s="7">
        <v>0</v>
      </c>
      <c r="F29" s="7">
        <v>0</v>
      </c>
      <c r="G29" s="7"/>
      <c r="H29" s="7"/>
      <c r="I29" s="7"/>
      <c r="J29" s="8">
        <v>0</v>
      </c>
      <c r="K29" s="8"/>
      <c r="L29" s="8"/>
      <c r="M29" s="8">
        <v>0</v>
      </c>
      <c r="N29" s="7">
        <v>0</v>
      </c>
      <c r="O29" s="7">
        <v>0</v>
      </c>
      <c r="P29" s="8">
        <v>-145533</v>
      </c>
      <c r="Q29" s="7">
        <v>0</v>
      </c>
      <c r="R29" s="8">
        <v>0</v>
      </c>
      <c r="S29" s="17">
        <v>0</v>
      </c>
      <c r="T29" s="17">
        <v>0</v>
      </c>
      <c r="U29" s="28">
        <f t="shared" si="0"/>
        <v>-245533</v>
      </c>
    </row>
    <row r="30" spans="1:21" ht="21" customHeight="1" x14ac:dyDescent="0.2">
      <c r="A30" s="46"/>
      <c r="B30" s="13">
        <v>44378</v>
      </c>
      <c r="C30" s="6">
        <v>0</v>
      </c>
      <c r="D30" s="7">
        <v>0</v>
      </c>
      <c r="E30" s="7">
        <v>0</v>
      </c>
      <c r="F30" s="7">
        <v>0</v>
      </c>
      <c r="G30" s="7"/>
      <c r="H30" s="7"/>
      <c r="I30" s="7"/>
      <c r="J30" s="8">
        <v>25851</v>
      </c>
      <c r="K30" s="8">
        <v>-192000</v>
      </c>
      <c r="L30" s="8"/>
      <c r="M30" s="8">
        <v>-96000</v>
      </c>
      <c r="N30" s="7">
        <v>0</v>
      </c>
      <c r="O30" s="7">
        <v>0</v>
      </c>
      <c r="P30" s="7">
        <v>0</v>
      </c>
      <c r="Q30" s="7">
        <v>0</v>
      </c>
      <c r="R30" s="8">
        <v>0</v>
      </c>
      <c r="S30" s="17">
        <v>0</v>
      </c>
      <c r="T30" s="8">
        <v>4582</v>
      </c>
      <c r="U30" s="28">
        <f t="shared" si="0"/>
        <v>-257567</v>
      </c>
    </row>
    <row r="31" spans="1:21" ht="21" customHeight="1" thickBot="1" x14ac:dyDescent="0.25">
      <c r="A31" s="46"/>
      <c r="B31" s="14">
        <v>44409</v>
      </c>
      <c r="C31" s="7">
        <v>0</v>
      </c>
      <c r="D31" s="7">
        <v>0</v>
      </c>
      <c r="E31" s="7">
        <v>0</v>
      </c>
      <c r="F31" s="7">
        <v>0</v>
      </c>
      <c r="G31" s="7"/>
      <c r="H31" s="7"/>
      <c r="I31" s="7"/>
      <c r="J31" s="8">
        <v>15742</v>
      </c>
      <c r="K31" s="8">
        <v>0</v>
      </c>
      <c r="L31" s="8"/>
      <c r="M31" s="7">
        <v>0</v>
      </c>
      <c r="N31" s="8">
        <v>6989</v>
      </c>
      <c r="O31" s="7">
        <v>0</v>
      </c>
      <c r="P31" s="7">
        <v>0</v>
      </c>
      <c r="Q31" s="7">
        <v>0</v>
      </c>
      <c r="R31" s="8">
        <v>9562</v>
      </c>
      <c r="S31" s="8">
        <v>64761</v>
      </c>
      <c r="T31" s="17">
        <v>0</v>
      </c>
      <c r="U31" s="28">
        <f t="shared" si="0"/>
        <v>97054</v>
      </c>
    </row>
    <row r="32" spans="1:21" ht="21" customHeight="1" x14ac:dyDescent="0.2">
      <c r="A32" s="46"/>
      <c r="B32" s="13">
        <v>44440</v>
      </c>
      <c r="C32" s="7">
        <v>0</v>
      </c>
      <c r="D32" s="7">
        <v>0</v>
      </c>
      <c r="E32" s="7">
        <v>0</v>
      </c>
      <c r="F32" s="7">
        <v>0</v>
      </c>
      <c r="G32" s="7">
        <v>-31428</v>
      </c>
      <c r="H32" s="7"/>
      <c r="I32" s="7"/>
      <c r="J32" s="8">
        <v>0</v>
      </c>
      <c r="K32" s="8">
        <v>0</v>
      </c>
      <c r="L32" s="8"/>
      <c r="M32" s="7">
        <v>0</v>
      </c>
      <c r="N32" s="7">
        <v>0</v>
      </c>
      <c r="O32" s="7">
        <v>0</v>
      </c>
      <c r="P32" s="8">
        <v>-125000</v>
      </c>
      <c r="Q32" s="7">
        <v>0</v>
      </c>
      <c r="R32" s="8">
        <v>0</v>
      </c>
      <c r="S32" s="17">
        <v>0</v>
      </c>
      <c r="T32" s="17">
        <v>0</v>
      </c>
      <c r="U32" s="28">
        <f t="shared" si="0"/>
        <v>-156428</v>
      </c>
    </row>
    <row r="33" spans="1:22" ht="21" customHeight="1" thickBot="1" x14ac:dyDescent="0.25">
      <c r="A33" s="46"/>
      <c r="B33" s="14">
        <v>44470</v>
      </c>
      <c r="C33" s="6">
        <v>-200000</v>
      </c>
      <c r="D33" s="7">
        <v>0</v>
      </c>
      <c r="E33" s="7">
        <v>0</v>
      </c>
      <c r="F33" s="7">
        <v>-60000</v>
      </c>
      <c r="G33" s="7">
        <v>0</v>
      </c>
      <c r="H33" s="7"/>
      <c r="I33" s="7"/>
      <c r="J33" s="8">
        <v>0</v>
      </c>
      <c r="K33" s="8">
        <v>-118751</v>
      </c>
      <c r="L33" s="8"/>
      <c r="M33" s="8">
        <v>-84000</v>
      </c>
      <c r="N33" s="7">
        <v>0</v>
      </c>
      <c r="O33" s="7">
        <v>0</v>
      </c>
      <c r="P33" s="7">
        <v>0</v>
      </c>
      <c r="Q33" s="8">
        <v>18036</v>
      </c>
      <c r="R33" s="8">
        <v>0</v>
      </c>
      <c r="S33" s="17">
        <v>0</v>
      </c>
      <c r="T33" s="17">
        <v>0</v>
      </c>
      <c r="U33" s="28">
        <f t="shared" si="0"/>
        <v>-444715</v>
      </c>
    </row>
    <row r="34" spans="1:22" ht="21" customHeight="1" x14ac:dyDescent="0.2">
      <c r="A34" s="46"/>
      <c r="B34" s="13">
        <v>44501</v>
      </c>
      <c r="C34" s="7">
        <v>0</v>
      </c>
      <c r="D34" s="7">
        <v>0</v>
      </c>
      <c r="E34" s="7">
        <v>0</v>
      </c>
      <c r="F34" s="7">
        <v>0</v>
      </c>
      <c r="G34" s="7">
        <v>-28005</v>
      </c>
      <c r="H34" s="7"/>
      <c r="I34" s="7">
        <v>-166217</v>
      </c>
      <c r="J34" s="8">
        <v>20910</v>
      </c>
      <c r="K34" s="8">
        <v>1826</v>
      </c>
      <c r="L34" s="8"/>
      <c r="M34" s="7">
        <v>0</v>
      </c>
      <c r="N34" s="8">
        <v>6989</v>
      </c>
      <c r="O34" s="7">
        <v>0</v>
      </c>
      <c r="P34" s="8">
        <v>9960</v>
      </c>
      <c r="Q34" s="7">
        <v>0</v>
      </c>
      <c r="R34" s="8">
        <v>8732</v>
      </c>
      <c r="S34" s="8">
        <v>13374</v>
      </c>
      <c r="T34" s="8">
        <v>94345</v>
      </c>
      <c r="U34" s="28">
        <f t="shared" si="0"/>
        <v>-38086</v>
      </c>
    </row>
    <row r="35" spans="1:22" ht="21" customHeight="1" thickBot="1" x14ac:dyDescent="0.25">
      <c r="A35" s="46"/>
      <c r="B35" s="14">
        <v>44531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/>
      <c r="I35" s="7">
        <v>0</v>
      </c>
      <c r="J35" s="8">
        <v>0</v>
      </c>
      <c r="K35" s="8">
        <v>-144408</v>
      </c>
      <c r="L35" s="8"/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8">
        <v>0</v>
      </c>
      <c r="S35" s="17">
        <v>0</v>
      </c>
      <c r="T35" s="17">
        <v>0</v>
      </c>
      <c r="U35" s="28">
        <f t="shared" si="0"/>
        <v>-144408</v>
      </c>
    </row>
    <row r="36" spans="1:22" ht="21" customHeight="1" x14ac:dyDescent="0.2">
      <c r="A36" s="46"/>
      <c r="B36" s="13">
        <v>44562</v>
      </c>
      <c r="C36" s="7">
        <v>9275</v>
      </c>
      <c r="D36" s="7">
        <v>0</v>
      </c>
      <c r="E36" s="7">
        <v>0</v>
      </c>
      <c r="F36" s="7">
        <v>0</v>
      </c>
      <c r="G36" s="7">
        <v>0</v>
      </c>
      <c r="H36" s="7"/>
      <c r="I36" s="7">
        <v>0</v>
      </c>
      <c r="J36" s="8">
        <v>12991</v>
      </c>
      <c r="K36" s="8">
        <v>0</v>
      </c>
      <c r="L36" s="8"/>
      <c r="M36" s="7">
        <v>0</v>
      </c>
      <c r="N36" s="7">
        <v>0</v>
      </c>
      <c r="O36" s="7">
        <v>0</v>
      </c>
      <c r="P36" s="8">
        <v>11334</v>
      </c>
      <c r="Q36" s="7">
        <v>0</v>
      </c>
      <c r="R36" s="8">
        <v>0</v>
      </c>
      <c r="S36" s="17">
        <v>0</v>
      </c>
      <c r="T36" s="17">
        <v>0</v>
      </c>
      <c r="U36" s="28">
        <f t="shared" si="0"/>
        <v>33600</v>
      </c>
      <c r="V36" s="2"/>
    </row>
    <row r="37" spans="1:22" ht="21" customHeight="1" thickBot="1" x14ac:dyDescent="0.25">
      <c r="A37" s="46"/>
      <c r="B37" s="14">
        <v>44593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8">
        <v>-13400</v>
      </c>
      <c r="I37" s="7">
        <v>-77924</v>
      </c>
      <c r="J37" s="1">
        <v>0</v>
      </c>
      <c r="K37" s="8">
        <v>3944</v>
      </c>
      <c r="L37" s="8"/>
      <c r="M37" s="7">
        <v>0</v>
      </c>
      <c r="N37" s="8">
        <v>6989</v>
      </c>
      <c r="O37" s="7">
        <v>0</v>
      </c>
      <c r="P37" s="7">
        <v>0</v>
      </c>
      <c r="Q37" s="7">
        <v>0</v>
      </c>
      <c r="R37" s="8">
        <v>9023</v>
      </c>
      <c r="S37" s="8">
        <v>11695</v>
      </c>
      <c r="T37" s="8">
        <v>108321</v>
      </c>
      <c r="U37" s="28">
        <f t="shared" si="0"/>
        <v>48648</v>
      </c>
    </row>
    <row r="38" spans="1:22" ht="21" customHeight="1" x14ac:dyDescent="0.2">
      <c r="A38" s="46"/>
      <c r="B38" s="13">
        <v>44621</v>
      </c>
      <c r="C38" s="7">
        <v>0</v>
      </c>
      <c r="D38" s="7">
        <v>0</v>
      </c>
      <c r="E38" s="7">
        <v>0</v>
      </c>
      <c r="F38" s="7">
        <v>80184</v>
      </c>
      <c r="G38" s="7">
        <v>0</v>
      </c>
      <c r="H38" s="8">
        <v>0</v>
      </c>
      <c r="I38" s="7">
        <v>0</v>
      </c>
      <c r="J38" s="8">
        <v>18836</v>
      </c>
      <c r="K38" s="8">
        <v>0</v>
      </c>
      <c r="L38" s="8">
        <v>-400000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8">
        <v>0</v>
      </c>
      <c r="S38" s="17">
        <v>0</v>
      </c>
      <c r="T38" s="17">
        <v>0</v>
      </c>
      <c r="U38" s="28">
        <f t="shared" si="0"/>
        <v>-300980</v>
      </c>
    </row>
    <row r="39" spans="1:22" ht="21" customHeight="1" thickBot="1" x14ac:dyDescent="0.25">
      <c r="A39" s="46"/>
      <c r="B39" s="14">
        <v>44652</v>
      </c>
      <c r="C39" s="7">
        <v>0</v>
      </c>
      <c r="D39" s="7">
        <v>0</v>
      </c>
      <c r="E39" s="7">
        <v>0</v>
      </c>
      <c r="F39" s="7">
        <v>0</v>
      </c>
      <c r="G39" s="7">
        <v>0</v>
      </c>
      <c r="H39" s="8">
        <v>0</v>
      </c>
      <c r="I39" s="7">
        <v>0</v>
      </c>
      <c r="J39" s="1">
        <v>0</v>
      </c>
      <c r="K39" s="8">
        <v>-136336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8">
        <v>0</v>
      </c>
      <c r="S39" s="17">
        <v>0</v>
      </c>
      <c r="T39" s="17">
        <v>0</v>
      </c>
      <c r="U39" s="28">
        <f t="shared" si="0"/>
        <v>-136336</v>
      </c>
    </row>
    <row r="40" spans="1:22" ht="21" customHeight="1" x14ac:dyDescent="0.2">
      <c r="A40" s="46"/>
      <c r="B40" s="13">
        <v>44682</v>
      </c>
      <c r="C40" s="7">
        <v>0</v>
      </c>
      <c r="D40" s="7">
        <v>0</v>
      </c>
      <c r="E40" s="7">
        <v>0</v>
      </c>
      <c r="F40" s="7">
        <v>0</v>
      </c>
      <c r="G40" s="7">
        <v>-36028</v>
      </c>
      <c r="H40" s="8">
        <v>0</v>
      </c>
      <c r="I40" s="7">
        <v>0</v>
      </c>
      <c r="J40" s="1">
        <v>0</v>
      </c>
      <c r="K40" s="8">
        <v>5867</v>
      </c>
      <c r="L40" s="7">
        <v>0</v>
      </c>
      <c r="M40" s="7">
        <v>0</v>
      </c>
      <c r="N40" s="7">
        <v>0</v>
      </c>
      <c r="O40" s="7">
        <v>0</v>
      </c>
      <c r="P40" s="8">
        <v>7844</v>
      </c>
      <c r="Q40" s="7">
        <v>0</v>
      </c>
      <c r="R40" s="8">
        <v>6990</v>
      </c>
      <c r="S40" s="8">
        <v>8995</v>
      </c>
      <c r="T40" s="17">
        <v>0</v>
      </c>
      <c r="U40" s="28">
        <f t="shared" si="0"/>
        <v>-6332</v>
      </c>
    </row>
    <row r="41" spans="1:22" ht="21" customHeight="1" thickBot="1" x14ac:dyDescent="0.25">
      <c r="A41" s="46"/>
      <c r="B41" s="14">
        <v>44713</v>
      </c>
      <c r="C41" s="7">
        <v>11027</v>
      </c>
      <c r="D41" s="7">
        <v>0</v>
      </c>
      <c r="E41" s="7">
        <v>0</v>
      </c>
      <c r="F41" s="7">
        <v>0</v>
      </c>
      <c r="G41" s="7">
        <v>-16106</v>
      </c>
      <c r="H41" s="8">
        <v>0</v>
      </c>
      <c r="I41" s="7">
        <v>0</v>
      </c>
      <c r="J41" s="1">
        <v>0</v>
      </c>
      <c r="K41" s="7">
        <v>0</v>
      </c>
      <c r="L41" s="7">
        <v>0</v>
      </c>
      <c r="M41" s="7">
        <v>0</v>
      </c>
      <c r="N41" s="8">
        <v>6975</v>
      </c>
      <c r="O41" s="7">
        <v>0</v>
      </c>
      <c r="P41" s="7">
        <v>0</v>
      </c>
      <c r="Q41" s="7">
        <v>0</v>
      </c>
      <c r="R41" s="8">
        <v>0</v>
      </c>
      <c r="S41" s="17">
        <v>0</v>
      </c>
      <c r="T41" s="8">
        <v>3930</v>
      </c>
      <c r="U41" s="28">
        <f t="shared" si="0"/>
        <v>5826</v>
      </c>
    </row>
    <row r="42" spans="1:22" ht="21" customHeight="1" x14ac:dyDescent="0.2">
      <c r="A42" s="46"/>
      <c r="B42" s="13">
        <v>44743</v>
      </c>
      <c r="C42" s="7">
        <v>11457</v>
      </c>
      <c r="D42" s="7">
        <v>0</v>
      </c>
      <c r="E42" s="7">
        <v>0</v>
      </c>
      <c r="F42" s="7">
        <v>0</v>
      </c>
      <c r="G42" s="7">
        <v>0</v>
      </c>
      <c r="H42" s="8">
        <v>0</v>
      </c>
      <c r="I42" s="7">
        <v>-48904</v>
      </c>
      <c r="J42" s="8">
        <v>28725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8">
        <v>0</v>
      </c>
      <c r="S42" s="17">
        <v>0</v>
      </c>
      <c r="T42" s="17">
        <v>0</v>
      </c>
      <c r="U42" s="28">
        <f t="shared" si="0"/>
        <v>-8722</v>
      </c>
    </row>
    <row r="43" spans="1:22" ht="21" customHeight="1" thickBot="1" x14ac:dyDescent="0.25">
      <c r="A43" s="46"/>
      <c r="B43" s="14">
        <v>44774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8">
        <v>0</v>
      </c>
      <c r="I43" s="7">
        <v>0</v>
      </c>
      <c r="J43" s="8">
        <v>159106</v>
      </c>
      <c r="K43" s="8">
        <v>6952</v>
      </c>
      <c r="L43" s="7">
        <v>0</v>
      </c>
      <c r="M43" s="7">
        <v>0</v>
      </c>
      <c r="N43" s="8">
        <v>6975</v>
      </c>
      <c r="O43" s="7">
        <v>0</v>
      </c>
      <c r="P43" s="8">
        <v>7834</v>
      </c>
      <c r="Q43" s="7">
        <v>0</v>
      </c>
      <c r="R43" s="8">
        <v>3255</v>
      </c>
      <c r="S43" s="8">
        <v>9286</v>
      </c>
      <c r="T43" s="17">
        <v>0</v>
      </c>
      <c r="U43" s="28">
        <f t="shared" si="0"/>
        <v>193408</v>
      </c>
    </row>
    <row r="44" spans="1:22" ht="21" customHeight="1" thickBot="1" x14ac:dyDescent="0.25">
      <c r="A44" s="47"/>
      <c r="B44" s="13">
        <v>44805</v>
      </c>
      <c r="C44" s="7">
        <v>0</v>
      </c>
      <c r="D44" s="7">
        <v>0</v>
      </c>
      <c r="E44" s="7">
        <v>0</v>
      </c>
      <c r="F44" s="7">
        <v>0</v>
      </c>
      <c r="G44" s="7">
        <v>-18362</v>
      </c>
      <c r="H44" s="8">
        <v>0</v>
      </c>
      <c r="I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8">
        <v>0</v>
      </c>
      <c r="S44" s="17">
        <v>0</v>
      </c>
      <c r="T44" s="8">
        <v>4531</v>
      </c>
      <c r="U44" s="28">
        <f t="shared" si="0"/>
        <v>-13831</v>
      </c>
    </row>
    <row r="45" spans="1:22" s="26" customFormat="1" ht="21" customHeight="1" thickBot="1" x14ac:dyDescent="0.25">
      <c r="A45" s="22" t="s">
        <v>18</v>
      </c>
      <c r="B45" s="23"/>
      <c r="C45" s="24">
        <f>SUM(C3:C44)</f>
        <v>-968241</v>
      </c>
      <c r="D45" s="24">
        <f t="shared" ref="D45:T45" si="1">SUM(D3:D44)</f>
        <v>-800000</v>
      </c>
      <c r="E45" s="24">
        <f t="shared" si="1"/>
        <v>-1000000</v>
      </c>
      <c r="F45" s="24">
        <f t="shared" si="1"/>
        <v>-270044</v>
      </c>
      <c r="G45" s="24">
        <f t="shared" si="1"/>
        <v>-129929</v>
      </c>
      <c r="H45" s="24">
        <f t="shared" si="1"/>
        <v>-13400</v>
      </c>
      <c r="I45" s="24">
        <f t="shared" si="1"/>
        <v>-293045</v>
      </c>
      <c r="J45" s="24">
        <f t="shared" si="1"/>
        <v>-207930</v>
      </c>
      <c r="K45" s="24">
        <f t="shared" si="1"/>
        <v>-572906</v>
      </c>
      <c r="L45" s="24">
        <f t="shared" si="1"/>
        <v>-400000</v>
      </c>
      <c r="M45" s="24">
        <f t="shared" si="1"/>
        <v>-300000</v>
      </c>
      <c r="N45" s="24">
        <f t="shared" si="1"/>
        <v>-420690</v>
      </c>
      <c r="O45" s="24">
        <f t="shared" si="1"/>
        <v>-500000</v>
      </c>
      <c r="P45" s="24">
        <f t="shared" si="1"/>
        <v>-579571</v>
      </c>
      <c r="Q45" s="24">
        <f t="shared" si="1"/>
        <v>-581964</v>
      </c>
      <c r="R45" s="24">
        <f t="shared" si="1"/>
        <v>-406150</v>
      </c>
      <c r="S45" s="24">
        <f>SUM(S3:S44)</f>
        <v>-375121</v>
      </c>
      <c r="T45" s="24">
        <f t="shared" si="1"/>
        <v>-229711</v>
      </c>
      <c r="U45" s="25"/>
    </row>
  </sheetData>
  <mergeCells count="1">
    <mergeCell ref="A2:A44"/>
  </mergeCells>
  <conditionalFormatting sqref="K46:K1048576 K43 K1:K40">
    <cfRule type="cellIs" dxfId="8" priority="9" operator="lessThan">
      <formula>0</formula>
    </cfRule>
  </conditionalFormatting>
  <conditionalFormatting sqref="K2:T5 K43 K39:K40 N34 K33:M33 K31:L32 N31 N43 N41 N37 K19:M20 K21:L27 N24 N21 K8:T8 K6:N7 P6:T7 K9:N18 K34:L38 K28:N28 K29:M30 P9:T44">
    <cfRule type="cellIs" dxfId="7" priority="8" operator="lessThan">
      <formula>0</formula>
    </cfRule>
  </conditionalFormatting>
  <conditionalFormatting sqref="U3:U44">
    <cfRule type="cellIs" dxfId="6" priority="7" operator="lessThan">
      <formula>0</formula>
    </cfRule>
  </conditionalFormatting>
  <conditionalFormatting sqref="O45:T45">
    <cfRule type="cellIs" dxfId="5" priority="6" operator="lessThan">
      <formula>0</formula>
    </cfRule>
  </conditionalFormatting>
  <conditionalFormatting sqref="F45:N45">
    <cfRule type="cellIs" dxfId="4" priority="5" operator="lessThan">
      <formula>0</formula>
    </cfRule>
  </conditionalFormatting>
  <conditionalFormatting sqref="C45:E45">
    <cfRule type="cellIs" dxfId="3" priority="4" operator="lessThan">
      <formula>0</formula>
    </cfRule>
  </conditionalFormatting>
  <conditionalFormatting sqref="C3:U45">
    <cfRule type="cellIs" dxfId="2" priority="3" operator="greaterThan">
      <formula>0</formula>
    </cfRule>
  </conditionalFormatting>
  <conditionalFormatting sqref="M28">
    <cfRule type="cellIs" dxfId="1" priority="2" operator="lessThan">
      <formula>0</formula>
    </cfRule>
  </conditionalFormatting>
  <conditionalFormatting sqref="M29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עתידי</vt:lpstr>
      <vt:lpstr>עבר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swaxman</dc:creator>
  <cp:lastModifiedBy>User</cp:lastModifiedBy>
  <dcterms:created xsi:type="dcterms:W3CDTF">2022-09-04T09:10:28Z</dcterms:created>
  <dcterms:modified xsi:type="dcterms:W3CDTF">2022-10-03T11:42:40Z</dcterms:modified>
</cp:coreProperties>
</file>