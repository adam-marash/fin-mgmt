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\AppData\Local\Microsoft\Windows\INetCache\Content.Outlook\7OY30YIO\"/>
    </mc:Choice>
  </mc:AlternateContent>
  <xr:revisionPtr revIDLastSave="0" documentId="13_ncr:1_{6DA650FE-66C8-4D09-8867-E9C8FB1F223C}" xr6:coauthVersionLast="36" xr6:coauthVersionMax="36" xr10:uidLastSave="{00000000-0000-0000-0000-000000000000}"/>
  <bookViews>
    <workbookView xWindow="0" yWindow="0" windowWidth="21600" windowHeight="10065" xr2:uid="{8A7991A2-D9D8-480D-ADD3-467808466ECE}"/>
  </bookViews>
  <sheets>
    <sheet name="אקזיט מעודכן 9.23 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23" i="1" l="1"/>
  <c r="D33" i="1" l="1"/>
  <c r="D30" i="1"/>
  <c r="D22" i="1"/>
  <c r="D26" i="1" l="1"/>
  <c r="D27" i="1"/>
  <c r="D31" i="1" l="1"/>
  <c r="C14" i="1"/>
  <c r="C8" i="1" l="1"/>
  <c r="E8" i="1" l="1"/>
  <c r="C29" i="1"/>
  <c r="C21" i="1" l="1"/>
  <c r="C9" i="1"/>
  <c r="C18" i="1"/>
  <c r="C10" i="1"/>
  <c r="C12" i="1" s="1"/>
  <c r="E4" i="1"/>
  <c r="C11" i="1" l="1"/>
  <c r="E7" i="1"/>
  <c r="C13" i="1"/>
  <c r="C15" i="1" s="1"/>
  <c r="E10" i="1" l="1"/>
  <c r="E11" i="1" s="1"/>
  <c r="C22" i="1" l="1"/>
  <c r="E13" i="1"/>
  <c r="E12" i="1"/>
  <c r="H12" i="1" l="1"/>
  <c r="C26" i="1"/>
  <c r="C27" i="1" s="1"/>
  <c r="C28" i="1" s="1"/>
</calcChain>
</file>

<file path=xl/sharedStrings.xml><?xml version="1.0" encoding="utf-8"?>
<sst xmlns="http://schemas.openxmlformats.org/spreadsheetml/2006/main" count="41" uniqueCount="41">
  <si>
    <t>סך ההון בעסקה</t>
  </si>
  <si>
    <t>יתרת קרן מימון</t>
  </si>
  <si>
    <t>יחס הון מעסקה</t>
  </si>
  <si>
    <t xml:space="preserve">הוצאות מכירה </t>
  </si>
  <si>
    <t>סה"כ הון כולל הוצאות</t>
  </si>
  <si>
    <t>סכום המכירה נטו</t>
  </si>
  <si>
    <t>סה"כ מזומנים לחלוקה כולל הון</t>
  </si>
  <si>
    <t>סה"כ תקבול ממכירה נטו</t>
  </si>
  <si>
    <t>15% חלק דה סרוויס</t>
  </si>
  <si>
    <t>חלק דה סרוויס+ מע"מ</t>
  </si>
  <si>
    <t>רווח בניכוי חלק דה סרוויס</t>
  </si>
  <si>
    <t>סה"כ תקבול לפני מס אחרי ניכויים</t>
  </si>
  <si>
    <t>תקבולים</t>
  </si>
  <si>
    <t>TS</t>
  </si>
  <si>
    <t>כל התקבולים בעיסקה</t>
  </si>
  <si>
    <t>שיעור הרווח הכולל</t>
  </si>
  <si>
    <t>IRR</t>
  </si>
  <si>
    <t>הוצאות שוטפות</t>
  </si>
  <si>
    <t>החזר הון</t>
  </si>
  <si>
    <t>הערות</t>
  </si>
  <si>
    <t>החזר מע"מ לחברות על הוצאות עסקה</t>
  </si>
  <si>
    <t>החזר מע"מ לחברות על דמי הצלחה והוצאות שוטפות</t>
  </si>
  <si>
    <t>רווח בניכוי הוצאות שוטפות</t>
  </si>
  <si>
    <t>הוצאות שוטפות - 30 חודשים כולל מע"מ</t>
  </si>
  <si>
    <t>רווח הון במכירה לפני Glacier</t>
  </si>
  <si>
    <t>רווח הון אחרי Glacier</t>
  </si>
  <si>
    <t>חלוקה לאחר חלק Glacier</t>
  </si>
  <si>
    <t>חלקנו תקבול מכירה אחרי Glacier</t>
  </si>
  <si>
    <t>סך תקבול לפני מס</t>
  </si>
  <si>
    <t>ניכוי מס במקור ארה"ב</t>
  </si>
  <si>
    <t>הון לקוחות דה סרוויס בעסקה</t>
  </si>
  <si>
    <t xml:space="preserve">רווח הון ברוטו לקוחות TS </t>
  </si>
  <si>
    <t>תקבולים בניכוי הון עצמי</t>
  </si>
  <si>
    <t>דמי הצלחה Glacier - במונחי 100%</t>
  </si>
  <si>
    <t>נטו העברה לחשבון</t>
  </si>
  <si>
    <t>תקבול בניכוי דמי הצלחה, לפני ניכוי הוצאות שוטפות</t>
  </si>
  <si>
    <t>תמר מרש</t>
  </si>
  <si>
    <t>סכום שהועבר</t>
  </si>
  <si>
    <t>סכום להשלמה</t>
  </si>
  <si>
    <t>חישוב מכירה ותשואות פרויקט דאטה סנטר - תמר מרש</t>
  </si>
  <si>
    <t>מע"מ על הוצאות עסקה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</si>
</sst>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%"/>
    <numFmt numFmtId="165" formatCode="0.0%"/>
    <numFmt numFmtId="166" formatCode="_ * #,##0_ ;_ * \-#,##0_ ;_ * &quot;-&quot;??_ ;_ @_ "/>
    <numFmt numFmtId="167" formatCode="#,##0_ ;\-#,##0\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 readingOrder="2"/>
    </xf>
    <xf numFmtId="165" fontId="2" fillId="0" borderId="0" xfId="2" applyNumberFormat="1" applyFont="1" applyAlignment="1">
      <alignment horizontal="righ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6" fontId="2" fillId="0" borderId="0" xfId="1" applyNumberFormat="1" applyFont="1" applyAlignment="1">
      <alignment horizontal="right"/>
    </xf>
    <xf numFmtId="0" fontId="2" fillId="0" borderId="0" xfId="0" applyFont="1" applyAlignment="1">
      <alignment horizontal="right"/>
    </xf>
    <xf numFmtId="17" fontId="0" fillId="0" borderId="0" xfId="0" applyNumberFormat="1"/>
    <xf numFmtId="166" fontId="3" fillId="0" borderId="0" xfId="1" applyNumberFormat="1" applyFont="1"/>
    <xf numFmtId="9" fontId="1" fillId="0" borderId="0" xfId="2" applyFont="1"/>
    <xf numFmtId="166" fontId="1" fillId="0" borderId="0" xfId="1" applyNumberFormat="1" applyFont="1" applyBorder="1"/>
    <xf numFmtId="3" fontId="0" fillId="0" borderId="0" xfId="0" applyNumberFormat="1"/>
    <xf numFmtId="166" fontId="1" fillId="0" borderId="0" xfId="1" applyNumberFormat="1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165" fontId="2" fillId="0" borderId="0" xfId="2" applyNumberFormat="1" applyFont="1"/>
    <xf numFmtId="166" fontId="2" fillId="0" borderId="0" xfId="0" applyNumberFormat="1" applyFont="1"/>
    <xf numFmtId="43" fontId="0" fillId="0" borderId="0" xfId="0" applyNumberFormat="1"/>
    <xf numFmtId="3" fontId="0" fillId="0" borderId="0" xfId="0" applyNumberFormat="1" applyFill="1" applyAlignment="1">
      <alignment horizontal="right"/>
    </xf>
    <xf numFmtId="0" fontId="0" fillId="0" borderId="0" xfId="0" applyFill="1"/>
    <xf numFmtId="164" fontId="1" fillId="0" borderId="0" xfId="2" applyNumberFormat="1" applyFont="1" applyFill="1" applyAlignment="1">
      <alignment horizontal="right"/>
    </xf>
    <xf numFmtId="166" fontId="0" fillId="0" borderId="0" xfId="0" applyNumberFormat="1" applyFill="1" applyAlignment="1">
      <alignment horizontal="center"/>
    </xf>
    <xf numFmtId="9" fontId="0" fillId="0" borderId="0" xfId="2" applyFont="1"/>
    <xf numFmtId="10" fontId="0" fillId="0" borderId="0" xfId="2" applyNumberFormat="1" applyFont="1"/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 applyFill="1" applyAlignment="1">
      <alignment horizontal="right"/>
    </xf>
    <xf numFmtId="166" fontId="0" fillId="0" borderId="0" xfId="1" applyNumberFormat="1" applyFont="1" applyAlignment="1">
      <alignment horizontal="right" readingOrder="2"/>
    </xf>
    <xf numFmtId="0" fontId="0" fillId="0" borderId="0" xfId="0" applyFill="1" applyAlignment="1">
      <alignment readingOrder="2"/>
    </xf>
    <xf numFmtId="167" fontId="3" fillId="0" borderId="0" xfId="1" applyNumberFormat="1" applyFont="1"/>
    <xf numFmtId="167" fontId="0" fillId="0" borderId="0" xfId="0" applyNumberFormat="1"/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385-8011-49A6-BC43-CD486C91E401}">
  <dimension ref="B1:H34"/>
  <sheetViews>
    <sheetView rightToLeft="1" tabSelected="1" topLeftCell="A12" workbookViewId="0">
      <selection activeCell="E31" sqref="E31"/>
    </sheetView>
  </sheetViews>
  <sheetFormatPr defaultRowHeight="13.5" x14ac:dyDescent="0.35"/>
  <cols>
    <col min="1" max="1" width="2" customWidth="1"/>
    <col min="2" max="2" width="26.5625" customWidth="1"/>
    <col min="3" max="3" width="12.8125" style="1" customWidth="1"/>
    <col min="4" max="4" width="29.0625" customWidth="1"/>
    <col min="5" max="5" width="11.25" style="1" customWidth="1"/>
    <col min="6" max="6" width="13.3125" bestFit="1" customWidth="1"/>
    <col min="8" max="8" width="9.75" bestFit="1" customWidth="1"/>
    <col min="250" max="250" width="2" customWidth="1"/>
    <col min="251" max="251" width="23" customWidth="1"/>
    <col min="252" max="252" width="12" customWidth="1"/>
    <col min="253" max="253" width="24.75" bestFit="1" customWidth="1"/>
    <col min="254" max="254" width="11.25" customWidth="1"/>
    <col min="255" max="255" width="10.3125" customWidth="1"/>
    <col min="256" max="256" width="23.25" bestFit="1" customWidth="1"/>
    <col min="257" max="257" width="14.0625" bestFit="1" customWidth="1"/>
    <col min="258" max="258" width="24.75" bestFit="1" customWidth="1"/>
    <col min="259" max="259" width="9.5" bestFit="1" customWidth="1"/>
    <col min="506" max="506" width="2" customWidth="1"/>
    <col min="507" max="507" width="23" customWidth="1"/>
    <col min="508" max="508" width="12" customWidth="1"/>
    <col min="509" max="509" width="24.75" bestFit="1" customWidth="1"/>
    <col min="510" max="510" width="11.25" customWidth="1"/>
    <col min="511" max="511" width="10.3125" customWidth="1"/>
    <col min="512" max="512" width="23.25" bestFit="1" customWidth="1"/>
    <col min="513" max="513" width="14.0625" bestFit="1" customWidth="1"/>
    <col min="514" max="514" width="24.75" bestFit="1" customWidth="1"/>
    <col min="515" max="515" width="9.5" bestFit="1" customWidth="1"/>
    <col min="762" max="762" width="2" customWidth="1"/>
    <col min="763" max="763" width="23" customWidth="1"/>
    <col min="764" max="764" width="12" customWidth="1"/>
    <col min="765" max="765" width="24.75" bestFit="1" customWidth="1"/>
    <col min="766" max="766" width="11.25" customWidth="1"/>
    <col min="767" max="767" width="10.3125" customWidth="1"/>
    <col min="768" max="768" width="23.25" bestFit="1" customWidth="1"/>
    <col min="769" max="769" width="14.0625" bestFit="1" customWidth="1"/>
    <col min="770" max="770" width="24.75" bestFit="1" customWidth="1"/>
    <col min="771" max="771" width="9.5" bestFit="1" customWidth="1"/>
    <col min="1018" max="1018" width="2" customWidth="1"/>
    <col min="1019" max="1019" width="23" customWidth="1"/>
    <col min="1020" max="1020" width="12" customWidth="1"/>
    <col min="1021" max="1021" width="24.75" bestFit="1" customWidth="1"/>
    <col min="1022" max="1022" width="11.25" customWidth="1"/>
    <col min="1023" max="1023" width="10.3125" customWidth="1"/>
    <col min="1024" max="1024" width="23.25" bestFit="1" customWidth="1"/>
    <col min="1025" max="1025" width="14.0625" bestFit="1" customWidth="1"/>
    <col min="1026" max="1026" width="24.75" bestFit="1" customWidth="1"/>
    <col min="1027" max="1027" width="9.5" bestFit="1" customWidth="1"/>
    <col min="1274" max="1274" width="2" customWidth="1"/>
    <col min="1275" max="1275" width="23" customWidth="1"/>
    <col min="1276" max="1276" width="12" customWidth="1"/>
    <col min="1277" max="1277" width="24.75" bestFit="1" customWidth="1"/>
    <col min="1278" max="1278" width="11.25" customWidth="1"/>
    <col min="1279" max="1279" width="10.3125" customWidth="1"/>
    <col min="1280" max="1280" width="23.25" bestFit="1" customWidth="1"/>
    <col min="1281" max="1281" width="14.0625" bestFit="1" customWidth="1"/>
    <col min="1282" max="1282" width="24.75" bestFit="1" customWidth="1"/>
    <col min="1283" max="1283" width="9.5" bestFit="1" customWidth="1"/>
    <col min="1530" max="1530" width="2" customWidth="1"/>
    <col min="1531" max="1531" width="23" customWidth="1"/>
    <col min="1532" max="1532" width="12" customWidth="1"/>
    <col min="1533" max="1533" width="24.75" bestFit="1" customWidth="1"/>
    <col min="1534" max="1534" width="11.25" customWidth="1"/>
    <col min="1535" max="1535" width="10.3125" customWidth="1"/>
    <col min="1536" max="1536" width="23.25" bestFit="1" customWidth="1"/>
    <col min="1537" max="1537" width="14.0625" bestFit="1" customWidth="1"/>
    <col min="1538" max="1538" width="24.75" bestFit="1" customWidth="1"/>
    <col min="1539" max="1539" width="9.5" bestFit="1" customWidth="1"/>
    <col min="1786" max="1786" width="2" customWidth="1"/>
    <col min="1787" max="1787" width="23" customWidth="1"/>
    <col min="1788" max="1788" width="12" customWidth="1"/>
    <col min="1789" max="1789" width="24.75" bestFit="1" customWidth="1"/>
    <col min="1790" max="1790" width="11.25" customWidth="1"/>
    <col min="1791" max="1791" width="10.3125" customWidth="1"/>
    <col min="1792" max="1792" width="23.25" bestFit="1" customWidth="1"/>
    <col min="1793" max="1793" width="14.0625" bestFit="1" customWidth="1"/>
    <col min="1794" max="1794" width="24.75" bestFit="1" customWidth="1"/>
    <col min="1795" max="1795" width="9.5" bestFit="1" customWidth="1"/>
    <col min="2042" max="2042" width="2" customWidth="1"/>
    <col min="2043" max="2043" width="23" customWidth="1"/>
    <col min="2044" max="2044" width="12" customWidth="1"/>
    <col min="2045" max="2045" width="24.75" bestFit="1" customWidth="1"/>
    <col min="2046" max="2046" width="11.25" customWidth="1"/>
    <col min="2047" max="2047" width="10.3125" customWidth="1"/>
    <col min="2048" max="2048" width="23.25" bestFit="1" customWidth="1"/>
    <col min="2049" max="2049" width="14.0625" bestFit="1" customWidth="1"/>
    <col min="2050" max="2050" width="24.75" bestFit="1" customWidth="1"/>
    <col min="2051" max="2051" width="9.5" bestFit="1" customWidth="1"/>
    <col min="2298" max="2298" width="2" customWidth="1"/>
    <col min="2299" max="2299" width="23" customWidth="1"/>
    <col min="2300" max="2300" width="12" customWidth="1"/>
    <col min="2301" max="2301" width="24.75" bestFit="1" customWidth="1"/>
    <col min="2302" max="2302" width="11.25" customWidth="1"/>
    <col min="2303" max="2303" width="10.3125" customWidth="1"/>
    <col min="2304" max="2304" width="23.25" bestFit="1" customWidth="1"/>
    <col min="2305" max="2305" width="14.0625" bestFit="1" customWidth="1"/>
    <col min="2306" max="2306" width="24.75" bestFit="1" customWidth="1"/>
    <col min="2307" max="2307" width="9.5" bestFit="1" customWidth="1"/>
    <col min="2554" max="2554" width="2" customWidth="1"/>
    <col min="2555" max="2555" width="23" customWidth="1"/>
    <col min="2556" max="2556" width="12" customWidth="1"/>
    <col min="2557" max="2557" width="24.75" bestFit="1" customWidth="1"/>
    <col min="2558" max="2558" width="11.25" customWidth="1"/>
    <col min="2559" max="2559" width="10.3125" customWidth="1"/>
    <col min="2560" max="2560" width="23.25" bestFit="1" customWidth="1"/>
    <col min="2561" max="2561" width="14.0625" bestFit="1" customWidth="1"/>
    <col min="2562" max="2562" width="24.75" bestFit="1" customWidth="1"/>
    <col min="2563" max="2563" width="9.5" bestFit="1" customWidth="1"/>
    <col min="2810" max="2810" width="2" customWidth="1"/>
    <col min="2811" max="2811" width="23" customWidth="1"/>
    <col min="2812" max="2812" width="12" customWidth="1"/>
    <col min="2813" max="2813" width="24.75" bestFit="1" customWidth="1"/>
    <col min="2814" max="2814" width="11.25" customWidth="1"/>
    <col min="2815" max="2815" width="10.3125" customWidth="1"/>
    <col min="2816" max="2816" width="23.25" bestFit="1" customWidth="1"/>
    <col min="2817" max="2817" width="14.0625" bestFit="1" customWidth="1"/>
    <col min="2818" max="2818" width="24.75" bestFit="1" customWidth="1"/>
    <col min="2819" max="2819" width="9.5" bestFit="1" customWidth="1"/>
    <col min="3066" max="3066" width="2" customWidth="1"/>
    <col min="3067" max="3067" width="23" customWidth="1"/>
    <col min="3068" max="3068" width="12" customWidth="1"/>
    <col min="3069" max="3069" width="24.75" bestFit="1" customWidth="1"/>
    <col min="3070" max="3070" width="11.25" customWidth="1"/>
    <col min="3071" max="3071" width="10.3125" customWidth="1"/>
    <col min="3072" max="3072" width="23.25" bestFit="1" customWidth="1"/>
    <col min="3073" max="3073" width="14.0625" bestFit="1" customWidth="1"/>
    <col min="3074" max="3074" width="24.75" bestFit="1" customWidth="1"/>
    <col min="3075" max="3075" width="9.5" bestFit="1" customWidth="1"/>
    <col min="3322" max="3322" width="2" customWidth="1"/>
    <col min="3323" max="3323" width="23" customWidth="1"/>
    <col min="3324" max="3324" width="12" customWidth="1"/>
    <col min="3325" max="3325" width="24.75" bestFit="1" customWidth="1"/>
    <col min="3326" max="3326" width="11.25" customWidth="1"/>
    <col min="3327" max="3327" width="10.3125" customWidth="1"/>
    <col min="3328" max="3328" width="23.25" bestFit="1" customWidth="1"/>
    <col min="3329" max="3329" width="14.0625" bestFit="1" customWidth="1"/>
    <col min="3330" max="3330" width="24.75" bestFit="1" customWidth="1"/>
    <col min="3331" max="3331" width="9.5" bestFit="1" customWidth="1"/>
    <col min="3578" max="3578" width="2" customWidth="1"/>
    <col min="3579" max="3579" width="23" customWidth="1"/>
    <col min="3580" max="3580" width="12" customWidth="1"/>
    <col min="3581" max="3581" width="24.75" bestFit="1" customWidth="1"/>
    <col min="3582" max="3582" width="11.25" customWidth="1"/>
    <col min="3583" max="3583" width="10.3125" customWidth="1"/>
    <col min="3584" max="3584" width="23.25" bestFit="1" customWidth="1"/>
    <col min="3585" max="3585" width="14.0625" bestFit="1" customWidth="1"/>
    <col min="3586" max="3586" width="24.75" bestFit="1" customWidth="1"/>
    <col min="3587" max="3587" width="9.5" bestFit="1" customWidth="1"/>
    <col min="3834" max="3834" width="2" customWidth="1"/>
    <col min="3835" max="3835" width="23" customWidth="1"/>
    <col min="3836" max="3836" width="12" customWidth="1"/>
    <col min="3837" max="3837" width="24.75" bestFit="1" customWidth="1"/>
    <col min="3838" max="3838" width="11.25" customWidth="1"/>
    <col min="3839" max="3839" width="10.3125" customWidth="1"/>
    <col min="3840" max="3840" width="23.25" bestFit="1" customWidth="1"/>
    <col min="3841" max="3841" width="14.0625" bestFit="1" customWidth="1"/>
    <col min="3842" max="3842" width="24.75" bestFit="1" customWidth="1"/>
    <col min="3843" max="3843" width="9.5" bestFit="1" customWidth="1"/>
    <col min="4090" max="4090" width="2" customWidth="1"/>
    <col min="4091" max="4091" width="23" customWidth="1"/>
    <col min="4092" max="4092" width="12" customWidth="1"/>
    <col min="4093" max="4093" width="24.75" bestFit="1" customWidth="1"/>
    <col min="4094" max="4094" width="11.25" customWidth="1"/>
    <col min="4095" max="4095" width="10.3125" customWidth="1"/>
    <col min="4096" max="4096" width="23.25" bestFit="1" customWidth="1"/>
    <col min="4097" max="4097" width="14.0625" bestFit="1" customWidth="1"/>
    <col min="4098" max="4098" width="24.75" bestFit="1" customWidth="1"/>
    <col min="4099" max="4099" width="9.5" bestFit="1" customWidth="1"/>
    <col min="4346" max="4346" width="2" customWidth="1"/>
    <col min="4347" max="4347" width="23" customWidth="1"/>
    <col min="4348" max="4348" width="12" customWidth="1"/>
    <col min="4349" max="4349" width="24.75" bestFit="1" customWidth="1"/>
    <col min="4350" max="4350" width="11.25" customWidth="1"/>
    <col min="4351" max="4351" width="10.3125" customWidth="1"/>
    <col min="4352" max="4352" width="23.25" bestFit="1" customWidth="1"/>
    <col min="4353" max="4353" width="14.0625" bestFit="1" customWidth="1"/>
    <col min="4354" max="4354" width="24.75" bestFit="1" customWidth="1"/>
    <col min="4355" max="4355" width="9.5" bestFit="1" customWidth="1"/>
    <col min="4602" max="4602" width="2" customWidth="1"/>
    <col min="4603" max="4603" width="23" customWidth="1"/>
    <col min="4604" max="4604" width="12" customWidth="1"/>
    <col min="4605" max="4605" width="24.75" bestFit="1" customWidth="1"/>
    <col min="4606" max="4606" width="11.25" customWidth="1"/>
    <col min="4607" max="4607" width="10.3125" customWidth="1"/>
    <col min="4608" max="4608" width="23.25" bestFit="1" customWidth="1"/>
    <col min="4609" max="4609" width="14.0625" bestFit="1" customWidth="1"/>
    <col min="4610" max="4610" width="24.75" bestFit="1" customWidth="1"/>
    <col min="4611" max="4611" width="9.5" bestFit="1" customWidth="1"/>
    <col min="4858" max="4858" width="2" customWidth="1"/>
    <col min="4859" max="4859" width="23" customWidth="1"/>
    <col min="4860" max="4860" width="12" customWidth="1"/>
    <col min="4861" max="4861" width="24.75" bestFit="1" customWidth="1"/>
    <col min="4862" max="4862" width="11.25" customWidth="1"/>
    <col min="4863" max="4863" width="10.3125" customWidth="1"/>
    <col min="4864" max="4864" width="23.25" bestFit="1" customWidth="1"/>
    <col min="4865" max="4865" width="14.0625" bestFit="1" customWidth="1"/>
    <col min="4866" max="4866" width="24.75" bestFit="1" customWidth="1"/>
    <col min="4867" max="4867" width="9.5" bestFit="1" customWidth="1"/>
    <col min="5114" max="5114" width="2" customWidth="1"/>
    <col min="5115" max="5115" width="23" customWidth="1"/>
    <col min="5116" max="5116" width="12" customWidth="1"/>
    <col min="5117" max="5117" width="24.75" bestFit="1" customWidth="1"/>
    <col min="5118" max="5118" width="11.25" customWidth="1"/>
    <col min="5119" max="5119" width="10.3125" customWidth="1"/>
    <col min="5120" max="5120" width="23.25" bestFit="1" customWidth="1"/>
    <col min="5121" max="5121" width="14.0625" bestFit="1" customWidth="1"/>
    <col min="5122" max="5122" width="24.75" bestFit="1" customWidth="1"/>
    <col min="5123" max="5123" width="9.5" bestFit="1" customWidth="1"/>
    <col min="5370" max="5370" width="2" customWidth="1"/>
    <col min="5371" max="5371" width="23" customWidth="1"/>
    <col min="5372" max="5372" width="12" customWidth="1"/>
    <col min="5373" max="5373" width="24.75" bestFit="1" customWidth="1"/>
    <col min="5374" max="5374" width="11.25" customWidth="1"/>
    <col min="5375" max="5375" width="10.3125" customWidth="1"/>
    <col min="5376" max="5376" width="23.25" bestFit="1" customWidth="1"/>
    <col min="5377" max="5377" width="14.0625" bestFit="1" customWidth="1"/>
    <col min="5378" max="5378" width="24.75" bestFit="1" customWidth="1"/>
    <col min="5379" max="5379" width="9.5" bestFit="1" customWidth="1"/>
    <col min="5626" max="5626" width="2" customWidth="1"/>
    <col min="5627" max="5627" width="23" customWidth="1"/>
    <col min="5628" max="5628" width="12" customWidth="1"/>
    <col min="5629" max="5629" width="24.75" bestFit="1" customWidth="1"/>
    <col min="5630" max="5630" width="11.25" customWidth="1"/>
    <col min="5631" max="5631" width="10.3125" customWidth="1"/>
    <col min="5632" max="5632" width="23.25" bestFit="1" customWidth="1"/>
    <col min="5633" max="5633" width="14.0625" bestFit="1" customWidth="1"/>
    <col min="5634" max="5634" width="24.75" bestFit="1" customWidth="1"/>
    <col min="5635" max="5635" width="9.5" bestFit="1" customWidth="1"/>
    <col min="5882" max="5882" width="2" customWidth="1"/>
    <col min="5883" max="5883" width="23" customWidth="1"/>
    <col min="5884" max="5884" width="12" customWidth="1"/>
    <col min="5885" max="5885" width="24.75" bestFit="1" customWidth="1"/>
    <col min="5886" max="5886" width="11.25" customWidth="1"/>
    <col min="5887" max="5887" width="10.3125" customWidth="1"/>
    <col min="5888" max="5888" width="23.25" bestFit="1" customWidth="1"/>
    <col min="5889" max="5889" width="14.0625" bestFit="1" customWidth="1"/>
    <col min="5890" max="5890" width="24.75" bestFit="1" customWidth="1"/>
    <col min="5891" max="5891" width="9.5" bestFit="1" customWidth="1"/>
    <col min="6138" max="6138" width="2" customWidth="1"/>
    <col min="6139" max="6139" width="23" customWidth="1"/>
    <col min="6140" max="6140" width="12" customWidth="1"/>
    <col min="6141" max="6141" width="24.75" bestFit="1" customWidth="1"/>
    <col min="6142" max="6142" width="11.25" customWidth="1"/>
    <col min="6143" max="6143" width="10.3125" customWidth="1"/>
    <col min="6144" max="6144" width="23.25" bestFit="1" customWidth="1"/>
    <col min="6145" max="6145" width="14.0625" bestFit="1" customWidth="1"/>
    <col min="6146" max="6146" width="24.75" bestFit="1" customWidth="1"/>
    <col min="6147" max="6147" width="9.5" bestFit="1" customWidth="1"/>
    <col min="6394" max="6394" width="2" customWidth="1"/>
    <col min="6395" max="6395" width="23" customWidth="1"/>
    <col min="6396" max="6396" width="12" customWidth="1"/>
    <col min="6397" max="6397" width="24.75" bestFit="1" customWidth="1"/>
    <col min="6398" max="6398" width="11.25" customWidth="1"/>
    <col min="6399" max="6399" width="10.3125" customWidth="1"/>
    <col min="6400" max="6400" width="23.25" bestFit="1" customWidth="1"/>
    <col min="6401" max="6401" width="14.0625" bestFit="1" customWidth="1"/>
    <col min="6402" max="6402" width="24.75" bestFit="1" customWidth="1"/>
    <col min="6403" max="6403" width="9.5" bestFit="1" customWidth="1"/>
    <col min="6650" max="6650" width="2" customWidth="1"/>
    <col min="6651" max="6651" width="23" customWidth="1"/>
    <col min="6652" max="6652" width="12" customWidth="1"/>
    <col min="6653" max="6653" width="24.75" bestFit="1" customWidth="1"/>
    <col min="6654" max="6654" width="11.25" customWidth="1"/>
    <col min="6655" max="6655" width="10.3125" customWidth="1"/>
    <col min="6656" max="6656" width="23.25" bestFit="1" customWidth="1"/>
    <col min="6657" max="6657" width="14.0625" bestFit="1" customWidth="1"/>
    <col min="6658" max="6658" width="24.75" bestFit="1" customWidth="1"/>
    <col min="6659" max="6659" width="9.5" bestFit="1" customWidth="1"/>
    <col min="6906" max="6906" width="2" customWidth="1"/>
    <col min="6907" max="6907" width="23" customWidth="1"/>
    <col min="6908" max="6908" width="12" customWidth="1"/>
    <col min="6909" max="6909" width="24.75" bestFit="1" customWidth="1"/>
    <col min="6910" max="6910" width="11.25" customWidth="1"/>
    <col min="6911" max="6911" width="10.3125" customWidth="1"/>
    <col min="6912" max="6912" width="23.25" bestFit="1" customWidth="1"/>
    <col min="6913" max="6913" width="14.0625" bestFit="1" customWidth="1"/>
    <col min="6914" max="6914" width="24.75" bestFit="1" customWidth="1"/>
    <col min="6915" max="6915" width="9.5" bestFit="1" customWidth="1"/>
    <col min="7162" max="7162" width="2" customWidth="1"/>
    <col min="7163" max="7163" width="23" customWidth="1"/>
    <col min="7164" max="7164" width="12" customWidth="1"/>
    <col min="7165" max="7165" width="24.75" bestFit="1" customWidth="1"/>
    <col min="7166" max="7166" width="11.25" customWidth="1"/>
    <col min="7167" max="7167" width="10.3125" customWidth="1"/>
    <col min="7168" max="7168" width="23.25" bestFit="1" customWidth="1"/>
    <col min="7169" max="7169" width="14.0625" bestFit="1" customWidth="1"/>
    <col min="7170" max="7170" width="24.75" bestFit="1" customWidth="1"/>
    <col min="7171" max="7171" width="9.5" bestFit="1" customWidth="1"/>
    <col min="7418" max="7418" width="2" customWidth="1"/>
    <col min="7419" max="7419" width="23" customWidth="1"/>
    <col min="7420" max="7420" width="12" customWidth="1"/>
    <col min="7421" max="7421" width="24.75" bestFit="1" customWidth="1"/>
    <col min="7422" max="7422" width="11.25" customWidth="1"/>
    <col min="7423" max="7423" width="10.3125" customWidth="1"/>
    <col min="7424" max="7424" width="23.25" bestFit="1" customWidth="1"/>
    <col min="7425" max="7425" width="14.0625" bestFit="1" customWidth="1"/>
    <col min="7426" max="7426" width="24.75" bestFit="1" customWidth="1"/>
    <col min="7427" max="7427" width="9.5" bestFit="1" customWidth="1"/>
    <col min="7674" max="7674" width="2" customWidth="1"/>
    <col min="7675" max="7675" width="23" customWidth="1"/>
    <col min="7676" max="7676" width="12" customWidth="1"/>
    <col min="7677" max="7677" width="24.75" bestFit="1" customWidth="1"/>
    <col min="7678" max="7678" width="11.25" customWidth="1"/>
    <col min="7679" max="7679" width="10.3125" customWidth="1"/>
    <col min="7680" max="7680" width="23.25" bestFit="1" customWidth="1"/>
    <col min="7681" max="7681" width="14.0625" bestFit="1" customWidth="1"/>
    <col min="7682" max="7682" width="24.75" bestFit="1" customWidth="1"/>
    <col min="7683" max="7683" width="9.5" bestFit="1" customWidth="1"/>
    <col min="7930" max="7930" width="2" customWidth="1"/>
    <col min="7931" max="7931" width="23" customWidth="1"/>
    <col min="7932" max="7932" width="12" customWidth="1"/>
    <col min="7933" max="7933" width="24.75" bestFit="1" customWidth="1"/>
    <col min="7934" max="7934" width="11.25" customWidth="1"/>
    <col min="7935" max="7935" width="10.3125" customWidth="1"/>
    <col min="7936" max="7936" width="23.25" bestFit="1" customWidth="1"/>
    <col min="7937" max="7937" width="14.0625" bestFit="1" customWidth="1"/>
    <col min="7938" max="7938" width="24.75" bestFit="1" customWidth="1"/>
    <col min="7939" max="7939" width="9.5" bestFit="1" customWidth="1"/>
    <col min="8186" max="8186" width="2" customWidth="1"/>
    <col min="8187" max="8187" width="23" customWidth="1"/>
    <col min="8188" max="8188" width="12" customWidth="1"/>
    <col min="8189" max="8189" width="24.75" bestFit="1" customWidth="1"/>
    <col min="8190" max="8190" width="11.25" customWidth="1"/>
    <col min="8191" max="8191" width="10.3125" customWidth="1"/>
    <col min="8192" max="8192" width="23.25" bestFit="1" customWidth="1"/>
    <col min="8193" max="8193" width="14.0625" bestFit="1" customWidth="1"/>
    <col min="8194" max="8194" width="24.75" bestFit="1" customWidth="1"/>
    <col min="8195" max="8195" width="9.5" bestFit="1" customWidth="1"/>
    <col min="8442" max="8442" width="2" customWidth="1"/>
    <col min="8443" max="8443" width="23" customWidth="1"/>
    <col min="8444" max="8444" width="12" customWidth="1"/>
    <col min="8445" max="8445" width="24.75" bestFit="1" customWidth="1"/>
    <col min="8446" max="8446" width="11.25" customWidth="1"/>
    <col min="8447" max="8447" width="10.3125" customWidth="1"/>
    <col min="8448" max="8448" width="23.25" bestFit="1" customWidth="1"/>
    <col min="8449" max="8449" width="14.0625" bestFit="1" customWidth="1"/>
    <col min="8450" max="8450" width="24.75" bestFit="1" customWidth="1"/>
    <col min="8451" max="8451" width="9.5" bestFit="1" customWidth="1"/>
    <col min="8698" max="8698" width="2" customWidth="1"/>
    <col min="8699" max="8699" width="23" customWidth="1"/>
    <col min="8700" max="8700" width="12" customWidth="1"/>
    <col min="8701" max="8701" width="24.75" bestFit="1" customWidth="1"/>
    <col min="8702" max="8702" width="11.25" customWidth="1"/>
    <col min="8703" max="8703" width="10.3125" customWidth="1"/>
    <col min="8704" max="8704" width="23.25" bestFit="1" customWidth="1"/>
    <col min="8705" max="8705" width="14.0625" bestFit="1" customWidth="1"/>
    <col min="8706" max="8706" width="24.75" bestFit="1" customWidth="1"/>
    <col min="8707" max="8707" width="9.5" bestFit="1" customWidth="1"/>
    <col min="8954" max="8954" width="2" customWidth="1"/>
    <col min="8955" max="8955" width="23" customWidth="1"/>
    <col min="8956" max="8956" width="12" customWidth="1"/>
    <col min="8957" max="8957" width="24.75" bestFit="1" customWidth="1"/>
    <col min="8958" max="8958" width="11.25" customWidth="1"/>
    <col min="8959" max="8959" width="10.3125" customWidth="1"/>
    <col min="8960" max="8960" width="23.25" bestFit="1" customWidth="1"/>
    <col min="8961" max="8961" width="14.0625" bestFit="1" customWidth="1"/>
    <col min="8962" max="8962" width="24.75" bestFit="1" customWidth="1"/>
    <col min="8963" max="8963" width="9.5" bestFit="1" customWidth="1"/>
    <col min="9210" max="9210" width="2" customWidth="1"/>
    <col min="9211" max="9211" width="23" customWidth="1"/>
    <col min="9212" max="9212" width="12" customWidth="1"/>
    <col min="9213" max="9213" width="24.75" bestFit="1" customWidth="1"/>
    <col min="9214" max="9214" width="11.25" customWidth="1"/>
    <col min="9215" max="9215" width="10.3125" customWidth="1"/>
    <col min="9216" max="9216" width="23.25" bestFit="1" customWidth="1"/>
    <col min="9217" max="9217" width="14.0625" bestFit="1" customWidth="1"/>
    <col min="9218" max="9218" width="24.75" bestFit="1" customWidth="1"/>
    <col min="9219" max="9219" width="9.5" bestFit="1" customWidth="1"/>
    <col min="9466" max="9466" width="2" customWidth="1"/>
    <col min="9467" max="9467" width="23" customWidth="1"/>
    <col min="9468" max="9468" width="12" customWidth="1"/>
    <col min="9469" max="9469" width="24.75" bestFit="1" customWidth="1"/>
    <col min="9470" max="9470" width="11.25" customWidth="1"/>
    <col min="9471" max="9471" width="10.3125" customWidth="1"/>
    <col min="9472" max="9472" width="23.25" bestFit="1" customWidth="1"/>
    <col min="9473" max="9473" width="14.0625" bestFit="1" customWidth="1"/>
    <col min="9474" max="9474" width="24.75" bestFit="1" customWidth="1"/>
    <col min="9475" max="9475" width="9.5" bestFit="1" customWidth="1"/>
    <col min="9722" max="9722" width="2" customWidth="1"/>
    <col min="9723" max="9723" width="23" customWidth="1"/>
    <col min="9724" max="9724" width="12" customWidth="1"/>
    <col min="9725" max="9725" width="24.75" bestFit="1" customWidth="1"/>
    <col min="9726" max="9726" width="11.25" customWidth="1"/>
    <col min="9727" max="9727" width="10.3125" customWidth="1"/>
    <col min="9728" max="9728" width="23.25" bestFit="1" customWidth="1"/>
    <col min="9729" max="9729" width="14.0625" bestFit="1" customWidth="1"/>
    <col min="9730" max="9730" width="24.75" bestFit="1" customWidth="1"/>
    <col min="9731" max="9731" width="9.5" bestFit="1" customWidth="1"/>
    <col min="9978" max="9978" width="2" customWidth="1"/>
    <col min="9979" max="9979" width="23" customWidth="1"/>
    <col min="9980" max="9980" width="12" customWidth="1"/>
    <col min="9981" max="9981" width="24.75" bestFit="1" customWidth="1"/>
    <col min="9982" max="9982" width="11.25" customWidth="1"/>
    <col min="9983" max="9983" width="10.3125" customWidth="1"/>
    <col min="9984" max="9984" width="23.25" bestFit="1" customWidth="1"/>
    <col min="9985" max="9985" width="14.0625" bestFit="1" customWidth="1"/>
    <col min="9986" max="9986" width="24.75" bestFit="1" customWidth="1"/>
    <col min="9987" max="9987" width="9.5" bestFit="1" customWidth="1"/>
    <col min="10234" max="10234" width="2" customWidth="1"/>
    <col min="10235" max="10235" width="23" customWidth="1"/>
    <col min="10236" max="10236" width="12" customWidth="1"/>
    <col min="10237" max="10237" width="24.75" bestFit="1" customWidth="1"/>
    <col min="10238" max="10238" width="11.25" customWidth="1"/>
    <col min="10239" max="10239" width="10.3125" customWidth="1"/>
    <col min="10240" max="10240" width="23.25" bestFit="1" customWidth="1"/>
    <col min="10241" max="10241" width="14.0625" bestFit="1" customWidth="1"/>
    <col min="10242" max="10242" width="24.75" bestFit="1" customWidth="1"/>
    <col min="10243" max="10243" width="9.5" bestFit="1" customWidth="1"/>
    <col min="10490" max="10490" width="2" customWidth="1"/>
    <col min="10491" max="10491" width="23" customWidth="1"/>
    <col min="10492" max="10492" width="12" customWidth="1"/>
    <col min="10493" max="10493" width="24.75" bestFit="1" customWidth="1"/>
    <col min="10494" max="10494" width="11.25" customWidth="1"/>
    <col min="10495" max="10495" width="10.3125" customWidth="1"/>
    <col min="10496" max="10496" width="23.25" bestFit="1" customWidth="1"/>
    <col min="10497" max="10497" width="14.0625" bestFit="1" customWidth="1"/>
    <col min="10498" max="10498" width="24.75" bestFit="1" customWidth="1"/>
    <col min="10499" max="10499" width="9.5" bestFit="1" customWidth="1"/>
    <col min="10746" max="10746" width="2" customWidth="1"/>
    <col min="10747" max="10747" width="23" customWidth="1"/>
    <col min="10748" max="10748" width="12" customWidth="1"/>
    <col min="10749" max="10749" width="24.75" bestFit="1" customWidth="1"/>
    <col min="10750" max="10750" width="11.25" customWidth="1"/>
    <col min="10751" max="10751" width="10.3125" customWidth="1"/>
    <col min="10752" max="10752" width="23.25" bestFit="1" customWidth="1"/>
    <col min="10753" max="10753" width="14.0625" bestFit="1" customWidth="1"/>
    <col min="10754" max="10754" width="24.75" bestFit="1" customWidth="1"/>
    <col min="10755" max="10755" width="9.5" bestFit="1" customWidth="1"/>
    <col min="11002" max="11002" width="2" customWidth="1"/>
    <col min="11003" max="11003" width="23" customWidth="1"/>
    <col min="11004" max="11004" width="12" customWidth="1"/>
    <col min="11005" max="11005" width="24.75" bestFit="1" customWidth="1"/>
    <col min="11006" max="11006" width="11.25" customWidth="1"/>
    <col min="11007" max="11007" width="10.3125" customWidth="1"/>
    <col min="11008" max="11008" width="23.25" bestFit="1" customWidth="1"/>
    <col min="11009" max="11009" width="14.0625" bestFit="1" customWidth="1"/>
    <col min="11010" max="11010" width="24.75" bestFit="1" customWidth="1"/>
    <col min="11011" max="11011" width="9.5" bestFit="1" customWidth="1"/>
    <col min="11258" max="11258" width="2" customWidth="1"/>
    <col min="11259" max="11259" width="23" customWidth="1"/>
    <col min="11260" max="11260" width="12" customWidth="1"/>
    <col min="11261" max="11261" width="24.75" bestFit="1" customWidth="1"/>
    <col min="11262" max="11262" width="11.25" customWidth="1"/>
    <col min="11263" max="11263" width="10.3125" customWidth="1"/>
    <col min="11264" max="11264" width="23.25" bestFit="1" customWidth="1"/>
    <col min="11265" max="11265" width="14.0625" bestFit="1" customWidth="1"/>
    <col min="11266" max="11266" width="24.75" bestFit="1" customWidth="1"/>
    <col min="11267" max="11267" width="9.5" bestFit="1" customWidth="1"/>
    <col min="11514" max="11514" width="2" customWidth="1"/>
    <col min="11515" max="11515" width="23" customWidth="1"/>
    <col min="11516" max="11516" width="12" customWidth="1"/>
    <col min="11517" max="11517" width="24.75" bestFit="1" customWidth="1"/>
    <col min="11518" max="11518" width="11.25" customWidth="1"/>
    <col min="11519" max="11519" width="10.3125" customWidth="1"/>
    <col min="11520" max="11520" width="23.25" bestFit="1" customWidth="1"/>
    <col min="11521" max="11521" width="14.0625" bestFit="1" customWidth="1"/>
    <col min="11522" max="11522" width="24.75" bestFit="1" customWidth="1"/>
    <col min="11523" max="11523" width="9.5" bestFit="1" customWidth="1"/>
    <col min="11770" max="11770" width="2" customWidth="1"/>
    <col min="11771" max="11771" width="23" customWidth="1"/>
    <col min="11772" max="11772" width="12" customWidth="1"/>
    <col min="11773" max="11773" width="24.75" bestFit="1" customWidth="1"/>
    <col min="11774" max="11774" width="11.25" customWidth="1"/>
    <col min="11775" max="11775" width="10.3125" customWidth="1"/>
    <col min="11776" max="11776" width="23.25" bestFit="1" customWidth="1"/>
    <col min="11777" max="11777" width="14.0625" bestFit="1" customWidth="1"/>
    <col min="11778" max="11778" width="24.75" bestFit="1" customWidth="1"/>
    <col min="11779" max="11779" width="9.5" bestFit="1" customWidth="1"/>
    <col min="12026" max="12026" width="2" customWidth="1"/>
    <col min="12027" max="12027" width="23" customWidth="1"/>
    <col min="12028" max="12028" width="12" customWidth="1"/>
    <col min="12029" max="12029" width="24.75" bestFit="1" customWidth="1"/>
    <col min="12030" max="12030" width="11.25" customWidth="1"/>
    <col min="12031" max="12031" width="10.3125" customWidth="1"/>
    <col min="12032" max="12032" width="23.25" bestFit="1" customWidth="1"/>
    <col min="12033" max="12033" width="14.0625" bestFit="1" customWidth="1"/>
    <col min="12034" max="12034" width="24.75" bestFit="1" customWidth="1"/>
    <col min="12035" max="12035" width="9.5" bestFit="1" customWidth="1"/>
    <col min="12282" max="12282" width="2" customWidth="1"/>
    <col min="12283" max="12283" width="23" customWidth="1"/>
    <col min="12284" max="12284" width="12" customWidth="1"/>
    <col min="12285" max="12285" width="24.75" bestFit="1" customWidth="1"/>
    <col min="12286" max="12286" width="11.25" customWidth="1"/>
    <col min="12287" max="12287" width="10.3125" customWidth="1"/>
    <col min="12288" max="12288" width="23.25" bestFit="1" customWidth="1"/>
    <col min="12289" max="12289" width="14.0625" bestFit="1" customWidth="1"/>
    <col min="12290" max="12290" width="24.75" bestFit="1" customWidth="1"/>
    <col min="12291" max="12291" width="9.5" bestFit="1" customWidth="1"/>
    <col min="12538" max="12538" width="2" customWidth="1"/>
    <col min="12539" max="12539" width="23" customWidth="1"/>
    <col min="12540" max="12540" width="12" customWidth="1"/>
    <col min="12541" max="12541" width="24.75" bestFit="1" customWidth="1"/>
    <col min="12542" max="12542" width="11.25" customWidth="1"/>
    <col min="12543" max="12543" width="10.3125" customWidth="1"/>
    <col min="12544" max="12544" width="23.25" bestFit="1" customWidth="1"/>
    <col min="12545" max="12545" width="14.0625" bestFit="1" customWidth="1"/>
    <col min="12546" max="12546" width="24.75" bestFit="1" customWidth="1"/>
    <col min="12547" max="12547" width="9.5" bestFit="1" customWidth="1"/>
    <col min="12794" max="12794" width="2" customWidth="1"/>
    <col min="12795" max="12795" width="23" customWidth="1"/>
    <col min="12796" max="12796" width="12" customWidth="1"/>
    <col min="12797" max="12797" width="24.75" bestFit="1" customWidth="1"/>
    <col min="12798" max="12798" width="11.25" customWidth="1"/>
    <col min="12799" max="12799" width="10.3125" customWidth="1"/>
    <col min="12800" max="12800" width="23.25" bestFit="1" customWidth="1"/>
    <col min="12801" max="12801" width="14.0625" bestFit="1" customWidth="1"/>
    <col min="12802" max="12802" width="24.75" bestFit="1" customWidth="1"/>
    <col min="12803" max="12803" width="9.5" bestFit="1" customWidth="1"/>
    <col min="13050" max="13050" width="2" customWidth="1"/>
    <col min="13051" max="13051" width="23" customWidth="1"/>
    <col min="13052" max="13052" width="12" customWidth="1"/>
    <col min="13053" max="13053" width="24.75" bestFit="1" customWidth="1"/>
    <col min="13054" max="13054" width="11.25" customWidth="1"/>
    <col min="13055" max="13055" width="10.3125" customWidth="1"/>
    <col min="13056" max="13056" width="23.25" bestFit="1" customWidth="1"/>
    <col min="13057" max="13057" width="14.0625" bestFit="1" customWidth="1"/>
    <col min="13058" max="13058" width="24.75" bestFit="1" customWidth="1"/>
    <col min="13059" max="13059" width="9.5" bestFit="1" customWidth="1"/>
    <col min="13306" max="13306" width="2" customWidth="1"/>
    <col min="13307" max="13307" width="23" customWidth="1"/>
    <col min="13308" max="13308" width="12" customWidth="1"/>
    <col min="13309" max="13309" width="24.75" bestFit="1" customWidth="1"/>
    <col min="13310" max="13310" width="11.25" customWidth="1"/>
    <col min="13311" max="13311" width="10.3125" customWidth="1"/>
    <col min="13312" max="13312" width="23.25" bestFit="1" customWidth="1"/>
    <col min="13313" max="13313" width="14.0625" bestFit="1" customWidth="1"/>
    <col min="13314" max="13314" width="24.75" bestFit="1" customWidth="1"/>
    <col min="13315" max="13315" width="9.5" bestFit="1" customWidth="1"/>
    <col min="13562" max="13562" width="2" customWidth="1"/>
    <col min="13563" max="13563" width="23" customWidth="1"/>
    <col min="13564" max="13564" width="12" customWidth="1"/>
    <col min="13565" max="13565" width="24.75" bestFit="1" customWidth="1"/>
    <col min="13566" max="13566" width="11.25" customWidth="1"/>
    <col min="13567" max="13567" width="10.3125" customWidth="1"/>
    <col min="13568" max="13568" width="23.25" bestFit="1" customWidth="1"/>
    <col min="13569" max="13569" width="14.0625" bestFit="1" customWidth="1"/>
    <col min="13570" max="13570" width="24.75" bestFit="1" customWidth="1"/>
    <col min="13571" max="13571" width="9.5" bestFit="1" customWidth="1"/>
    <col min="13818" max="13818" width="2" customWidth="1"/>
    <col min="13819" max="13819" width="23" customWidth="1"/>
    <col min="13820" max="13820" width="12" customWidth="1"/>
    <col min="13821" max="13821" width="24.75" bestFit="1" customWidth="1"/>
    <col min="13822" max="13822" width="11.25" customWidth="1"/>
    <col min="13823" max="13823" width="10.3125" customWidth="1"/>
    <col min="13824" max="13824" width="23.25" bestFit="1" customWidth="1"/>
    <col min="13825" max="13825" width="14.0625" bestFit="1" customWidth="1"/>
    <col min="13826" max="13826" width="24.75" bestFit="1" customWidth="1"/>
    <col min="13827" max="13827" width="9.5" bestFit="1" customWidth="1"/>
    <col min="14074" max="14074" width="2" customWidth="1"/>
    <col min="14075" max="14075" width="23" customWidth="1"/>
    <col min="14076" max="14076" width="12" customWidth="1"/>
    <col min="14077" max="14077" width="24.75" bestFit="1" customWidth="1"/>
    <col min="14078" max="14078" width="11.25" customWidth="1"/>
    <col min="14079" max="14079" width="10.3125" customWidth="1"/>
    <col min="14080" max="14080" width="23.25" bestFit="1" customWidth="1"/>
    <col min="14081" max="14081" width="14.0625" bestFit="1" customWidth="1"/>
    <col min="14082" max="14082" width="24.75" bestFit="1" customWidth="1"/>
    <col min="14083" max="14083" width="9.5" bestFit="1" customWidth="1"/>
    <col min="14330" max="14330" width="2" customWidth="1"/>
    <col min="14331" max="14331" width="23" customWidth="1"/>
    <col min="14332" max="14332" width="12" customWidth="1"/>
    <col min="14333" max="14333" width="24.75" bestFit="1" customWidth="1"/>
    <col min="14334" max="14334" width="11.25" customWidth="1"/>
    <col min="14335" max="14335" width="10.3125" customWidth="1"/>
    <col min="14336" max="14336" width="23.25" bestFit="1" customWidth="1"/>
    <col min="14337" max="14337" width="14.0625" bestFit="1" customWidth="1"/>
    <col min="14338" max="14338" width="24.75" bestFit="1" customWidth="1"/>
    <col min="14339" max="14339" width="9.5" bestFit="1" customWidth="1"/>
    <col min="14586" max="14586" width="2" customWidth="1"/>
    <col min="14587" max="14587" width="23" customWidth="1"/>
    <col min="14588" max="14588" width="12" customWidth="1"/>
    <col min="14589" max="14589" width="24.75" bestFit="1" customWidth="1"/>
    <col min="14590" max="14590" width="11.25" customWidth="1"/>
    <col min="14591" max="14591" width="10.3125" customWidth="1"/>
    <col min="14592" max="14592" width="23.25" bestFit="1" customWidth="1"/>
    <col min="14593" max="14593" width="14.0625" bestFit="1" customWidth="1"/>
    <col min="14594" max="14594" width="24.75" bestFit="1" customWidth="1"/>
    <col min="14595" max="14595" width="9.5" bestFit="1" customWidth="1"/>
    <col min="14842" max="14842" width="2" customWidth="1"/>
    <col min="14843" max="14843" width="23" customWidth="1"/>
    <col min="14844" max="14844" width="12" customWidth="1"/>
    <col min="14845" max="14845" width="24.75" bestFit="1" customWidth="1"/>
    <col min="14846" max="14846" width="11.25" customWidth="1"/>
    <col min="14847" max="14847" width="10.3125" customWidth="1"/>
    <col min="14848" max="14848" width="23.25" bestFit="1" customWidth="1"/>
    <col min="14849" max="14849" width="14.0625" bestFit="1" customWidth="1"/>
    <col min="14850" max="14850" width="24.75" bestFit="1" customWidth="1"/>
    <col min="14851" max="14851" width="9.5" bestFit="1" customWidth="1"/>
    <col min="15098" max="15098" width="2" customWidth="1"/>
    <col min="15099" max="15099" width="23" customWidth="1"/>
    <col min="15100" max="15100" width="12" customWidth="1"/>
    <col min="15101" max="15101" width="24.75" bestFit="1" customWidth="1"/>
    <col min="15102" max="15102" width="11.25" customWidth="1"/>
    <col min="15103" max="15103" width="10.3125" customWidth="1"/>
    <col min="15104" max="15104" width="23.25" bestFit="1" customWidth="1"/>
    <col min="15105" max="15105" width="14.0625" bestFit="1" customWidth="1"/>
    <col min="15106" max="15106" width="24.75" bestFit="1" customWidth="1"/>
    <col min="15107" max="15107" width="9.5" bestFit="1" customWidth="1"/>
    <col min="15354" max="15354" width="2" customWidth="1"/>
    <col min="15355" max="15355" width="23" customWidth="1"/>
    <col min="15356" max="15356" width="12" customWidth="1"/>
    <col min="15357" max="15357" width="24.75" bestFit="1" customWidth="1"/>
    <col min="15358" max="15358" width="11.25" customWidth="1"/>
    <col min="15359" max="15359" width="10.3125" customWidth="1"/>
    <col min="15360" max="15360" width="23.25" bestFit="1" customWidth="1"/>
    <col min="15361" max="15361" width="14.0625" bestFit="1" customWidth="1"/>
    <col min="15362" max="15362" width="24.75" bestFit="1" customWidth="1"/>
    <col min="15363" max="15363" width="9.5" bestFit="1" customWidth="1"/>
    <col min="15610" max="15610" width="2" customWidth="1"/>
    <col min="15611" max="15611" width="23" customWidth="1"/>
    <col min="15612" max="15612" width="12" customWidth="1"/>
    <col min="15613" max="15613" width="24.75" bestFit="1" customWidth="1"/>
    <col min="15614" max="15614" width="11.25" customWidth="1"/>
    <col min="15615" max="15615" width="10.3125" customWidth="1"/>
    <col min="15616" max="15616" width="23.25" bestFit="1" customWidth="1"/>
    <col min="15617" max="15617" width="14.0625" bestFit="1" customWidth="1"/>
    <col min="15618" max="15618" width="24.75" bestFit="1" customWidth="1"/>
    <col min="15619" max="15619" width="9.5" bestFit="1" customWidth="1"/>
    <col min="15866" max="15866" width="2" customWidth="1"/>
    <col min="15867" max="15867" width="23" customWidth="1"/>
    <col min="15868" max="15868" width="12" customWidth="1"/>
    <col min="15869" max="15869" width="24.75" bestFit="1" customWidth="1"/>
    <col min="15870" max="15870" width="11.25" customWidth="1"/>
    <col min="15871" max="15871" width="10.3125" customWidth="1"/>
    <col min="15872" max="15872" width="23.25" bestFit="1" customWidth="1"/>
    <col min="15873" max="15873" width="14.0625" bestFit="1" customWidth="1"/>
    <col min="15874" max="15874" width="24.75" bestFit="1" customWidth="1"/>
    <col min="15875" max="15875" width="9.5" bestFit="1" customWidth="1"/>
    <col min="16122" max="16122" width="2" customWidth="1"/>
    <col min="16123" max="16123" width="23" customWidth="1"/>
    <col min="16124" max="16124" width="12" customWidth="1"/>
    <col min="16125" max="16125" width="24.75" bestFit="1" customWidth="1"/>
    <col min="16126" max="16126" width="11.25" customWidth="1"/>
    <col min="16127" max="16127" width="10.3125" customWidth="1"/>
    <col min="16128" max="16128" width="23.25" bestFit="1" customWidth="1"/>
    <col min="16129" max="16129" width="14.0625" bestFit="1" customWidth="1"/>
    <col min="16130" max="16130" width="24.75" bestFit="1" customWidth="1"/>
    <col min="16131" max="16131" width="9.5" bestFit="1" customWidth="1"/>
  </cols>
  <sheetData>
    <row r="1" spans="2:8" ht="13.9" x14ac:dyDescent="0.4">
      <c r="B1" s="37" t="s">
        <v>39</v>
      </c>
      <c r="C1" s="38"/>
      <c r="D1" s="38"/>
      <c r="E1" s="38"/>
      <c r="F1" s="38"/>
      <c r="G1" s="38"/>
      <c r="H1" s="38"/>
    </row>
    <row r="3" spans="2:8" x14ac:dyDescent="0.35">
      <c r="B3" t="s">
        <v>0</v>
      </c>
      <c r="C3" s="24">
        <v>75780000</v>
      </c>
      <c r="D3" s="25" t="s">
        <v>30</v>
      </c>
      <c r="E3" s="24">
        <v>12000000</v>
      </c>
    </row>
    <row r="4" spans="2:8" x14ac:dyDescent="0.35">
      <c r="B4" t="s">
        <v>1</v>
      </c>
      <c r="C4" s="24">
        <v>134495000</v>
      </c>
      <c r="D4" s="25" t="s">
        <v>2</v>
      </c>
      <c r="E4" s="26">
        <f>E3/C3</f>
        <v>0.15835312747426761</v>
      </c>
    </row>
    <row r="5" spans="2:8" x14ac:dyDescent="0.35">
      <c r="B5" t="s">
        <v>3</v>
      </c>
      <c r="C5" s="24">
        <v>5840000</v>
      </c>
      <c r="D5" s="25" t="s">
        <v>4</v>
      </c>
      <c r="E5" s="24">
        <v>12575000</v>
      </c>
    </row>
    <row r="6" spans="2:8" x14ac:dyDescent="0.35">
      <c r="C6" s="24"/>
      <c r="D6" s="25" t="s">
        <v>40</v>
      </c>
      <c r="E6" s="24">
        <v>83547</v>
      </c>
      <c r="F6" s="29"/>
      <c r="G6" s="24"/>
      <c r="H6" s="17"/>
    </row>
    <row r="7" spans="2:8" x14ac:dyDescent="0.35">
      <c r="B7" t="s">
        <v>5</v>
      </c>
      <c r="C7" s="24">
        <v>292000000</v>
      </c>
      <c r="D7" s="25" t="s">
        <v>23</v>
      </c>
      <c r="E7" s="27">
        <f>-C21</f>
        <v>117000</v>
      </c>
    </row>
    <row r="8" spans="2:8" ht="13.9" x14ac:dyDescent="0.4">
      <c r="B8" t="s">
        <v>6</v>
      </c>
      <c r="C8" s="24">
        <f>C7-C4-C5</f>
        <v>151665000</v>
      </c>
      <c r="D8" s="33" t="s">
        <v>31</v>
      </c>
      <c r="E8" s="31">
        <f>C15-E5-E7</f>
        <v>7744000</v>
      </c>
    </row>
    <row r="9" spans="2:8" x14ac:dyDescent="0.35">
      <c r="B9" t="s">
        <v>24</v>
      </c>
      <c r="C9" s="24">
        <f>C8-C3</f>
        <v>75885000</v>
      </c>
      <c r="E9" s="2"/>
    </row>
    <row r="10" spans="2:8" x14ac:dyDescent="0.35">
      <c r="B10" t="s">
        <v>7</v>
      </c>
      <c r="C10" s="2">
        <f>C7-C4-C5+C6</f>
        <v>151665000</v>
      </c>
      <c r="D10" s="3" t="s">
        <v>8</v>
      </c>
      <c r="E10" s="4">
        <f>E8*0.15</f>
        <v>1161600</v>
      </c>
    </row>
    <row r="11" spans="2:8" ht="13.9" x14ac:dyDescent="0.4">
      <c r="B11" s="5" t="s">
        <v>25</v>
      </c>
      <c r="C11" s="6">
        <f>C9-C12</f>
        <v>53273340.000000015</v>
      </c>
      <c r="D11" s="7" t="s">
        <v>9</v>
      </c>
      <c r="E11" s="4">
        <f>E10*1.17</f>
        <v>1359072</v>
      </c>
      <c r="F11" s="20"/>
    </row>
    <row r="12" spans="2:8" ht="13.9" x14ac:dyDescent="0.4">
      <c r="B12" t="s">
        <v>33</v>
      </c>
      <c r="C12" s="2">
        <f>(C10-20436000/E4)</f>
        <v>22611659.999999985</v>
      </c>
      <c r="D12" t="s">
        <v>10</v>
      </c>
      <c r="E12" s="6">
        <f>E8-E11</f>
        <v>6384928</v>
      </c>
      <c r="F12" t="s">
        <v>22</v>
      </c>
      <c r="H12" s="20">
        <f>E12+C21</f>
        <v>6267928</v>
      </c>
    </row>
    <row r="13" spans="2:8" x14ac:dyDescent="0.35">
      <c r="B13" t="s">
        <v>26</v>
      </c>
      <c r="C13" s="4">
        <f>C10-C12</f>
        <v>129053340.00000001</v>
      </c>
      <c r="D13" t="s">
        <v>11</v>
      </c>
      <c r="E13" s="2">
        <f>C15-E11</f>
        <v>19076928</v>
      </c>
    </row>
    <row r="14" spans="2:8" ht="13.9" x14ac:dyDescent="0.4">
      <c r="B14" t="s">
        <v>27</v>
      </c>
      <c r="C14" s="4">
        <f>C13*E4</f>
        <v>20436000</v>
      </c>
      <c r="E14" s="8"/>
    </row>
    <row r="15" spans="2:8" ht="13.9" x14ac:dyDescent="0.4">
      <c r="B15" s="6" t="s">
        <v>28</v>
      </c>
      <c r="C15" s="30">
        <f>C14</f>
        <v>20436000</v>
      </c>
    </row>
    <row r="16" spans="2:8" x14ac:dyDescent="0.35">
      <c r="B16" s="9"/>
      <c r="C16" s="10"/>
    </row>
    <row r="17" spans="2:6" ht="13.9" x14ac:dyDescent="0.4">
      <c r="B17" s="5" t="s">
        <v>12</v>
      </c>
      <c r="C17" s="11" t="s">
        <v>13</v>
      </c>
      <c r="D17" s="12" t="s">
        <v>36</v>
      </c>
      <c r="E17" s="12" t="s">
        <v>19</v>
      </c>
    </row>
    <row r="18" spans="2:6" x14ac:dyDescent="0.35">
      <c r="B18" s="13">
        <v>44286</v>
      </c>
      <c r="C18" s="14">
        <f>-E5</f>
        <v>-12575000</v>
      </c>
      <c r="D18" s="14">
        <v>-600000</v>
      </c>
      <c r="E18" s="15"/>
    </row>
    <row r="19" spans="2:6" x14ac:dyDescent="0.35">
      <c r="B19" s="13">
        <v>44301</v>
      </c>
      <c r="C19" s="14">
        <f>E6*0.278</f>
        <v>23226.066000000003</v>
      </c>
      <c r="D19" s="34">
        <v>0</v>
      </c>
      <c r="E19" s="28" t="s">
        <v>20</v>
      </c>
    </row>
    <row r="20" spans="2:6" x14ac:dyDescent="0.35">
      <c r="B20" s="13">
        <v>44459</v>
      </c>
      <c r="C20" s="16">
        <v>378000</v>
      </c>
      <c r="D20" s="14">
        <v>18036</v>
      </c>
      <c r="E20" s="17" t="s">
        <v>18</v>
      </c>
    </row>
    <row r="21" spans="2:6" x14ac:dyDescent="0.35">
      <c r="B21" s="13">
        <v>45170</v>
      </c>
      <c r="C21" s="16">
        <f>-100000*1.17</f>
        <v>-117000</v>
      </c>
      <c r="D21" s="14">
        <v>-5583</v>
      </c>
      <c r="E21" s="17" t="s">
        <v>17</v>
      </c>
    </row>
    <row r="22" spans="2:6" x14ac:dyDescent="0.35">
      <c r="B22" s="13">
        <v>45170</v>
      </c>
      <c r="C22" s="17">
        <f>C15-E11</f>
        <v>19076928</v>
      </c>
      <c r="D22" s="14">
        <f>877682-D21+26920</f>
        <v>910185</v>
      </c>
      <c r="E22" s="32" t="s">
        <v>35</v>
      </c>
    </row>
    <row r="23" spans="2:6" x14ac:dyDescent="0.35">
      <c r="B23" s="13">
        <v>45245</v>
      </c>
      <c r="C23" s="17">
        <f>(C21/1.17*0.17+E11-E10)*0.278</f>
        <v>50171.216000000008</v>
      </c>
      <c r="D23" s="34">
        <v>0</v>
      </c>
      <c r="E23" t="s">
        <v>21</v>
      </c>
    </row>
    <row r="24" spans="2:6" x14ac:dyDescent="0.35">
      <c r="B24" s="13"/>
      <c r="C24" s="17"/>
      <c r="D24" s="18"/>
      <c r="E24"/>
    </row>
    <row r="25" spans="2:6" x14ac:dyDescent="0.35">
      <c r="B25" s="13"/>
      <c r="C25" s="17"/>
      <c r="D25" s="18"/>
      <c r="E25"/>
    </row>
    <row r="26" spans="2:6" x14ac:dyDescent="0.35">
      <c r="B26" s="7" t="s">
        <v>14</v>
      </c>
      <c r="C26" s="19">
        <f>SUM(C19:C23)</f>
        <v>19411325.281999998</v>
      </c>
      <c r="D26" s="4">
        <f>SUM(D19:D23)</f>
        <v>922638</v>
      </c>
      <c r="E26" s="35"/>
    </row>
    <row r="27" spans="2:6" x14ac:dyDescent="0.35">
      <c r="B27" t="s">
        <v>32</v>
      </c>
      <c r="C27" s="20">
        <f>C26-E5</f>
        <v>6836325.2819999978</v>
      </c>
      <c r="D27" s="4">
        <f>SUM(D18:D23)</f>
        <v>322638</v>
      </c>
      <c r="E27"/>
    </row>
    <row r="28" spans="2:6" ht="13.9" x14ac:dyDescent="0.4">
      <c r="B28" s="5" t="s">
        <v>15</v>
      </c>
      <c r="C28" s="21">
        <f>C27/E5</f>
        <v>0.54364415761431395</v>
      </c>
      <c r="D28" s="21"/>
      <c r="E28"/>
    </row>
    <row r="29" spans="2:6" ht="13.9" x14ac:dyDescent="0.4">
      <c r="B29" s="12" t="s">
        <v>16</v>
      </c>
      <c r="C29" s="21">
        <f>XIRR(C18:C23,B18:B23,20)</f>
        <v>0.20070961210876703</v>
      </c>
      <c r="D29" s="21"/>
      <c r="E29"/>
    </row>
    <row r="30" spans="2:6" x14ac:dyDescent="0.35">
      <c r="B30" t="s">
        <v>29</v>
      </c>
      <c r="C30" s="20">
        <v>2368020</v>
      </c>
      <c r="D30" s="4">
        <f>95259+26920*0.25</f>
        <v>101989</v>
      </c>
      <c r="F30" s="4"/>
    </row>
    <row r="31" spans="2:6" ht="13.9" x14ac:dyDescent="0.4">
      <c r="B31" t="s">
        <v>34</v>
      </c>
      <c r="D31" s="22">
        <f>D22+D21-D30</f>
        <v>802613</v>
      </c>
    </row>
    <row r="32" spans="2:6" x14ac:dyDescent="0.35">
      <c r="B32" t="s">
        <v>37</v>
      </c>
      <c r="D32" s="20">
        <v>782423</v>
      </c>
    </row>
    <row r="33" spans="2:4" ht="13.9" x14ac:dyDescent="0.4">
      <c r="B33" s="5" t="s">
        <v>38</v>
      </c>
      <c r="C33" s="36"/>
      <c r="D33" s="22">
        <f>D31-D32</f>
        <v>20190</v>
      </c>
    </row>
    <row r="34" spans="2:4" x14ac:dyDescent="0.35">
      <c r="D34" s="23"/>
    </row>
  </sheetData>
  <mergeCells count="1">
    <mergeCell ref="B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אקזיט מעודכן 9.23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Omer</cp:lastModifiedBy>
  <dcterms:created xsi:type="dcterms:W3CDTF">2023-09-18T12:27:24Z</dcterms:created>
  <dcterms:modified xsi:type="dcterms:W3CDTF">2023-10-31T17:39:29Z</dcterms:modified>
</cp:coreProperties>
</file>